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MIVS\Downloads\webapp\webapp\"/>
    </mc:Choice>
  </mc:AlternateContent>
  <xr:revisionPtr revIDLastSave="0" documentId="13_ncr:1_{741CAC48-CB8D-4DE7-9802-02324B633618}" xr6:coauthVersionLast="47" xr6:coauthVersionMax="47" xr10:uidLastSave="{00000000-0000-0000-0000-000000000000}"/>
  <bookViews>
    <workbookView xWindow="-108" yWindow="-108" windowWidth="23256" windowHeight="12456" xr2:uid="{00000000-000D-0000-FFFF-FFFF00000000}"/>
  </bookViews>
  <sheets>
    <sheet name="Data" sheetId="1" r:id="rId1"/>
    <sheet name="Structure de l'économie" sheetId="2" r:id="rId2"/>
    <sheet name="Agro-Industries" sheetId="3" r:id="rId3"/>
    <sheet name="Dette publique"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37" i="2" l="1"/>
  <c r="J37" i="2"/>
  <c r="I37" i="2"/>
  <c r="H37" i="2"/>
  <c r="G37" i="2"/>
  <c r="F37" i="2"/>
  <c r="E37" i="2"/>
  <c r="D37" i="2"/>
  <c r="C37" i="2"/>
  <c r="B37" i="2"/>
</calcChain>
</file>

<file path=xl/sharedStrings.xml><?xml version="1.0" encoding="utf-8"?>
<sst xmlns="http://schemas.openxmlformats.org/spreadsheetml/2006/main" count="10875" uniqueCount="6511">
  <si>
    <t>AG.LND.CREL.HA</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</si>
  <si>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</si>
  <si>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IQ.CPA.FINS.XQ</t>
  </si>
  <si>
    <t>NY.ADJ.DFOR.CD</t>
  </si>
  <si>
    <t>SE.SEC.PROG.ZS</t>
  </si>
  <si>
    <t>EN.GHG.N2O.FE.MT.CE.AR5</t>
  </si>
  <si>
    <t>SL.TLF.0714.SW.MA.ZS</t>
  </si>
  <si>
    <t>Data from database: World Development Indicators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</si>
  <si>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</si>
  <si>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GE.STD.ERR</t>
  </si>
  <si>
    <t>SL.TLF.0714.SW.MA.TM</t>
  </si>
  <si>
    <t>Methodology: The definitions used to produce data are in line with the homicide definition used in the UNODC Homicide Statistics dataset. On the basis of these selection criteria and subject to data availability, a long and continuous time series including recent data on homicide counts and rates has been identified or created at country level. Data are adjusted to conform to the total number of victims of intentional homicide. The adjustment is carried out by applying the sex ratio of reported victims to the total number of victims of intentional homicide.
The intentional killing of a human being by another is the ultimate crime. Its indisputable physical consequences manifested in the form of a dead body also make it the most categorical and calculable. All existing data sources on intentional homicides, both at national and international level, stem from either criminal justice or public health systems. In the former case, data are generated by law enforcement or criminal justice authorities in the process of recording and investigating a crime event. In the latter, data are produced by health authorities certifying the cause of death of an individual.
Criminal justice data were collected through UNODC regular collections of crime data from Member States, through publicly available data produced by national government sources and from data compiled by other international and regional agencies, including from Interpol, Eurostat, the Organization of American States and UNICEF. Public health data on homicides were mainly derived from databases on deaths by cause disseminated by the World Health Organization (WHO).
The inclusion of recent data was given a higher priority in the selection process than the length of the time series (number of years covered). An analysis of official reports and research literature is regularly carried out to verify homicide data used by government agencies and the scientific community.
As a result of the data collection and validation process, in many countries several homicide datasets have become available from different or multiple sources. Therefore, data series have been selected to provide the most appropriate reference counts.</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</si>
  <si>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</si>
  <si>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</si>
  <si>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EN.GHG.CO2.PI.MT.CE.AR5</t>
  </si>
  <si>
    <t>EN.GHG.CH4.IP.MT.CE.AR5</t>
  </si>
  <si>
    <t>NY.GDP.MKTP.KD</t>
  </si>
  <si>
    <t>SE.SEC.DURS</t>
  </si>
  <si>
    <t>SL.AGR.0714.ZS</t>
  </si>
  <si>
    <t>NY.ADJ.DPEM.GN.ZS</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</si>
  <si>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</si>
  <si>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RL.STD.ERR</t>
  </si>
  <si>
    <t>SL.TLF.BASC.MA.ZS</t>
  </si>
  <si>
    <t>SE.SEC.UNER.LO.MA.ZS</t>
  </si>
  <si>
    <t>DT.TDS.DIMF.CD</t>
  </si>
  <si>
    <t>SH.DYN.NCOM.ZS</t>
  </si>
  <si>
    <t>SH.SVR.WAST.MA.ZS</t>
  </si>
  <si>
    <t>SE.XPD.SECO.PC.ZS</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</si>
  <si>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</si>
  <si>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Methodology: The Prosperity Gap is a measure of shared prosperity. As a distribution-sensitive measure, the gap narrows when incomes increase anywhere and falls fastest when incomes of the very poorest increase: growth in income of a person earning $2.50 per day gets ten times more weight than growth in income of a person earning $25/day.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</si>
  <si>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NE.GDI.STKB.KN</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</si>
  <si>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</si>
  <si>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</si>
  <si>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</si>
  <si>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AG.LND.ARBL.ZS</t>
  </si>
  <si>
    <t>IC.BRE.BE.P1</t>
  </si>
  <si>
    <t>SE.SEC.NENR.FE</t>
  </si>
  <si>
    <t>NY.ADJ.DCO2.GN.ZS</t>
  </si>
  <si>
    <t>SP.ADO.TFRT</t>
  </si>
  <si>
    <t>TX.VAL.MRCH.R1.ZS</t>
  </si>
  <si>
    <t>per_si_allsi.adq_pop_tot</t>
  </si>
  <si>
    <t>SL.TLF.0714.WK.ZS</t>
  </si>
  <si>
    <t>EG.CFT.ACCS.UR.ZS</t>
  </si>
  <si>
    <t>HD.HCI.OVRL.LB.MA</t>
  </si>
  <si>
    <t>SL.UEM.INTM.FE.ZS</t>
  </si>
  <si>
    <t>NY.GDP.MKTP.PP.CD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</si>
  <si>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</si>
  <si>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IC.BRE.LB.P3</t>
  </si>
  <si>
    <t>SL.TLF.0714.WK.TM</t>
  </si>
  <si>
    <t>NE.CON.PRVT.PP.KD</t>
  </si>
  <si>
    <t>BX.GSR.TRVL.ZS</t>
  </si>
  <si>
    <t>NV.MNF.MTRN.ZS.UN</t>
  </si>
  <si>
    <t>NE.IMP.GNFS.KD.ZG</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</si>
  <si>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</si>
  <si>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</si>
  <si>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IT.MLT.MAIN</t>
  </si>
  <si>
    <t>DT.NFL.UNCV.CD</t>
  </si>
  <si>
    <t>SE.LPV.PRIM.SD.FE</t>
  </si>
  <si>
    <t>SP.DYN.IMRT.IN</t>
  </si>
  <si>
    <t>SH.UHC.NOP1.ZS</t>
  </si>
  <si>
    <t>IQ.CPA.PROT.XQ</t>
  </si>
  <si>
    <t>NE.GDI.FPRV.CN</t>
  </si>
  <si>
    <t>SL.UEM.TOTL.FE.ZS</t>
  </si>
  <si>
    <t>SE.SEC.ENRL.GC</t>
  </si>
  <si>
    <t>SE.TER.CUAT.DO.MA.ZS</t>
  </si>
  <si>
    <t>BM.GSR.TOTL.CD</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</si>
  <si>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</si>
  <si>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IC.BRE.IT.OS</t>
  </si>
  <si>
    <t>SL.SLF.0714.FE.ZS</t>
  </si>
  <si>
    <t>SE.ADT.1524.LT.ZS</t>
  </si>
  <si>
    <t>IC.ELC.OUTG.ZS</t>
  </si>
  <si>
    <t>NE.GDI.FTOT.KD</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</si>
  <si>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</si>
  <si>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NV.AGR.TOTL.KD</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</si>
  <si>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</si>
  <si>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SI.SPR.PGAP</t>
  </si>
  <si>
    <t>SP.POP.0014.FE.IN</t>
  </si>
  <si>
    <t>NY.ADJ.NNTY.KD</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</si>
  <si>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</si>
  <si>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SL.UEM.NEET.ZS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</si>
  <si>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</si>
  <si>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per_si_allsi.cov_q5_tot</t>
  </si>
  <si>
    <t>EN.GHG.CH4.FE.MT.CE.AR5</t>
  </si>
  <si>
    <t>RL.PER.RNK.UPPER</t>
  </si>
  <si>
    <t>SH.STA.BASS.UR.ZS</t>
  </si>
  <si>
    <t>HD.HCI.OVRL.UB</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</si>
  <si>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</si>
  <si>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SH.SGR.PROC.P5</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</si>
  <si>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</si>
  <si>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NE.CON.TOTL.KD</t>
  </si>
  <si>
    <t>IC.TAX.GIFT.ZS</t>
  </si>
  <si>
    <t>GC.REV.GOTR.CN</t>
  </si>
  <si>
    <t>SL.TLF.CACT.FE.NE.ZS</t>
  </si>
  <si>
    <t>SE.PRM.TCAQ.ZS</t>
  </si>
  <si>
    <t>SH.STA.BFED.ZS</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</si>
  <si>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</si>
  <si>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SH.DTH.INJR.ZS</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</si>
  <si>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</si>
  <si>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SL.EMP.VULN.ZS</t>
  </si>
  <si>
    <t>GC.TAX.IMPT.CN</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</si>
  <si>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</si>
  <si>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SE.PRM.NENR.MA</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</si>
  <si>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</si>
  <si>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</si>
  <si>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
Statistical concept(s):</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</si>
  <si>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</si>
  <si>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</si>
  <si>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NY.GNP.MKTP.KN</t>
  </si>
  <si>
    <t>NY.ADJ.DKAP.GN.ZS</t>
  </si>
  <si>
    <t>SE.PRM.PRS5.FE.ZS</t>
  </si>
  <si>
    <t>IQ.SPI.PIL1</t>
  </si>
  <si>
    <t>TX.VAL.TECH.CD</t>
  </si>
  <si>
    <t>GC.XPN.OTHR.ZS</t>
  </si>
  <si>
    <t>Methodology: The proportion of the population facing catastrophic expenditures is measured as the population-weighted average of the number of households with “large household expenditures on health” as a share of total household expenditure or income (household’s budget).
Statistical concept(s): Out-of-pocket payments are those made by people at the time of getting any type of service (preventive, curative, rehabilitative, palliative or long-term care) provided by any type of provider. They include cost-sharing (the part not covered by a third party like an insurer) and informal payments, but they exclude insurance premiums. Out-of-pocket payments exclude any reimbursement by a third party, such as the government, a health insurance fund or a private insurance company. Out-of-pocket payments are defined as catastrophic at the 10% (25%) threshold when they represent 10% (25%) or more of household total consumption or income. They are defined as impoverishing if they push household consumption or income below the $2.15 or $3.65 ($ 2017 PPP) per day poverty lines or the relative poverty line of 60% of median consumption, or if they are incurred by households already living under the $2.15 or $3.65 ($ 2017 PPP) per day poverty lines or the relative poverty line of 60% of median consumption.</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</si>
  <si>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</si>
  <si>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</si>
  <si>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SL.EMP.SELF.ZS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</si>
  <si>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</si>
  <si>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DC.DAC.NZLL.CD</t>
  </si>
  <si>
    <t>SP.DYN.CDRT.IN</t>
  </si>
  <si>
    <t>TX.UVI.MRCH.XD.WD</t>
  </si>
  <si>
    <t>SG.VAW.REAS.ZS</t>
  </si>
  <si>
    <t>GC.REV.SOCL.CN</t>
  </si>
  <si>
    <t>SE.PRM.NINT.FE.ZS</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</si>
  <si>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</si>
  <si>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</si>
  <si>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</si>
  <si>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SE.SEC.UNER.LO.ZS</t>
  </si>
  <si>
    <t>BX.GSR.ROYL.CD</t>
  </si>
  <si>
    <t>NY.GNP.PCAP.PP.KD</t>
  </si>
  <si>
    <t>IE.PPN.WATR.CD</t>
  </si>
  <si>
    <t>TX.VAL.MRCH.R3.ZS</t>
  </si>
  <si>
    <t>EN.URB.LCTY</t>
  </si>
  <si>
    <t>IC.FRM.CO2.ZS</t>
  </si>
  <si>
    <t>SP.POP.7074.MA.5Y</t>
  </si>
  <si>
    <t>SH.STA.MMRT</t>
  </si>
  <si>
    <t>FX.OWN.TOTL.60.ZS</t>
  </si>
  <si>
    <t>SI.POV.LMIC</t>
  </si>
  <si>
    <t>SH.UHC.SRVS.CV.XD</t>
  </si>
  <si>
    <t>NY.GNS.ICTR.CD</t>
  </si>
  <si>
    <t>LP.LPI.INFR.XQ</t>
  </si>
  <si>
    <t>IC.BRE.MC.OS</t>
  </si>
  <si>
    <t>SP.POP.5559.FE.5Y</t>
  </si>
  <si>
    <t>Methodology: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</si>
  <si>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</si>
  <si>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TX.VAL.FUEL.ZS.UN</t>
  </si>
  <si>
    <t>TM.VAL.MRCH.OR.ZS</t>
  </si>
  <si>
    <t>PV.PER.RNK.UPPER</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</si>
  <si>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</si>
  <si>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</si>
  <si>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EG.GDP.PUSE.KO.PP</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</si>
  <si>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</si>
  <si>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</si>
  <si>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SE.SEC.ENRL.GC.FE.ZS</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</si>
  <si>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</si>
  <si>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</si>
  <si>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SE.SEC.PROG.MA.ZS</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</si>
  <si>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</si>
  <si>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</si>
  <si>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</si>
  <si>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</si>
  <si>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Methodology: The air transport data represent the total (international and domestic) scheduled traffic carried by the air carriers registered in a country. For statistical uses,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 
The air transport data represent the total (international and domestic) scheduled traffic carried by the air carriers registered in a country. Countries submit air transport data to International Civil Aviation Organization (ICAO) on the basis of standard instructions and definitions issued by ICAO. In many cases, however, the data include estimates by ICAO for nonreporting carriers. Where possible, these estimates are based on previous submissions supplemented by information published by the air carriers, such as flight schedules.
The data cover the air traffic carried on scheduled services, but changes in air transport regulations in Europe have made it more difficult to classify traffic as scheduled or nonscheduled. Thus, recent increases shown for some European countries may be due to changes in the classification of air traffic rather than actual growth. In the case of multinational air carriers owned by partner States, traffic within each partner State is shown separately as domestic and all other traffic as international. For countries with few air carriers or only one, the addition or discontinuation of a home-based air carrier may cause significant changes in air traffic.
Statistical concept(s): Aircraft departures represent the number of take-offs of aircraft. For statistical purposes, departures are equal to the number of landings made or flight stages flown.</t>
  </si>
  <si>
    <t>DT.NFL.SDGF.CD</t>
  </si>
  <si>
    <t>RQ.PER.RNK.LOWER</t>
  </si>
  <si>
    <t>IP.IDS.RSCT</t>
  </si>
  <si>
    <t>IC.FRM.OUTG.ZS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</si>
  <si>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</si>
  <si>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</si>
  <si>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SL.EMP.SMGT.FE.ZS</t>
  </si>
  <si>
    <t>SL.TLF.ACTI.1524.MA.ZS</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</si>
  <si>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</si>
  <si>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IC.BRE.TX.P1</t>
  </si>
  <si>
    <t>DT.DOD.DSTC.XP.ZS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</si>
  <si>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</si>
  <si>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</si>
  <si>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</si>
  <si>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SH.STA.WAST.MA.ZS</t>
  </si>
  <si>
    <t>IQ.CPA.GNDR.XQ</t>
  </si>
  <si>
    <t>VA.STD.ERR</t>
  </si>
  <si>
    <t>EN.GHG.CO2.WA.MT.CE.AR5</t>
  </si>
  <si>
    <t>SH.UHC.FBP2.ZS</t>
  </si>
  <si>
    <t>SP.POP.3034.FE.5Y</t>
  </si>
  <si>
    <t>FM.LBL.BMNY.GD.ZS</t>
  </si>
  <si>
    <t>SL.EMP.TOTL.SP.MA.ZS</t>
  </si>
  <si>
    <t>ST.INT.RCPT.XP.ZS</t>
  </si>
  <si>
    <t>EN.GHG.N2O.BU.MT.CE.AR5</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</si>
  <si>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</si>
  <si>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</si>
  <si>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SE.TER.ENRL.TC.ZS</t>
  </si>
  <si>
    <t>DT.TDS.DECT.GN.ZS</t>
  </si>
  <si>
    <t>FX.OWN.TOTL.MA.ZS</t>
  </si>
  <si>
    <t>SI.POV.SOPO</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</si>
  <si>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</si>
  <si>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ER.PTD.TOTL.ZS</t>
  </si>
  <si>
    <t>BX.GSR.NFSV.CD</t>
  </si>
  <si>
    <t>per_allsp.adq_pop_tot</t>
  </si>
  <si>
    <t>EN.GHG.N2O.ZG.AR5</t>
  </si>
  <si>
    <t>GC.TAX.GSRV.RV.ZS</t>
  </si>
  <si>
    <t>NE.GDI.TOTL.ZS</t>
  </si>
  <si>
    <t>IP.JRN.ARTC.SC</t>
  </si>
  <si>
    <t>AG.SRF.TOTL.K2</t>
  </si>
  <si>
    <t>VC.BTL.DETH</t>
  </si>
  <si>
    <t>Methodology: The WGI are composite governance indicators based on over 30 underlying data sources. These data sources are rescaled and combined to create the six aggregate indicators using a statistical methodology known as an Unobserved Components Model (UCM). The six aggregate indicators are reported in two ways : (1) in their standard normal units, ranging from approximately -2.5 to 2.5, and (2) in percentile rank terms from 0 to 100, with higher values corresponding to better outcomes.
A key feature of the WGI is that all country scores are accompanied by standard errors. These margins of error need to be taken into account when making comparisons across countries and over time.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Please see more information at: https://www.worldbank.org/en/publication/worldwide-governance-indicators/documentation#1
Statistical concept(s): Standard error indicates the precision of the estimate of governance. Larger values of the standard error indicate less precise estimates. A 90 percent confidence interval for the governance estimate is given by the estimate +/- 1.64 times the standard error.</t>
  </si>
  <si>
    <t>DT.NFL.UNTA.CD</t>
  </si>
  <si>
    <t>ST.INT.ARVL</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</si>
  <si>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</si>
  <si>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</si>
  <si>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</si>
  <si>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per_si_allsi.cov_q4_tot</t>
  </si>
  <si>
    <t>FS.AST.CGOV.GD.ZS</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</si>
  <si>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</si>
  <si>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SE.PRE.TCAQ.MA.ZS</t>
  </si>
  <si>
    <t>EN.FSH.THRD.NO</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</si>
  <si>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</si>
  <si>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SH.STA.POIS.P5.FE</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</si>
  <si>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</si>
  <si>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GC.XPN.TRFT.CN</t>
  </si>
  <si>
    <t>SE.PRM.TENR</t>
  </si>
  <si>
    <t>AG.LND.TOTL.UR.K2</t>
  </si>
  <si>
    <t>FM.AST.DOMO.ZG.M3</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</si>
  <si>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</si>
  <si>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RQ.NO.SRC</t>
  </si>
  <si>
    <t>IC.BRE.BL.OS</t>
  </si>
  <si>
    <t>SP.RUR.TOTL.ZG</t>
  </si>
  <si>
    <t>DC.ODA.TLDC.GN.ZS</t>
  </si>
  <si>
    <t>SE.PRM.ENRR.FE</t>
  </si>
  <si>
    <t>SP.POP.TECH.RD.P6</t>
  </si>
  <si>
    <t>IC.BRE.FS.P3</t>
  </si>
  <si>
    <t>DT.NFL.RDBN.CD</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</si>
  <si>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</si>
  <si>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
Statistical concept(s):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</si>
  <si>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</si>
  <si>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</si>
  <si>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GC.TAX.EXPT.ZS</t>
  </si>
  <si>
    <t>GC.TAX.YPKG.CN</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</si>
  <si>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</si>
  <si>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</si>
  <si>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DC.DAC.DEUL.CD</t>
  </si>
  <si>
    <t>IE.PPN.ICTI.CD</t>
  </si>
  <si>
    <t>NV.FSM.TOTL.CN</t>
  </si>
  <si>
    <t>DT.ODA.ODAT.MP.ZS</t>
  </si>
  <si>
    <t>TM.VAL.SERV.CD.WT</t>
  </si>
  <si>
    <t>NV.MNF.TXTL.ZS.UN</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</si>
  <si>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</si>
  <si>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SL.UEM.NEET.MA.ZS</t>
  </si>
  <si>
    <t>SE.LPV.PRIM.FE</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</si>
  <si>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</si>
  <si>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NY.GNP.MKTP.KD.ZG</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</si>
  <si>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</si>
  <si>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</si>
  <si>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SE.ADT.LITR.MA.ZS</t>
  </si>
  <si>
    <t>SH.HIV.INCD.ZS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</si>
  <si>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</si>
  <si>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EN.GHG.N2O.AG.MT.CE.AR5</t>
  </si>
  <si>
    <t>SE.ENR.SECO.FM.ZS</t>
  </si>
  <si>
    <t>SH.MLR.NETS.ZS</t>
  </si>
  <si>
    <t>SL.UEM.TOTL.MA.ZS</t>
  </si>
  <si>
    <t>per_sa_allsa.adq_pop_tot</t>
  </si>
  <si>
    <t>EN.GHG.CH4.BU.MT.CE.AR5</t>
  </si>
  <si>
    <t>SI.DST.02ND.20</t>
  </si>
  <si>
    <t>SL.SLF.0714.MA.ZS</t>
  </si>
  <si>
    <t>IC.BRE.US.P1</t>
  </si>
  <si>
    <t>SH.DYN.NCOM.MA.ZS</t>
  </si>
  <si>
    <t>TM.VAL.MANF.ZS.UN</t>
  </si>
  <si>
    <t>GC.TAX.GSRV.CN</t>
  </si>
  <si>
    <t>Methodology: Weighted average of statistical performance indicators related to data services.  Scores range from 0-100 with 100 representing the best score.
Statistical concept(s): Composite Multi-dimensional Index</t>
  </si>
  <si>
    <t>FB.CBK.DPTR.P3</t>
  </si>
  <si>
    <t>NV.IND.MANF.ZS</t>
  </si>
  <si>
    <t>SH.XPD.PVTD.CH.ZS</t>
  </si>
  <si>
    <t>SP.POP.0014.MA.IN</t>
  </si>
  <si>
    <t>SL.TLF.0714.FE.ZS</t>
  </si>
  <si>
    <t>SE.SEC.ENRL.FE.ZS</t>
  </si>
  <si>
    <t>Methodology: Weighted average of statistical performance indicators related to data products.  Scores range from 0-100 with 100 representing the best score.
Statistical concept(s): Composite Multi-dimensional Index</t>
  </si>
  <si>
    <t>BX.PEF.TOTL.CD.WD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</si>
  <si>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</si>
  <si>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IC.BRE.DR.P1</t>
  </si>
  <si>
    <t>SP.DYN.IMRT.FE.IN</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</si>
  <si>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</si>
  <si>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NY.GDP.TOTL.RT.ZS</t>
  </si>
  <si>
    <t>FP.CPI.TOTL.ZG</t>
  </si>
  <si>
    <t>TX.VAL.MRCH.WR.ZS</t>
  </si>
  <si>
    <t>SI.POV.GINI</t>
  </si>
  <si>
    <t>SL.EMP.WORK.ZS</t>
  </si>
  <si>
    <t>ST.INT.TVLX.CD</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</si>
  <si>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</si>
  <si>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</si>
  <si>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DC.DAC.GRCL.CD</t>
  </si>
  <si>
    <t>SH.STA.BRTC.ZS</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</si>
  <si>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</si>
  <si>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t>
  </si>
  <si>
    <t>BM.GSR.TRVL.ZS</t>
  </si>
  <si>
    <t>HD.HCI.OVRL</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</si>
  <si>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</si>
  <si>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NE.DAB.TOTL.ZS</t>
  </si>
  <si>
    <t>SE.LPV.PRIM.LD.FE</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</si>
  <si>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</si>
  <si>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IE.PPI.TRAN.CD</t>
  </si>
  <si>
    <t>ER.FSH.AQUA.MT</t>
  </si>
  <si>
    <t>SE.PRM.PRS5.MA.ZS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</si>
  <si>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</si>
  <si>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</si>
  <si>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</si>
  <si>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</si>
  <si>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IT.NET.SECR</t>
  </si>
  <si>
    <t>SL.TLF.ADVN.MA.ZS</t>
  </si>
  <si>
    <t>DT.DOD.DIMF.CD</t>
  </si>
  <si>
    <t>SM.POP.TOTL</t>
  </si>
  <si>
    <t>SP.DYN.AMRT.MA</t>
  </si>
  <si>
    <t>SH.XPD.GHED.GE.ZS</t>
  </si>
  <si>
    <t>SE.PRM.NINT.MA.ZS</t>
  </si>
  <si>
    <t>EG.ELC.RNEW.ZS</t>
  </si>
  <si>
    <t>TM.VAL.AGRI.ZS.UN</t>
  </si>
  <si>
    <t>SH.H2O.BASW.RU.ZS</t>
  </si>
  <si>
    <t>DT.NFL.UNWN.CD</t>
  </si>
  <si>
    <t>SP.POP.2024.FE.5Y</t>
  </si>
  <si>
    <t>SE.XPD.TERT.PC.ZS</t>
  </si>
  <si>
    <t>per_si_allsi.cov_q3_tot</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</si>
  <si>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</si>
  <si>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CC.PER.RNK.UPPER</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</si>
  <si>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</si>
  <si>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</si>
  <si>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</si>
  <si>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Among the 230 countries or areas that constituted the world in 2008, 91 percent had at least one data source on the international migrant stock, and of those 78 percent used the number of foreign-born persons as the basis for estimation. For about 18 percent of the countries, the number of international migrants was based on data regarding foreign citizens. There were nine countries with no information including China, the Democratic People's Republic of Korea, Eritrea and Somalia.
For countries having information on the international migrant stock for at least two points in time, interpolation or extrapolation using an exponential growth rate was used to estimate the international migrant stock on 1 July of the reference years. In some instances, the estimates were adjusted on the basis of other relevant information, including the size of the total population in the country, to ensure that the proportion of migrants in small populations did not increase to unacceptable levels.
For all other countries with only one data source, estimates for the reference years were derived by assuming growth rates of the migrant stock in the years preceding or following the only data source available. For the nine countries or areas for which no information was available on the international migrant stock, a model, based on the general observation that the proportion of international migrants tends to be inversely related to the size of the total population, was used.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</si>
  <si>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</si>
  <si>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</si>
  <si>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</si>
  <si>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BX.GRT.EXTA.CD.WD</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</si>
  <si>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</si>
  <si>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DC.DAC.CANL.CD</t>
  </si>
  <si>
    <t>NY.ADJ.DPEM.CD</t>
  </si>
  <si>
    <t>IC.BRE.BE.OS</t>
  </si>
  <si>
    <t>IT.NET.SECR.P6</t>
  </si>
  <si>
    <t>SH.HIV.INCD.TL.P3</t>
  </si>
  <si>
    <t>Methodology: Weighted average of statistical performance indicators related to data infrastructure.  Scores range from 0-100 with 100 representing the best score.
Statistical concept(s): Composite Multi-dimensional Index</t>
  </si>
  <si>
    <t>per_allsp.cov_pop_tot</t>
  </si>
  <si>
    <t>TM.TAX.MRCH.WM.FN.ZS</t>
  </si>
  <si>
    <t>per_sa_allsa.cov_q5_tot</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</si>
  <si>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</si>
  <si>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</si>
  <si>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</si>
  <si>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RQ.PER.RNK</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</si>
  <si>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</si>
  <si>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</si>
  <si>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LP.LPI.ITRN.XQ</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</si>
  <si>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</si>
  <si>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NE.IMP.GNFS.ZS</t>
  </si>
  <si>
    <t>EG.ELC.PETR.ZS</t>
  </si>
  <si>
    <t>BM.GSR.ROYL.CD</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</si>
  <si>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</si>
  <si>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SE.SEC.CMPT.LO.MA.ZS</t>
  </si>
  <si>
    <t>Methodology: The ratio of gross domestic product (GDP) to energy use indicates energy efficiency. To produce comparable and consistent estimates of real GDP across economies relative to physical inputs to GDP - that is, units of energy use - GDP is converted to 2017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</si>
  <si>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</si>
  <si>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</si>
  <si>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SE.TER.CUAT.BA.ZS</t>
  </si>
  <si>
    <t>HD.HCI.OVRL.UB.FE</t>
  </si>
  <si>
    <t>TM.VAL.MRCH.R2.ZS</t>
  </si>
  <si>
    <t>SP.POP.65UP.FE.IN</t>
  </si>
  <si>
    <t>SP.POP.3034.MA.5Y</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</si>
  <si>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</si>
  <si>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</si>
  <si>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Weighted average of statistical performance indicators related to data sources.  Scores range from 0-100 with 100 representing the best score.
Statistical concept(s): Composite Multi-dimensional Index</t>
  </si>
  <si>
    <t>FX.OWN.TOTL.40.ZS</t>
  </si>
  <si>
    <t>SH.STA.ARIC.ZS</t>
  </si>
  <si>
    <t>SP.POP.1519.FE.5Y</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</si>
  <si>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</si>
  <si>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</si>
  <si>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SL.UEM.INTM.ZS</t>
  </si>
  <si>
    <t>IQ.CPA.IRAI.XQ</t>
  </si>
  <si>
    <t>GC.REV.XGRT.GD.ZS</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</si>
  <si>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</si>
  <si>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</si>
  <si>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</si>
  <si>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SE.XPD.PRIM.ZS</t>
  </si>
  <si>
    <t>GC.TAX.OTHR.CN</t>
  </si>
  <si>
    <t>NV.FSM.TOTL.KN</t>
  </si>
  <si>
    <t>IQ.SPI.PIL5</t>
  </si>
  <si>
    <t>SM.POP.ASYS.EA</t>
  </si>
  <si>
    <t>SE.LPV.PRIM.SD</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</si>
  <si>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Statistical concept(s):</t>
  </si>
  <si>
    <t>SH.DTH.MORT</t>
  </si>
  <si>
    <t>SE.PRM.UNER.FE</t>
  </si>
  <si>
    <t>NY.GDP.FRST.RT.ZS</t>
  </si>
  <si>
    <t>TX.VAL.INSF.ZS.WT</t>
  </si>
  <si>
    <t>SL.TLF.CACT.MA.NE.ZS</t>
  </si>
  <si>
    <t>SL.MNF.0714.FE.ZS</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</si>
  <si>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</si>
  <si>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</si>
  <si>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</si>
  <si>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</si>
  <si>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</si>
  <si>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per_sa_allsa.cov_pop_tot</t>
  </si>
  <si>
    <t>TM.VAL.ICTG.ZS.UN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</si>
  <si>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</si>
  <si>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</si>
  <si>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</si>
  <si>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</si>
  <si>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TM.TAX.TCOM.WM.AR.ZS</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</si>
  <si>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</si>
  <si>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SE.SEC.ENRL.UP.TC.ZS</t>
  </si>
  <si>
    <t>BM.TRF.PRVT.CD</t>
  </si>
  <si>
    <t>NY.ADJ.AEDU.CD</t>
  </si>
  <si>
    <t>PA.NUS.PPP</t>
  </si>
  <si>
    <t>SP.POP.65UP.TO</t>
  </si>
  <si>
    <t>VA.PER.RNK.LOWER</t>
  </si>
  <si>
    <t>NY.ADJ.SVNX.CD</t>
  </si>
  <si>
    <t>DC.DAC.SVNL.CD</t>
  </si>
  <si>
    <t>NY.GDP.DEFL.KD.ZG.AD</t>
  </si>
  <si>
    <t>EN.GHG.N2O.TR.MT.CE.AR5</t>
  </si>
  <si>
    <t>BM.GSR.NFSV.CD</t>
  </si>
  <si>
    <t>VC.IDP.NWCV</t>
  </si>
  <si>
    <t>LP.LPI.CUST.XQ</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</si>
  <si>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</si>
  <si>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TX.VAL.MRCH.R6.ZS</t>
  </si>
  <si>
    <t>EG.ELC.NUCL.ZS</t>
  </si>
  <si>
    <t>SL.EMP.MPYR.FE.ZS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</si>
  <si>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</si>
  <si>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</si>
  <si>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GC.TAX.TOTL.GD.ZS</t>
  </si>
  <si>
    <t>SE.XPD.TERT.ZS</t>
  </si>
  <si>
    <t>Methodology: Data on HIV are from the Joint United Nations Programme on HIV/AIDS (UNAIDS). Changes in procedures and assumptions for estimating the data and better coordination with countries have resulted in improved estimates of HIV and AIDS.
Antiretroviral therapy has led to huge reductions in death and suffering of people with advanced HIV infection.</t>
  </si>
  <si>
    <t>GC.LBL.TOTL.CN</t>
  </si>
  <si>
    <t>NE.GDI.TOTL.CN</t>
  </si>
  <si>
    <t>Methodology: Data on incidence of HIV are from the Joint United Nations Programme on HIV/AIDS. Because of challenges in collecting direct measures of HIV incidence, modelled estimates are used (the Spectrum software). The models incorporate data on HIV prevalence from surveys of the general population, antenatal clinic attendees, and populations at increased risk of contracting HIV (such as sex workers, men who have sex with men, and people who inject drugs) and on the number of people receiving antiretroviral therapy, which will increase the prevalence of HIV because people living with HIV now survive longer. In countries with high-quality health information systems the models are also informed by case reporting and vital registration data.</t>
  </si>
  <si>
    <t>per_si_allsi.cov_q2_tot</t>
  </si>
  <si>
    <t>SI.POV.NAHC</t>
  </si>
  <si>
    <t>SE.SEC.ENRL.VO.FE.ZS</t>
  </si>
  <si>
    <t>SI.POV.LMIC.GP</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</si>
  <si>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</si>
  <si>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</si>
  <si>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MS.MIL.XPND.CN</t>
  </si>
  <si>
    <t>SH.STA.AIRP.P5</t>
  </si>
  <si>
    <t>SH.XPD.PVTD.PC.CD</t>
  </si>
  <si>
    <t>Methodology: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
The air transport data represent the total (international and domestic) scheduled traffic carried by the air carriers registered in a country. Countries submit air transport data to International Civil Aviation Organization (ICAO) on the basis of standard instructions and definitions issued by ICAO. In many cases, however, the data include estimates by ICAO for nonreporting carriers. Where possible, these estimates are based on previous submissions supplemented by information published by the air carriers, such as flight schedules.
The data cover the air traffic carried on scheduled services, but changes in air transport regulations in Europe have made it more difficult to classify traffic as scheduled or nonscheduled. Thus, recent increases shown for some European countries may be due to changes in the classification of air traffic rather than actual growth. In the case of multinational air carriers owned by partner States, traffic within each partner State is shown separately as domestic and all other traffic as international. For countries with few air carriers or only one, the addition or discontinuation of a home-based air carrier may cause significant changes in air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</si>
  <si>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SE.XPD.TOTL.GB.ZS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</si>
  <si>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</si>
  <si>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Country Code</t>
  </si>
  <si>
    <t>SL.TLF.0714.MA.ZS</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</si>
  <si>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</si>
  <si>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AG.LND.EL5M.UR.K2</t>
  </si>
  <si>
    <t>BX.TRF.PWKR.CD.DT</t>
  </si>
  <si>
    <t>per_sa_allsa.cov_q4_tot</t>
  </si>
  <si>
    <t>EN.GHG.ALL.PC.CE.AR5</t>
  </si>
  <si>
    <t>DC.DAC.PRTL.CD</t>
  </si>
  <si>
    <t>SE.SEC.TCAQ.UP.ZS</t>
  </si>
  <si>
    <t>SP.DYN.IMRT.MA.IN</t>
  </si>
  <si>
    <t>SH.DYN.MORT</t>
  </si>
  <si>
    <t>NV.IND.TOTL.CD</t>
  </si>
  <si>
    <t>GC.TAX.EXPT.CN</t>
  </si>
  <si>
    <t>SN.ITK.SALT.ZS</t>
  </si>
  <si>
    <t>SE.ADT.LITR.ZS</t>
  </si>
  <si>
    <t>IC.BRE.TX.OS</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</si>
  <si>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</si>
  <si>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</si>
  <si>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</si>
  <si>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SP.POP.SCIE.RD.P6</t>
  </si>
  <si>
    <t>SE.SEC.TCAQ.LO.FE.ZS</t>
  </si>
  <si>
    <t>SL.TLF.CACT.FM.NE.ZS</t>
  </si>
  <si>
    <t>DT.NFL.CERF.CD</t>
  </si>
  <si>
    <t>SE.ADT.1524.LT.FM.ZS</t>
  </si>
  <si>
    <t>GC.TAX.INTT.CN</t>
  </si>
  <si>
    <t>TM.VAL.TRAN.ZS.WT</t>
  </si>
  <si>
    <t>IQ.CPA.PROP.XQ</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</si>
  <si>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</si>
  <si>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</si>
  <si>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SH.H2O.SMDW.RU.ZS</t>
  </si>
  <si>
    <t>SP.DYN.TFRT.IN</t>
  </si>
  <si>
    <t>CC.NO.SRC</t>
  </si>
  <si>
    <t>Population, total</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</si>
  <si>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</si>
  <si>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</si>
  <si>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</si>
  <si>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EN.GHG.CO2.IC.MT.CE.AR5</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</si>
  <si>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</si>
  <si>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SE.XPD.CPRM.ZS</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</si>
  <si>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</si>
  <si>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DT.NFL.PRVT.CD</t>
  </si>
  <si>
    <t>SI.DST.05TH.20</t>
  </si>
  <si>
    <t>GC.NLD.TOTL.GD.ZS</t>
  </si>
  <si>
    <t>SL.SLF.0714.ZS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</si>
  <si>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</si>
  <si>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</si>
  <si>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</si>
  <si>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</si>
  <si>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VC.IDP.NWDS</t>
  </si>
  <si>
    <t>EN.MAM.THRD.NO</t>
  </si>
  <si>
    <t>BN.TRF.CURR.CD</t>
  </si>
  <si>
    <t>SE.XPD.CSEC.ZS</t>
  </si>
  <si>
    <t>EG.ELC.HYRO.ZS</t>
  </si>
  <si>
    <t>SE.PRM.ENRL.FE.ZS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</si>
  <si>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</si>
  <si>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</si>
  <si>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IC.BRE.BI.P3</t>
  </si>
  <si>
    <t>SE.TER.CUAT.MS.ZS</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</si>
  <si>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</si>
  <si>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</si>
  <si>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</si>
  <si>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SP.POP.TOTL.FE.IN</t>
  </si>
  <si>
    <t>LP.LPI.OVRL.XQ</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</si>
  <si>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</si>
  <si>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SH.STA.OWGH.ME.FE.ZS</t>
  </si>
  <si>
    <t>Methodology: Nonconcessional lending from the IMF is provided mainly through Stand-by Arrangements, the Flexible Credit Line, and the Extended Fund Facility.</t>
  </si>
  <si>
    <t>IC.FRM.FEMO.ZS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</si>
  <si>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</si>
  <si>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</si>
  <si>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</si>
  <si>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SH.ALC.PCAP.FE.LI</t>
  </si>
  <si>
    <t>SE.SEC.ENRL.VO</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</si>
  <si>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</si>
  <si>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DT.NFL.OFFT.CD</t>
  </si>
  <si>
    <t>GC.AST.TOTL.GD.ZS</t>
  </si>
  <si>
    <t>MS.MIL.XPND.CD</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</si>
  <si>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</si>
  <si>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</si>
  <si>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EN.ATM.PM25.MC.ZS</t>
  </si>
  <si>
    <t>IC.BRE.FS.P2</t>
  </si>
  <si>
    <t>AG.CON.FERT.PT.ZS</t>
  </si>
  <si>
    <t>AG.PRD.CREL.MT</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</si>
  <si>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</si>
  <si>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</si>
  <si>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</si>
  <si>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</si>
  <si>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</si>
  <si>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</si>
  <si>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MS.MIL.TOTL.TF.ZS</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</si>
  <si>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</si>
  <si>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ER.GDP.FWTL.M3.KD</t>
  </si>
  <si>
    <t>AG.LND.ARBL.HA.PC</t>
  </si>
  <si>
    <t>SE.ENR.TERT.FM.ZS</t>
  </si>
  <si>
    <t>NE.CON.TOTL.ZS</t>
  </si>
  <si>
    <t>FR.INR.DPST</t>
  </si>
  <si>
    <t>DC.DAC.CECL.CD</t>
  </si>
  <si>
    <t>SH.HIV.INCD.14</t>
  </si>
  <si>
    <t>AG.LND.FRST.K2</t>
  </si>
  <si>
    <t>DT.DOD.DECT.CD</t>
  </si>
  <si>
    <t>NE.GDI.STKB.CD</t>
  </si>
  <si>
    <t>SP.POP.65UP.MA.IN</t>
  </si>
  <si>
    <t>EG.USE.COMM.FO.ZS</t>
  </si>
  <si>
    <t>RQ.EST</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</si>
  <si>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</si>
  <si>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</si>
  <si>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PA.NUS.FCRF</t>
  </si>
  <si>
    <t>The Management Practices Index is a composite index that combines information from eight management practices indicators included in the Enterprise Surveys questionnaire. 
The detailed methodology is available in the Enterprise Surveys Indicator Description document: https://www.enterprisesurveys.org/content/dam/enterprisesurveys/documents/methodology/Indicator-Description.pdf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
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</si>
  <si>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</si>
  <si>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</si>
  <si>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per_si_allsi.cov_q1_tot</t>
  </si>
  <si>
    <t>SH.STA.HYGN.RU.ZS</t>
  </si>
  <si>
    <t>SP.POP.1519.MA.5Y</t>
  </si>
  <si>
    <t>IT.MLT.MAIN.P2</t>
  </si>
  <si>
    <t>IC.BRE.US.OS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</si>
  <si>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</si>
  <si>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SH.HIV.INCD.TL</t>
  </si>
  <si>
    <t>NE.CON.GOVT.ZS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</si>
  <si>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</si>
  <si>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IC.BRE.DR.OS</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</si>
  <si>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</si>
  <si>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</si>
  <si>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</si>
  <si>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</si>
  <si>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per_sa_allsa.cov_q3_tot</t>
  </si>
  <si>
    <t>SM.POP.ASYS.EO</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</si>
  <si>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</si>
  <si>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AG.PRD.CROP.XD</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</si>
  <si>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</si>
  <si>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DT.NFL.PNGC.CD</t>
  </si>
  <si>
    <t>SL.MNF.0714.MA.ZS</t>
  </si>
  <si>
    <t>EN.GHG.ALL.LU.MT.CE.AR5</t>
  </si>
  <si>
    <t>SG.VAW.GOES.ZS</t>
  </si>
  <si>
    <t>Firm-level surveys have been conducted since the 1990's by different units within the World Bank. Since 2005-06, most data collection efforts have been centralized within the Enterprise Analysis Unit. Surveys implemented by the Enterprise Analysis Unit follow the Global Methodology.
Private contractors conduct the Enterprise Surveys on behalf of the World Bank. Due to sensitive survey questions addressing business-government relations and bribery-related topics, private contractors, rather than any government agency or an organization/institution associated with government, are hired by the World Bank to collect the data.
Confidentiality of the survey respondents and the sensitive information they provide is necessary to ensure the greatest degree of survey participation, integrity and confidence in the quality of the data. Surveys are usually carried out in cooperation with business organizations and government agencies promoting job creation and economic growth, but confidentiality is never compromised.
The Enterprise Survey is answered by business owners and top managers. Sometimes the survey respondent calls company accountants and human resource managers into the interview to answer questions in the sales and labor sections of the survey. Typically 1200-1800 interviews are conducted in larger economies, 360 interviews are conducted in medium-sized economies, and for smaller economies, 150 interviews take place.
The manufacturing and services sectors are the primary business sectors of interest. This corresponds to firms classified with ISIC codes 15-37, 45, 50-52, 55, 60-64, and 72 (ISIC Rev.3.1). Formal (registered) companies with 5 or more employees are targeted for interview. Services firms include construction, retail, wholesale, hotels, restaurants, transport, storage, communications, and IT. Firms with 100% government/state ownership are not eligible to participate in an Enterprise Survey. Occasionally, for a few surveyed countries, other sectors are included in the companies surveyed such as education or health-related businesses. In each country, businesses in the cities/regions of major economic activity are interviewed.
In some countries, other surveys, which depart from the usual Enterprise Survey methodology, are conducted. Examples include 1) Informal Surveys- surveys of informal (unregistered) enterprises, 2) Micro Surveys- surveys fielded to registered firms with less than five employees, and 3) Financial Crisis Assessment Surveys- short surveys administered by telephone to assess the effects of the global financial crisis of 2008-09.
The Enterprise Surveys Unit uses two instruments: the Manufacturing Questionnaire and the Services Questionnaire. Although many questions overlap, some are only applicable to one type of business. For example, retail firms are not asked about production and nonproduction workers.
The standard Enterprise Survey topics include firm characteristics, gender participation, access to finance, annual sales, costs of inputs/labor, workforce composition, bribery, licensing, infrastructure, trade, crime, competition, capacity utilization, land and permits, taxation, informality, business-government relations, innovation and technology, and performance measures.
Over 90% of the questions objectively ascertain characteristics of a country’s business environment. The remaining questions assess the survey respondents’ opinions on what are the obstacles to firm growth and performance. The mode of data collection is face-to-face interviews.
Please also refer to the methodology information on the Enterprise Surveys site: https://www.enterprisesurveys.org/en/methodology</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</si>
  <si>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</si>
  <si>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</si>
  <si>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NE.GDI.TOTL.KN</t>
  </si>
  <si>
    <t>EN.GHG.TOT.ZG.AR5</t>
  </si>
  <si>
    <t>SE.COM.DURS</t>
  </si>
  <si>
    <t>RL.PER.RNK.LOWER</t>
  </si>
  <si>
    <t>DT.TDS.DECT.EX.ZS</t>
  </si>
  <si>
    <t>TM.VAL.MRCH.RS.ZS</t>
  </si>
  <si>
    <t>TX.VAL.MRCH.WL.CD</t>
  </si>
  <si>
    <t>SE.PRE.ENRL.TC.ZS</t>
  </si>
  <si>
    <t>ER.H2O.FWST.ZS</t>
  </si>
  <si>
    <t>CM.MKT.TRAD.GD.ZS</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</si>
  <si>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</si>
  <si>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</si>
  <si>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BX.KLT.DINV.WD.GD.ZS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</si>
  <si>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</si>
  <si>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BN.GSR.GNFS.CD</t>
  </si>
  <si>
    <t>NE.CON.PRVT.KD.ZG</t>
  </si>
  <si>
    <t>EG.USE.COMM.CL.ZS</t>
  </si>
  <si>
    <t>AG.LND.TOTL.K2</t>
  </si>
  <si>
    <t>SE.TER.CUAT.ST.ZS</t>
  </si>
  <si>
    <t>SE.PRM.REPT.ZS</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</si>
  <si>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</si>
  <si>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</si>
  <si>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NV.IND.TOTL.KD</t>
  </si>
  <si>
    <t>SL.TLF.TOTL.FE.ZS</t>
  </si>
  <si>
    <t>NE.RSB.GNFS.CN</t>
  </si>
  <si>
    <t>SH.IMM.MEAS</t>
  </si>
  <si>
    <t>EN.URB.LCTY.UR.ZS</t>
  </si>
  <si>
    <t>NY.GNP.MKTP.CD</t>
  </si>
  <si>
    <t>EN.ATM.PM25.MC.M3</t>
  </si>
  <si>
    <t>SH.STA.MMRT.NE</t>
  </si>
  <si>
    <t>SE.PRM.PRSL.FE.ZS</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</si>
  <si>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</si>
  <si>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NY.GDP.PCAP.CN</t>
  </si>
  <si>
    <t>SL.AGR.EMPL.FE.ZS</t>
  </si>
  <si>
    <t>SH.STA.BRTW.ZS</t>
  </si>
  <si>
    <t>SI.DST.03RD.20</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</si>
  <si>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</si>
  <si>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DC.DAC.TOTL.CD</t>
  </si>
  <si>
    <t>SH.UHC.OOPC.25.ZS</t>
  </si>
  <si>
    <t>AG.LND.ARBL.HA</t>
  </si>
  <si>
    <t>DT.NFL.DPNG.CD</t>
  </si>
  <si>
    <t>IQ.CPA.MACR.XQ</t>
  </si>
  <si>
    <t>SP.M15.2024.FE.ZS</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</si>
  <si>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</si>
  <si>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</si>
  <si>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IQ.CPA.BREG.XQ</t>
  </si>
  <si>
    <t>PV.PER.RNK.LOWER</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</si>
  <si>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</si>
  <si>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</si>
  <si>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GC.REV.XGRT.CN</t>
  </si>
  <si>
    <t>SE.SEC.TCAQ.FE.ZS</t>
  </si>
  <si>
    <t>SH.MED.SAOP.P5</t>
  </si>
  <si>
    <t>TM.VAL.MRCH.R5.ZS</t>
  </si>
  <si>
    <t>SE.SEC.TCAQ.LO.MA.ZS</t>
  </si>
  <si>
    <t>SL.TLF.INTM.ZS</t>
  </si>
  <si>
    <t>SH.DTH.2024</t>
  </si>
  <si>
    <t>Arable land (hectares)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</si>
  <si>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</si>
  <si>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IC.BRE.IT.P3</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</si>
  <si>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</si>
  <si>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NY.TAX.NIND.CN</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</si>
  <si>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</si>
  <si>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SL.TLF.0714.ZS</t>
  </si>
  <si>
    <t>SL.TLF.PART.FE.ZS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</si>
  <si>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</si>
  <si>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SE.PRE.DURS</t>
  </si>
  <si>
    <t>GC.TAX.GSRV.VA.ZS</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</si>
  <si>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corresponding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
Statistical concept(s): The UNDP's multidimensional poverty index (MPI) summarizes the incidence of multiple dimensions of poverty in a country. The MPI assesses deprivation in three dimensions of well-being (health, education, and living standards) and 10 corresponding indicators (nutrition, child mortality, school attendance, years of schooling, and access to electricity, safe drinking water, improved sanitation, good cooking fuel, good housing infrastructure).</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</si>
  <si>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</si>
  <si>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SP.POP.6064.FE.5Y</t>
  </si>
  <si>
    <t>SE.SEC.PRIV.ZS</t>
  </si>
  <si>
    <t>SI.DST.10TH.10</t>
  </si>
  <si>
    <t>FB.AST.NPER.ZS</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</si>
  <si>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</si>
  <si>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DT.NFL.IMFC.CD</t>
  </si>
  <si>
    <t>ER.H2O.FWTL.K3</t>
  </si>
  <si>
    <t>DT.ODA.OATL.CD</t>
  </si>
  <si>
    <t>IS.SHP.GCNW.XQ</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</si>
  <si>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</si>
  <si>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SH.MED.CMHW.P3</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</si>
  <si>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</si>
  <si>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</si>
  <si>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SH.ANM.ALLW.ZS</t>
  </si>
  <si>
    <t>SL.EMP.TOTL.SP.ZS</t>
  </si>
  <si>
    <t>per_sa_allsa.cov_q2_tot</t>
  </si>
  <si>
    <t>EG.CFT.ACCS.RU.ZS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</si>
  <si>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</si>
  <si>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IQ.SPI.PIL4</t>
  </si>
  <si>
    <t>SG.VAW.NEGL.ZS</t>
  </si>
  <si>
    <t>SE.SEC.ENRR.MA</t>
  </si>
  <si>
    <t>SP.POP.65UP.FE.ZS</t>
  </si>
  <si>
    <t>SL.UEM.NEET.MA.ME.ZS</t>
  </si>
  <si>
    <t>NY.GDP.FCST.CN</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</si>
  <si>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</si>
  <si>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SP.POP.1564.MA.ZS</t>
  </si>
  <si>
    <t>SH.STA.OWGH.ME.MA.ZS</t>
  </si>
  <si>
    <t>SL.TLF.ACTI.FE.ZS</t>
  </si>
  <si>
    <t>SE.PRM.PRS5.ZS</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</si>
  <si>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</si>
  <si>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SH.ALC.PCAP.MA.LI</t>
  </si>
  <si>
    <t>SE.SEC.CUAT.PO.ZS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</si>
  <si>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</si>
  <si>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SL.UEM.1524.MA.NE.ZS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</si>
  <si>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</si>
  <si>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DT.NFL.BLAT.CD</t>
  </si>
  <si>
    <t>SE.SEC.TCAQ.LO.ZS</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</si>
  <si>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</si>
  <si>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</si>
  <si>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</si>
  <si>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EN.ATM.PM25.MC.T2.ZS</t>
  </si>
  <si>
    <t>IP.TMK.RSCT</t>
  </si>
  <si>
    <t>SL.WAG.0714.FE.ZS</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</si>
  <si>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</si>
  <si>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NY.ADJ.DNGY.GN.ZS</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</si>
  <si>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</si>
  <si>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</si>
  <si>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</si>
  <si>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</si>
  <si>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</si>
  <si>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</si>
  <si>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</si>
  <si>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</si>
  <si>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</si>
  <si>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SH.STA.SMSS.UR.ZS</t>
  </si>
  <si>
    <t>SH.DTH.NMRT</t>
  </si>
  <si>
    <t>SH.STA.BASS.RU.ZS</t>
  </si>
  <si>
    <t>SH.DYN.2024</t>
  </si>
  <si>
    <t>TX.MNF.TECH.ZS.UN</t>
  </si>
  <si>
    <t>NY.GDS.TOTL.ZS</t>
  </si>
  <si>
    <t>DC.ODA.TOTL.CD</t>
  </si>
  <si>
    <t>IP.TMK.NRCT</t>
  </si>
  <si>
    <t>NY.GNP.ATLS.CD</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</si>
  <si>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</si>
  <si>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</si>
  <si>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</si>
  <si>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</si>
  <si>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</si>
  <si>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SE.TER.CUAT.MS.FE.ZS</t>
  </si>
  <si>
    <t>DC.DAC.ITAL.CD</t>
  </si>
  <si>
    <t>Methodology: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</si>
  <si>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</si>
  <si>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BG.GSR.NFSV.GD.ZS</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</si>
  <si>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</si>
  <si>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TM.VAL.MRCH.XD.WD</t>
  </si>
  <si>
    <t>PA.NUS.ATLS</t>
  </si>
  <si>
    <t>NY.GDP.MKTP.KD.ZG</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</si>
  <si>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</si>
  <si>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</si>
  <si>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</si>
  <si>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</si>
  <si>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</si>
  <si>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Methodology: Household Surveys
Statistical concept(s): When used the right way every time, condoms are highly effective in preventing HIV and other sexually transmitted diseases (STDs).</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</si>
  <si>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</si>
  <si>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</si>
  <si>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</si>
  <si>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GC.TAX.TOTL.CN</t>
  </si>
  <si>
    <t>SE.PRM.PRSL.ZS</t>
  </si>
  <si>
    <t>SP.URB.TOTL</t>
  </si>
  <si>
    <t>SE.PRM.TENR.MA</t>
  </si>
  <si>
    <t>IC.FRM.CDP.ZS</t>
  </si>
  <si>
    <t>CM.MKT.LCAP.GD.ZS</t>
  </si>
  <si>
    <t>SE.PRE.ENRR.MA</t>
  </si>
  <si>
    <t>DC.DAC.SVKL.CD</t>
  </si>
  <si>
    <t>ST.INT.RCPT.CD</t>
  </si>
  <si>
    <t>NY.ADJ.DNGY.CD</t>
  </si>
  <si>
    <t>SE.SEC.NENR.MA</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</si>
  <si>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</si>
  <si>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NE.RSB.GNFS.KN</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</si>
  <si>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</si>
  <si>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</si>
  <si>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</si>
  <si>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</si>
  <si>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IE.PPN.ENGY.CD</t>
  </si>
  <si>
    <t>SP.POP.7579.FE.5Y</t>
  </si>
  <si>
    <t>NY.GDP.FCST.CD</t>
  </si>
  <si>
    <t>NY.GDP.PCAP.KN</t>
  </si>
  <si>
    <t>SL.IND.EMPL.FE.ZS</t>
  </si>
  <si>
    <t>CC.EST</t>
  </si>
  <si>
    <t>SL.EMP.TOTL.SP.MA.NE.ZS</t>
  </si>
  <si>
    <t>FM.AST.PRVT.ZG.M3</t>
  </si>
  <si>
    <t>SH.PRG.ANEM</t>
  </si>
  <si>
    <t>Methodology: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</si>
  <si>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</si>
  <si>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</si>
  <si>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SH.DYN.MORT.MA</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</si>
  <si>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</si>
  <si>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FS.AST.DOMO.GD.ZS</t>
  </si>
  <si>
    <t>FM.AST.DOMS.CN</t>
  </si>
  <si>
    <t>SE.LPV.PRIM.SD.MA</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</si>
  <si>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</si>
  <si>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</si>
  <si>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</si>
  <si>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SE.TER.ENRR.MA</t>
  </si>
  <si>
    <t>DT.DOD.PVLX.CD</t>
  </si>
  <si>
    <t>FR.INR.LEND</t>
  </si>
  <si>
    <t>SH.XPD.EHEX.CH.ZS</t>
  </si>
  <si>
    <t>SH.DYN.NMRT</t>
  </si>
  <si>
    <t>FX.OWN.TOTL.PL.ZS</t>
  </si>
  <si>
    <t>IC.BRE.BL.P3</t>
  </si>
  <si>
    <t>ER.H2O.INTR.K3</t>
  </si>
  <si>
    <t>per_sa_allsa.cov_q1_tot</t>
  </si>
  <si>
    <t>NE.CON.PRVT.ZS</t>
  </si>
  <si>
    <t>FP.WPI.TOTL</t>
  </si>
  <si>
    <t>LP.EXP.DURS.MD</t>
  </si>
  <si>
    <t>SE.PRM.PRSL.MA.ZS</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</si>
  <si>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</si>
  <si>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SP.M18.2024.FE.ZS</t>
  </si>
  <si>
    <t>Methodology: This indicator is obtained by dividing total primary energy supply over gross domestic product measured in constant 2017 US dollars at purchasing power parity.</t>
  </si>
  <si>
    <t>SH.STA.STNT.ZS</t>
  </si>
  <si>
    <t>SL.AGR.EMPL.MA.ZS</t>
  </si>
  <si>
    <t>SP.POP.5054.FE.5Y</t>
  </si>
  <si>
    <t>EG.USE.PCAP.KG.OE</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</si>
  <si>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</si>
  <si>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NY.TAX.NIND.KN</t>
  </si>
  <si>
    <t>IC.BRE.BI.P2</t>
  </si>
  <si>
    <t>AG.PRD.LVSK.XD</t>
  </si>
  <si>
    <t>GF.XPD.BUDG.ZS</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</si>
  <si>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</si>
  <si>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GC.XPN.GSRV.CN</t>
  </si>
  <si>
    <t>SL.UEM.INTM.MA.ZS</t>
  </si>
  <si>
    <t>NY.GNS.ICTR.GN.ZS</t>
  </si>
  <si>
    <t>HD.HCI.OVRL.LB.FE</t>
  </si>
  <si>
    <t>CC.PER.RNK.LOWER</t>
  </si>
  <si>
    <t>TM.TAX.TCOM.WM.FN.ZS</t>
  </si>
  <si>
    <t>DT.DOD.DSTC.CD</t>
  </si>
  <si>
    <t>BX.GSR.TRAN.ZS</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</si>
  <si>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</si>
  <si>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SP.POP.GROW</t>
  </si>
  <si>
    <t>HD.HCI.OVRL.MA</t>
  </si>
  <si>
    <t>DT.DOD.DSTC.IR.ZS</t>
  </si>
  <si>
    <t>DT.ODA.OATL.KD</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</si>
  <si>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</si>
  <si>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</si>
  <si>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FM.LBL.BMNY.CN</t>
  </si>
  <si>
    <t>SL.UEM.BASC.ZS</t>
  </si>
  <si>
    <t>IC.CUS.DURS.EX</t>
  </si>
  <si>
    <t>IC.BRE.FS.P1</t>
  </si>
  <si>
    <t>EG.ELC.FOSL.ZS</t>
  </si>
  <si>
    <t>DC.ODA.TOTL.GN.ZS</t>
  </si>
  <si>
    <t>TX.VAL.OTHR.ZS.WT</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</si>
  <si>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</si>
  <si>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SH.UHC.TOT1.ZS</t>
  </si>
  <si>
    <t>IC.CUS.DURS.IM</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</si>
  <si>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</si>
  <si>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IC.BUS.NDNS.ZS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</si>
  <si>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</si>
  <si>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SI.POV.DDAY</t>
  </si>
  <si>
    <t>TM.VAL.FOOD.ZS.UN</t>
  </si>
  <si>
    <t>DT.TDS.MLAT.CD</t>
  </si>
  <si>
    <t>VC.IHR.PSRC.P5</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</si>
  <si>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</si>
  <si>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</si>
  <si>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FR.INR.LNDP</t>
  </si>
  <si>
    <t>DT.ODA.ODAT.GN.ZS</t>
  </si>
  <si>
    <t>IC.FRM.CRDC.FL.ZS</t>
  </si>
  <si>
    <t>NE.TRD.GNFS.ZS</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</si>
  <si>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</si>
  <si>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</si>
  <si>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</si>
  <si>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</si>
  <si>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</si>
  <si>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</si>
  <si>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</si>
  <si>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SL.FAM.0714.FE.ZS</t>
  </si>
  <si>
    <t>AG.LND.TOTL.RU.K2</t>
  </si>
  <si>
    <t>IC.FRM.BKWC.ZS</t>
  </si>
  <si>
    <t>DT.NFL.WHOL.CD</t>
  </si>
  <si>
    <t>MS.MIL.MPRT.KD</t>
  </si>
  <si>
    <t>FD.RES.LIQU.AS.ZS</t>
  </si>
  <si>
    <t>SH.UHC.NOP2.ZS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</si>
  <si>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</si>
  <si>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per_lm_alllm.ben_q1_tot</t>
  </si>
  <si>
    <t>DT.NFL.UNEC.CD</t>
  </si>
  <si>
    <t>SP.POP.6064.MA.5Y</t>
  </si>
  <si>
    <t>IC.FRM.INFM.ZS</t>
  </si>
  <si>
    <t>CC.PER.RNK</t>
  </si>
  <si>
    <t>EN.GHG.N2O.PI.MT.CE.AR5</t>
  </si>
  <si>
    <t>NY.ADJ.SVNX.GN.ZS</t>
  </si>
  <si>
    <t>SP.POP.4549.FE.5Y</t>
  </si>
  <si>
    <t>EN.HPT.THRD.NO</t>
  </si>
  <si>
    <t>SH.HIV.INCD.YG</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</si>
  <si>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</si>
  <si>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IS.AIR.GOOD.MT.K1</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</si>
  <si>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</si>
  <si>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IQ.CPA.DEBT.XQ</t>
  </si>
  <si>
    <t>Methodology: Most of the data on consumption of iodized salt are derived from household surveys. For the data that are from household surveys, the year refers to the survey year.</t>
  </si>
  <si>
    <t>TM.VAL.TRVL.ZS.WT</t>
  </si>
  <si>
    <t>SH.UHC.NOPR.ZS</t>
  </si>
  <si>
    <t>SE.SEC.ENRR</t>
  </si>
  <si>
    <t>SE.PRM.NENR.FE</t>
  </si>
  <si>
    <t>SE.SEC.CMPT.LO.ZS</t>
  </si>
  <si>
    <t>SP.REG.BRTH.UR.ZS</t>
  </si>
  <si>
    <t>IP.PAT.NRES</t>
  </si>
  <si>
    <t>NV.SRV.TOTL.ZS</t>
  </si>
  <si>
    <t>SP.REG.DTHS.ZS</t>
  </si>
  <si>
    <t>SH.XPD.CHEX.GD.ZS</t>
  </si>
  <si>
    <t>BN.KAC.EOMS.CD</t>
  </si>
  <si>
    <t>SL.TLF.ACTI.MA.ZS</t>
  </si>
  <si>
    <t>NE.GDI.FTOT.KD.ZG</t>
  </si>
  <si>
    <t>SE.PRM.UNER.FE.ZS</t>
  </si>
  <si>
    <t>SE.PRM.TCAQ.FE.ZS</t>
  </si>
  <si>
    <t>DC.ODA.TOTL.KD</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</si>
  <si>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
Statistical concept(s):</t>
  </si>
  <si>
    <t>SH.MLR.INCD.P3</t>
  </si>
  <si>
    <t>IS.AIR.DPRT</t>
  </si>
  <si>
    <t>Methodology: World Bank concessional lending is done by the International Development Association (IDA) based on gross national income (GNI) per capita and performance standards assessed by World Bank staff.</t>
  </si>
  <si>
    <t>NE.EXP.GNFS.KN</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</si>
  <si>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</si>
  <si>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</si>
  <si>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</si>
  <si>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</si>
  <si>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SL.TLF.ACTI.ZS</t>
  </si>
  <si>
    <t>SI.DST.FRST.10</t>
  </si>
  <si>
    <t>SL.EMP.1524.SP.ZS</t>
  </si>
  <si>
    <t>SL.WAG.0714.MA.ZS</t>
  </si>
  <si>
    <t>NY.ADJ.NNTY.KD.ZG</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</si>
  <si>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</si>
  <si>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SE.SEC.CUAT.LO.FE.ZS</t>
  </si>
  <si>
    <t>SE.PRM.ENRL</t>
  </si>
  <si>
    <t>SG.TIM.UWRK.FE</t>
  </si>
  <si>
    <t>EN.GHG.CO2.AG.MT.CE.AR5</t>
  </si>
  <si>
    <t>per_lm_alllm.cov_pop_tot</t>
  </si>
  <si>
    <t>DC.DAC.JPNL.CD</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</si>
  <si>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</si>
  <si>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</si>
  <si>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SH.XPD.PVTD.PP.CD</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</si>
  <si>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</si>
  <si>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SE.SEC.CUAT.UP.ZS</t>
  </si>
  <si>
    <t>SH.DYN.AIDS.ZS</t>
  </si>
  <si>
    <t>FX.OWN.TOTL.OL.ZS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</si>
  <si>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</si>
  <si>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</si>
  <si>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SH.STA.ODFC.UR.ZS</t>
  </si>
  <si>
    <t>EG.ELC.RNWX.KH</t>
  </si>
  <si>
    <t>SE.PRM.NINT.ZS</t>
  </si>
  <si>
    <t>TX.VAL.MRCH.R4.ZS</t>
  </si>
  <si>
    <t>SL.EMP.SELF.FE.ZS</t>
  </si>
  <si>
    <t>Methodology: Weighted average of statistical performance indicators related to data use.  Scores range from 0-100 with 100 representing the best score.
Statistical concept(s): Composite Multi-dimensional Index</t>
  </si>
  <si>
    <t>DT.NFL.FAOG.CD</t>
  </si>
  <si>
    <t>EN.URB.MCTY</t>
  </si>
  <si>
    <t>SE.TER.CUAT.MS.MA.ZS</t>
  </si>
  <si>
    <t>NY.GDP.FCST.KD</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</si>
  <si>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</si>
  <si>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SH.STA.MALN.FE.ZS</t>
  </si>
  <si>
    <t>SH.DTH.IMRT</t>
  </si>
  <si>
    <t>CM.MKT.INDX.ZG</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</si>
  <si>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</si>
  <si>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SL.SRV.EMPL.FE.ZS</t>
  </si>
  <si>
    <t>EN.GHG.CH4.PI.MT.CE.AR5</t>
  </si>
  <si>
    <t>GC.XPN.OTHR.CN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</si>
  <si>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</si>
  <si>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IC.FRM.CRDC.PT.ZS</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</si>
  <si>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</si>
  <si>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SH.XPD.OOPC.CH.ZS</t>
  </si>
  <si>
    <t>IT.NET.USER.FE.ZS</t>
  </si>
  <si>
    <t>IC.BRE.LB.P2</t>
  </si>
  <si>
    <t>NY.ADJ.SVNG.CD</t>
  </si>
  <si>
    <t>TM.TAX.MANF.WM.FN.ZS</t>
  </si>
  <si>
    <t>NY.GSR.NFCY.CN</t>
  </si>
  <si>
    <t>EN.GHG.N2O.MT.CE.AR5</t>
  </si>
  <si>
    <t>Methodology: Acute respiratory infection continues to be a leading cause of death among young children. Data are drawn mostly from household health surveys in which mothers report on number of episodes and treatment for acute respiratory infection.</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</si>
  <si>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</si>
  <si>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SH.UHC.OOPC.10.ZS</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</si>
  <si>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</si>
  <si>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LP.LPI.TIME.XQ</t>
  </si>
  <si>
    <t>SH.STA.OWGH.ME.ZS</t>
  </si>
  <si>
    <t>SL.UEM.1524.ZS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</si>
  <si>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</si>
  <si>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IQ.CPA.PUBS.XQ</t>
  </si>
  <si>
    <t>NE.CON.TOTL.KD.ZG</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</si>
  <si>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</si>
  <si>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</si>
  <si>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</si>
  <si>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DC.DAC.HUNL.CD</t>
  </si>
  <si>
    <t>SL.IND.EMPL.MA.ZS</t>
  </si>
  <si>
    <t>IQ.CPA.ECON.XQ</t>
  </si>
  <si>
    <t>SH.MED.PHYS.ZS</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</si>
  <si>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</si>
  <si>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</si>
  <si>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</si>
  <si>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LP.LPI.TRAC.XQ</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</si>
  <si>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</si>
  <si>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</si>
  <si>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</si>
  <si>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IQ.CPA.SOCI.XQ</t>
  </si>
  <si>
    <t>DC.DAC.BELL.CD</t>
  </si>
  <si>
    <t>SL.TLF.0714.WK.FE.ZS</t>
  </si>
  <si>
    <t>SH.STA.MALN.ZS</t>
  </si>
  <si>
    <t>BM.KLT.DINV.CD.WD</t>
  </si>
  <si>
    <t>TX.VAL.MMTL.ZS.UN</t>
  </si>
  <si>
    <t>IQ.CPA.HRES.XQ</t>
  </si>
  <si>
    <t>Methodology: 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</si>
  <si>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IC.BRE.P2.PS</t>
  </si>
  <si>
    <t>DT.TDS.DPPF.XP.ZS</t>
  </si>
  <si>
    <t>SL.TLF.0714.WK.FE.TM</t>
  </si>
  <si>
    <t>EN.GHG.CO2.ZG.AR5</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</si>
  <si>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</si>
  <si>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</si>
  <si>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</si>
  <si>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SI.DST.50MD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</si>
  <si>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t>
  </si>
  <si>
    <t>NV.MNF.FBTO.ZS.UN</t>
  </si>
  <si>
    <t>SE.TER.CUAT.ST.FE.ZS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</si>
  <si>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</si>
  <si>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Methodology: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</si>
  <si>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SL.UEM.1524.FE.NE.ZS</t>
  </si>
  <si>
    <t>IC.FRM.EXS.ZS</t>
  </si>
  <si>
    <t>SE.SEC.TCHR.FE.ZS</t>
  </si>
  <si>
    <t>TM.VAL.MRCH.HI.ZS</t>
  </si>
  <si>
    <t>SL.TLF.ACTI.1524.FE.NE.ZS</t>
  </si>
  <si>
    <t>SH.XPD.CHEX.PP.CD</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</si>
  <si>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</si>
  <si>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SE.SEC.TCAQ.UP.FE.ZS</t>
  </si>
  <si>
    <t>SE.PRM.OENR.FE.ZS</t>
  </si>
  <si>
    <t>IC.TAX.METG</t>
  </si>
  <si>
    <t>SP.POP.0014.FE.ZS</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</si>
  <si>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</si>
  <si>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EG.ELC.ACCS.UR.ZS</t>
  </si>
  <si>
    <t>SP.POP.3539.FE.5Y</t>
  </si>
  <si>
    <t>Last Updated: 07/01/2025</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</si>
  <si>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</si>
  <si>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</si>
  <si>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TM.VAL.MRCH.CD.WT</t>
  </si>
  <si>
    <t>SE.PRM.OENR.ZS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</si>
  <si>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</si>
  <si>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IC.FRM.FEMM.ZS</t>
  </si>
  <si>
    <t>SM.POP.IDPC</t>
  </si>
  <si>
    <t>SI.POV.UMIC</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</si>
  <si>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</si>
  <si>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SP.RUR.TOTL.ZS</t>
  </si>
  <si>
    <t>EN.CLC.MDAT.ZS</t>
  </si>
  <si>
    <t>IT.CEL.SETS.P2</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</si>
  <si>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</si>
  <si>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DT.NFL.MIBR.CD</t>
  </si>
  <si>
    <t>DT.DOD.DPPG.CD</t>
  </si>
  <si>
    <t>SH.MMR.RISK</t>
  </si>
  <si>
    <t>SL.FAM.0714.MA.ZS</t>
  </si>
  <si>
    <t>GC.XPN.COMP.ZS</t>
  </si>
  <si>
    <t>DT.NFL.PCBO.CD</t>
  </si>
  <si>
    <t>SP.MTR.1519.ZS</t>
  </si>
  <si>
    <t>SM.POP.RHCR.EA</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</si>
  <si>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</si>
  <si>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</si>
  <si>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DC.DAC.IRLL.CD</t>
  </si>
  <si>
    <t>SP.POP.1014.FE.5Y</t>
  </si>
  <si>
    <t>NE.DAB.DEFL.ZS</t>
  </si>
  <si>
    <t>BN.TRF.KOGT.CD</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</si>
  <si>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</si>
  <si>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DT.ODA.ODAT.GI.ZS</t>
  </si>
  <si>
    <t>BN.CAB.XOKA.GD.ZS</t>
  </si>
  <si>
    <t>SP.POP.4549.MA.5Y</t>
  </si>
  <si>
    <t>DT.NFL.ILOG.CD</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</si>
  <si>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</si>
  <si>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</si>
  <si>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</si>
  <si>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ER.H2O.FWAG.ZS</t>
  </si>
  <si>
    <t>SH.DTH.1519</t>
  </si>
  <si>
    <t>SE.PRM.CMPT.FE.ZS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</si>
  <si>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</si>
  <si>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BX.GSR.CMCP.ZS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</si>
  <si>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</si>
  <si>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EN.GHG.FGAS.IP.MT.CE.AR5</t>
  </si>
  <si>
    <t>IC.BRE.TX.P3</t>
  </si>
  <si>
    <t>IQ.CPA.PADM.XQ</t>
  </si>
  <si>
    <t>GE.PER.RNK</t>
  </si>
  <si>
    <t>BM.GSR.TRAN.ZS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</si>
  <si>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</si>
  <si>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SH.DTH.COMM.ZS</t>
  </si>
  <si>
    <t>DT.NFL.UNCR.CD</t>
  </si>
  <si>
    <t>GE.PER.RNK.UPPER</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</si>
  <si>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</si>
  <si>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SP.URB.GROW</t>
  </si>
  <si>
    <t>NV.IND.TOTL.ZS</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</si>
  <si>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</si>
  <si>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</si>
  <si>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SL.EMP.TOTL.SP.FE.NE.ZS</t>
  </si>
  <si>
    <t>SH.UHC.TOTR.ZS</t>
  </si>
  <si>
    <t>SL.UEM.ADVN.FE.ZS</t>
  </si>
  <si>
    <t>SH.XPD.GHED.CH.ZS</t>
  </si>
  <si>
    <t>NY.GDP.PCAP.PP.CD</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</si>
  <si>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</si>
  <si>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</si>
  <si>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</si>
  <si>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</si>
  <si>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</si>
  <si>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IC.FRM.FREG.ZS</t>
  </si>
  <si>
    <t>TX.VAL.MRCH.AL.ZS</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</si>
  <si>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</si>
  <si>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SP.DYN.AMRT.FE</t>
  </si>
  <si>
    <t>IQ.CPA.STRC.XQ</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</si>
  <si>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</si>
  <si>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</si>
  <si>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BN.CAB.XOKA.CD</t>
  </si>
  <si>
    <t>BN.KLT.DINV.CD</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</si>
  <si>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</si>
  <si>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DC.DAC.AUTL.CD</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</si>
  <si>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</si>
  <si>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SP.POP.2024.MA.5Y</t>
  </si>
  <si>
    <t>EN.GHG.CH4.ZG.AR5</t>
  </si>
  <si>
    <t>NV.IND.MANF.CN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</si>
  <si>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</si>
  <si>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SP.POP.0509.FE.5Y</t>
  </si>
  <si>
    <t>SE.PRM.GINT.FE.ZS</t>
  </si>
  <si>
    <t>DT.NFL.PBND.CD</t>
  </si>
  <si>
    <t>EN.GHG.CH4.WA.MT.CE.AR5</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</si>
  <si>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</si>
  <si>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NY.GDY.TOTL.KN</t>
  </si>
  <si>
    <t>NE.GDI.TOTL.CD</t>
  </si>
  <si>
    <t>SP.POP.1564.FE.IN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</si>
  <si>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</si>
  <si>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SP.POP.DPND.YG</t>
  </si>
  <si>
    <t>SP.POP.DPND.OL</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</si>
  <si>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</si>
  <si>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</si>
  <si>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NY.GSR.NFCY.KN</t>
  </si>
  <si>
    <t>BX.GSR.INSF.ZS</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</si>
  <si>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the UNRWA estimates that 70 per cent of the 1.7 million IDPs in the Gaza Strip at end-2023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</si>
  <si>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SH.STA.ORTH</t>
  </si>
  <si>
    <t>TT.PRI.MRCH.XD.WD</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</si>
  <si>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</si>
  <si>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</si>
  <si>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</si>
  <si>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</si>
  <si>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NV.AGR.TOTL.ZS</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</si>
  <si>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</si>
  <si>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</si>
  <si>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NY.ADJ.NNTY.PC.KD.ZG</t>
  </si>
  <si>
    <t>NE.DAB.TOTL.CN</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</si>
  <si>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</si>
  <si>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SE.PRM.UNER.MA</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</si>
  <si>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</si>
  <si>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</si>
  <si>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</si>
  <si>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EN.POP.SLUM.UR.ZS</t>
  </si>
  <si>
    <t>TG.VAL.TOTL.GD.ZS</t>
  </si>
  <si>
    <t>SL.UEM.TOTL.ZS</t>
  </si>
  <si>
    <t>SE.PRM.REPT.FE.ZS</t>
  </si>
  <si>
    <t>SH.XPD.OOPC.PC.CD</t>
  </si>
  <si>
    <t>Series Code</t>
  </si>
  <si>
    <t>SL.SRV.EMPL.MA.ZS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</si>
  <si>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</si>
  <si>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SH.DYN.1519</t>
  </si>
  <si>
    <t>IC.BRE.BI.P1</t>
  </si>
  <si>
    <t>SG.VAW.REFU.ZS</t>
  </si>
  <si>
    <t>RL.EST</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</si>
  <si>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</si>
  <si>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</si>
  <si>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</si>
  <si>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</si>
  <si>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</si>
  <si>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</si>
  <si>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IC.BRE.US.P3</t>
  </si>
  <si>
    <t>SP.POP.1564.TO.ZS</t>
  </si>
  <si>
    <t>NY.GDP.COAL.RT.ZS</t>
  </si>
  <si>
    <t>Country Name</t>
  </si>
  <si>
    <t>BX.GSR.MRCH.CD</t>
  </si>
  <si>
    <t>TM.UVI.MRCH.XD.WD</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</si>
  <si>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</si>
  <si>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BX.TRF.PWKR.CD</t>
  </si>
  <si>
    <t>SL.EMP.TOTL.SP.NE.ZS</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</si>
  <si>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</si>
  <si>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</si>
  <si>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TM.VAL.MRCH.R3.ZS</t>
  </si>
  <si>
    <t>SH.STA.STNT.ME.FE.ZS</t>
  </si>
  <si>
    <t>NY.GNP.MKTP.CN.AD</t>
  </si>
  <si>
    <t>SL.TLF.0714.WK.MA.ZS</t>
  </si>
  <si>
    <t>SE.PRM.GINT.ZS</t>
  </si>
  <si>
    <t>Methodology: Weighted average of all statistical performance indicators.  Scores range from 0-100 with 100 representing the best score.
Statistical concept(s): Composite Multi-dimensional Index</t>
  </si>
  <si>
    <t>BX.GRT.TECH.CD.WD</t>
  </si>
  <si>
    <t>SL.TLF.0714.WK.MA.TM</t>
  </si>
  <si>
    <t>NY.ADJ.ICTR.GN.ZS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</si>
  <si>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</si>
  <si>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AG.LND.EL5M.ZS</t>
  </si>
  <si>
    <t>SE.SEC.CUAT.LO.ZS</t>
  </si>
  <si>
    <t>SH.CON.1524.FE.ZS</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</si>
  <si>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</si>
  <si>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TM.VAL.FUEL.ZS.UN</t>
  </si>
  <si>
    <t>SH.SGR.IRSK.ZS</t>
  </si>
  <si>
    <t>GB.XPD.RSDV.GD.ZS</t>
  </si>
  <si>
    <t>SE.TER.CUAT.ST.MA.ZS</t>
  </si>
  <si>
    <t>NY.ADJ.NNAT.CD</t>
  </si>
  <si>
    <t>NE.IMP.GNFS.CN</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</si>
  <si>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</si>
  <si>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SE.SEC.TCAQ.UP.MA.ZS</t>
  </si>
  <si>
    <t>SH.STA.ODFC.ZS</t>
  </si>
  <si>
    <t>DT.NFL.UNID.CD</t>
  </si>
  <si>
    <t>SP.POP.0014.MA.ZS</t>
  </si>
  <si>
    <t>FI.RES.TOTL.CD</t>
  </si>
  <si>
    <t>EN.GHG.CO2.IP.MT.CE.AR5</t>
  </si>
  <si>
    <t>SL.TLF.INTM.FE.ZS</t>
  </si>
  <si>
    <t>DT.NFL.SPRP.CD</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</si>
  <si>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</si>
  <si>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NE.DAB.TOTL.CD</t>
  </si>
  <si>
    <t>NY.GNP.MKTP.PP.KD</t>
  </si>
  <si>
    <t>SL.EMP.MPYR.MA.ZS</t>
  </si>
  <si>
    <t>ST.INT.TVLR.CD</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</si>
  <si>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</si>
  <si>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</si>
  <si>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ST.INT.XPND.CD</t>
  </si>
  <si>
    <t>SE.PRM.CUAT.ZS</t>
  </si>
  <si>
    <t>Methodology: Methods for monitoring HIV incidence vary depending on the epidemic setting and are typically categorized as either direct or indirect measures. Direct measurement at a population level is preferred but often difficult to obtain. Consequently, most countries rely on indirect measures or a combination of both.
Direct measurement strategies include longitudinal follow-up and repeat testing among individuals without HIV infection, as well as estimation using laboratory tests for recent HIV infection and clinical data. However, longitudinal monitoring is costly and complex, requiring nationally representative population-based surveys.
Indirect methods frequently rely on estimates constructed from mathematical modeling tools, such as Spectrum or the AIDS Epidemic Model. These models incorporate geographical and population-specific HIV surveys, surveillance, case reporting, mortality, program and clinical data, and sometimes assumptions about risk behavior and HIV transmission. Countries may also triangulate these data with other sources, such as serial population-based HIV prevalence estimates or estimates of HIV prevalence in young, recently exposed populations.
It is important to note that case-based surveillance systems capturing newly reported HIV infections should not be used as a direct source for estimating the number of new infections in the reporting year due to reporting delays and underdiagnosis. However, this information can be useful for triangulation or validation purposes, especially when combined with tests for the recency of HIV infection.</t>
  </si>
  <si>
    <t>DC.DAC.AUSL.CD</t>
  </si>
  <si>
    <t>DT.ODA.ALLD.CD</t>
  </si>
  <si>
    <t>FM.LBL.BMNY.IR.ZS</t>
  </si>
  <si>
    <t>TX.VAL.MRCH.OR.ZS</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</si>
  <si>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</si>
  <si>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</si>
  <si>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</si>
  <si>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</si>
  <si>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</si>
  <si>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</si>
  <si>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</si>
  <si>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GC.AST.TOTL.CN</t>
  </si>
  <si>
    <t>Methodology: Thirty-five data points are scored across eight indicators (Mobility, Workplace, Pay, Marriage, Parenthood, Entrepreneurship, Assets and Pension)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
Statistical concept(s): 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violence against women legislation,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t>
  </si>
  <si>
    <t>SG.DMK.SRCR.FN.ZS</t>
  </si>
  <si>
    <t>IQ.CPA.FISP.XQ</t>
  </si>
  <si>
    <t>FB.BNK.CAPA.ZS</t>
  </si>
  <si>
    <t>SL.UEM.TOTL.NE.ZS</t>
  </si>
  <si>
    <t>NY.GDP.PCAP.PP.KD</t>
  </si>
  <si>
    <t>SL.EMP.1524.SP.FE.NE.ZS</t>
  </si>
  <si>
    <t>SP.POP.80UP.FE.5Y</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</si>
  <si>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</si>
  <si>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</si>
  <si>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</si>
  <si>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SM.POP.RHCR.EO</t>
  </si>
  <si>
    <t>SE.PRM.TCHR.FE.ZS</t>
  </si>
  <si>
    <t>NY.ADJ.NNTY.PC.CD</t>
  </si>
  <si>
    <t>SM.POP.OPIP.EO</t>
  </si>
  <si>
    <t>NV.IND.MANF.KN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</si>
  <si>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</si>
  <si>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GC.DOD.TOTL.GD.ZS</t>
  </si>
  <si>
    <t>DT.NFL.IAEA.CD</t>
  </si>
  <si>
    <t>LP.IMP.DURS.MD</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</si>
  <si>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</si>
  <si>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SH.STA.SMSS.ZS</t>
  </si>
  <si>
    <t>CIV</t>
  </si>
  <si>
    <t>NE.GDI.TOTL.KD</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</si>
  <si>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</si>
  <si>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SH.ANM.NPRG.ZS</t>
  </si>
  <si>
    <t>SH.XPD.GHED.PC.CD</t>
  </si>
  <si>
    <t>RL.NO.SRC</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</si>
  <si>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</si>
  <si>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</si>
  <si>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</si>
  <si>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</si>
  <si>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</si>
  <si>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NE.IMP.GNFS.CD</t>
  </si>
  <si>
    <t>NY.GNP.PCAP.KD.ZG</t>
  </si>
  <si>
    <t>SL.SRV.EMPL.ZS</t>
  </si>
  <si>
    <t>PV.PER.RNK</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</si>
  <si>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</si>
  <si>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SI.SPR.PCAP</t>
  </si>
  <si>
    <t>DT.DOD.DPNG.CD</t>
  </si>
  <si>
    <t>NE.DAB.TOTL.KN</t>
  </si>
  <si>
    <t>NY.GDP.DEFL.ZS.AD</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</si>
  <si>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</si>
  <si>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</si>
  <si>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NV.AGR.TOTL.KD.ZG</t>
  </si>
  <si>
    <t>SP.POP.0509.MA.5Y</t>
  </si>
  <si>
    <t>SP.POP.TOTL.MA.IN</t>
  </si>
  <si>
    <t>IQ.CPA.TRAD.XQ</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</si>
  <si>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</si>
  <si>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</si>
  <si>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</si>
  <si>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</si>
  <si>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</si>
  <si>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</si>
  <si>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GC.XPN.TOTL.GD.ZS</t>
  </si>
  <si>
    <t>NY.GDP.PCAP.CD</t>
  </si>
  <si>
    <t>FM.LBL.BMNY.ZG</t>
  </si>
  <si>
    <t>SH.TBS.DTEC.ZS</t>
  </si>
  <si>
    <t>FB.CBK.BRWR.P3</t>
  </si>
  <si>
    <t>SI.SPR.PC40.ZG</t>
  </si>
  <si>
    <t>EN.GHG.CO2.PC.CE.AR5</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</si>
  <si>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</si>
  <si>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</si>
  <si>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</si>
  <si>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SL.TLF.ACTI.1524.MA.NE.ZS</t>
  </si>
  <si>
    <t>DC.DAC.ISLL.CD</t>
  </si>
  <si>
    <t>EG.USE.COMM.GD.PP.KD</t>
  </si>
  <si>
    <t>SH.DTH.1014</t>
  </si>
  <si>
    <t>per_allsp.ben_q1_tot</t>
  </si>
  <si>
    <t>VC.IHR.PSRC.FE.P5</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</si>
  <si>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</si>
  <si>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DT.TDS.MLAT.PG.ZS</t>
  </si>
  <si>
    <t>SL.TLF.ADVN.ZS</t>
  </si>
  <si>
    <t>SH.STA.AIRP.FE.P5</t>
  </si>
  <si>
    <t>TM.VAL.MRCH.WR.ZS</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</si>
  <si>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</si>
  <si>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</si>
  <si>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</si>
  <si>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IC.FRM.ENGM.ZS</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</si>
  <si>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</si>
  <si>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</si>
  <si>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NY.ADJ.DCO2.CD</t>
  </si>
  <si>
    <t>SH.HIV.1524.FE.ZS</t>
  </si>
  <si>
    <t>BX.GSR.FCTY.CD</t>
  </si>
  <si>
    <t>IC.BUS.NREG</t>
  </si>
  <si>
    <t>SH.HIV.0014</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</si>
  <si>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</si>
  <si>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</si>
  <si>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</si>
  <si>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</si>
  <si>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NY.ADJ.DKAP.CD</t>
  </si>
  <si>
    <t>NY.GNS.ICTR.ZS</t>
  </si>
  <si>
    <t>TX.VAL.MANF.ZS.UN</t>
  </si>
  <si>
    <t>SL.UEM.NEET.ME.ZS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</si>
  <si>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</si>
  <si>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</si>
  <si>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NE.GDI.FPRV.ZS</t>
  </si>
  <si>
    <t>NY.TAX.NIND.CD</t>
  </si>
  <si>
    <t>NE.IMP.GNFS.KN</t>
  </si>
  <si>
    <t>DT.NFL.MIDA.CD</t>
  </si>
  <si>
    <t>BM.GSR.INSF.ZS</t>
  </si>
  <si>
    <t>IT.NET.USER.ZS</t>
  </si>
  <si>
    <t>EN.GHG.N2O.IC.MT.CE.AR5</t>
  </si>
  <si>
    <t>FX.OWN.TOTL.SO.ZS</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</si>
  <si>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</si>
  <si>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</si>
  <si>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</si>
  <si>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IT.NET.BBND</t>
  </si>
  <si>
    <t>DT.TDS.DPPG.CD</t>
  </si>
  <si>
    <t>DT.NFL.RDBC.CD</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</si>
  <si>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</si>
  <si>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</si>
  <si>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ST.INT.XPND.MP.ZS</t>
  </si>
  <si>
    <t>SH.STA.BASS.ZS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</si>
  <si>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</si>
  <si>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VA.EST</t>
  </si>
  <si>
    <t>SG.VAW.BURN.ZS</t>
  </si>
  <si>
    <t>SE.SEC.UNER.LO.FE.ZS</t>
  </si>
  <si>
    <t>NE.DAB.TOTL.KD</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</si>
  <si>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</si>
  <si>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</si>
  <si>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SH.PRV.SMOK.FE</t>
  </si>
  <si>
    <t>GC.NLD.TOTL.CN</t>
  </si>
  <si>
    <t>SE.SEC.TCAQ.ZS</t>
  </si>
  <si>
    <t>GE.NO.SRC</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</si>
  <si>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</si>
  <si>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</si>
  <si>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</si>
  <si>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EG.USE.ELEC.KH.PC</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</si>
  <si>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</si>
  <si>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</si>
  <si>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</si>
  <si>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</si>
  <si>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DT.ODA.ALLD.KD</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</si>
  <si>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</si>
  <si>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GC.REV.GOTR.ZS</t>
  </si>
  <si>
    <t>SI.SPR.PC40</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</si>
  <si>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</si>
  <si>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SL.AGR.0714.FE.ZS</t>
  </si>
  <si>
    <t>CM.MKT.TRAD.CD</t>
  </si>
  <si>
    <t>AG.LND.EL5M.UR.ZS</t>
  </si>
  <si>
    <t>NE.CON.TOTL.CN</t>
  </si>
  <si>
    <t>SP.POP.DPND</t>
  </si>
  <si>
    <t>GC.TAX.IMPT.ZS</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</si>
  <si>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</si>
  <si>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HD.HCI.OVRL.LB</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</si>
  <si>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</si>
  <si>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SH.DYN.1014</t>
  </si>
  <si>
    <t>IC.GOV.DURS.ZS</t>
  </si>
  <si>
    <t>EG.ELC.LOSS.ZS</t>
  </si>
  <si>
    <t>NY.GDP.MINR.RT.ZS</t>
  </si>
  <si>
    <t>SL.UEM.BASC.FE.ZS</t>
  </si>
  <si>
    <t>SH.STA.SMSS.RU.ZS</t>
  </si>
  <si>
    <t>SH.STA.SUIC.FE.P5</t>
  </si>
  <si>
    <t>TX.VAL.AGRI.ZS.UN</t>
  </si>
  <si>
    <t>SH.HIV.ARTC.ZS</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</si>
  <si>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</si>
  <si>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</si>
  <si>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</si>
  <si>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</si>
  <si>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IC.FRM.BRIB.ZS</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</si>
  <si>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</si>
  <si>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NE.CON.GOVT.CN</t>
  </si>
  <si>
    <t>DC.DAC.KORL.CD</t>
  </si>
  <si>
    <t>DT.NFL.UNCF.CD</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</si>
  <si>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</si>
  <si>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GC.TAX.YPKG.RV.ZS</t>
  </si>
  <si>
    <t>GC.REV.SOCL.ZS</t>
  </si>
  <si>
    <t>NY.ADJ.NNTY.PC.KD</t>
  </si>
  <si>
    <t>RQ.STD.ERR</t>
  </si>
  <si>
    <t>SP.DYN.LE00.FE.IN</t>
  </si>
  <si>
    <t>GC.DOD.TOTL.CN</t>
  </si>
  <si>
    <t>DT.TDS.DPPG.GN.ZS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</si>
  <si>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</si>
  <si>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</si>
  <si>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Methodology: The definitions used to produce data are in line with the homicide definition used in the UNODC Homicide Statistics dataset. On the basis of these selection criteria and subject to data availability, a long and continuous time series including recent data on homicide counts and rates has been identified or created at country level. Data included in the dataset correspond to the original value provided by the source of origin, since no statistical procedure or modeling was used to change collected values or to create new or revised figures.
The intentional killing of a human being by another is the ultimate crime. Its indisputable physical consequences manifested in the form of a dead body also make it the most categorical and calculable. All existing data sources on intentional homicides, both at national and international level, stem from either criminal justice or public health systems. In the former case, data are generated by law enforcement or criminal justice authorities in the process of recording and investigating a crime event. In the latter, data are produced by health authorities certifying the cause of death of an individual.
Criminal justice data were collected through UNODC regular collections of crime data from Member States, through publicly available data produced by national government sources and from data compiled by other international and regional agencies, including from Interpol, Eurostat, the Organization of American States and UNICEF. Public health data on homicides were mainly derived from databases on deaths by cause disseminated by the World Health Organization (WHO).
The inclusion of recent data was given a higher priority in the selection process than the length of the time series (number of years covered). An analysis of official reports and research literature is regularly carried out to verify homicide data used by government agencies and the scientific community.
As a result of the data collection and validation process, in many countries several homicide datasets have become available from different or multiple sources. Therefore, data series have been selected to provide the most appropriate reference counts.</t>
  </si>
  <si>
    <t>NE.CON.PRVT.PC.KD.ZG</t>
  </si>
  <si>
    <t>NE.EXP.GNFS.CD</t>
  </si>
  <si>
    <t>EN.GHG.CH4.IC.MT.CE.AR5</t>
  </si>
  <si>
    <t>DC.DAC.NLDL.CD</t>
  </si>
  <si>
    <t>DC.DAC.FRAL.CD</t>
  </si>
  <si>
    <t>NE.IMP.GNFS.KD</t>
  </si>
  <si>
    <t>DT.NFL.MLAT.CD</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</si>
  <si>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</si>
  <si>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</si>
  <si>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SH.H2O.BASW.ZS</t>
  </si>
  <si>
    <t>SH.STA.STNT.ME.ZS</t>
  </si>
  <si>
    <t>SH.MMR.RISK.ZS</t>
  </si>
  <si>
    <t>DC.DAC.LTUL.CD</t>
  </si>
  <si>
    <t>EN.URB.MCTY.TL.ZS</t>
  </si>
  <si>
    <t>SE.PRM.UNER.ZS</t>
  </si>
  <si>
    <t>SE.PRE.TCAQ.ZS</t>
  </si>
  <si>
    <t>NY.ADJ.AEDU.GN.ZS</t>
  </si>
  <si>
    <t>TM.VAL.INSF.ZS.WT</t>
  </si>
  <si>
    <t>SP.DYN.CONM.ZS</t>
  </si>
  <si>
    <t>IC.BRE.BI.OS</t>
  </si>
  <si>
    <t>BN.FIN.TOTL.CD</t>
  </si>
  <si>
    <t>SE.SEC.TCAQ.MA.ZS</t>
  </si>
  <si>
    <t>TX.VAL.MRCH.R2.ZS</t>
  </si>
  <si>
    <t>SH.STA.WAST.ZS</t>
  </si>
  <si>
    <t>SI.POV.UMIC.GP</t>
  </si>
  <si>
    <t>EN.GHG.CO2.BU.MT.CE.AR5</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</si>
  <si>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</si>
  <si>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NV.IND.TOTL.KD.ZG</t>
  </si>
  <si>
    <t>FM.AST.PRVT.GD.ZS</t>
  </si>
  <si>
    <t>SP.POP.TOTL.FE.ZS</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</si>
  <si>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
Statistical concept(s):</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</si>
  <si>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</si>
  <si>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SH.MMR.DTHS</t>
  </si>
  <si>
    <t>SL.UEM.1524.NE.ZS</t>
  </si>
  <si>
    <t>SE.SEC.CUAT.UP.FE.ZS</t>
  </si>
  <si>
    <t>TX.QTY.MRCH.XD.WD</t>
  </si>
  <si>
    <t>SL.TLF.PART.MA.ZS</t>
  </si>
  <si>
    <t>NY.GDP.PCAP.KD</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</si>
  <si>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</si>
  <si>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BN.KLT.PTXL.CD</t>
  </si>
  <si>
    <t>DT.NFL.UNDP.CD</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</si>
  <si>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</si>
  <si>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</si>
  <si>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</si>
  <si>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</si>
  <si>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</si>
  <si>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</si>
  <si>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</si>
  <si>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</si>
  <si>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AG.LND.FRST.ZS</t>
  </si>
  <si>
    <t>Methodology: GDP per unit of energy use, measured as PPP $ per kg of oil equivalent, is calculated by dividing the gross domestic product (PPP) by the total energy consumption, expressed in kilograms of oil equivalent.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</si>
  <si>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</si>
  <si>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SE.TER.TCHR.FE.ZS</t>
  </si>
  <si>
    <t>MS.MIL.XPND.GD.ZS</t>
  </si>
  <si>
    <t>IC.BRE.US.P2</t>
  </si>
  <si>
    <t>DT.NFL.PCBK.CD</t>
  </si>
  <si>
    <t>NY.GNP.PCAP.CD</t>
  </si>
  <si>
    <t>IQ.CPA.TRAN.XQ</t>
  </si>
  <si>
    <t>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</si>
  <si>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Technical cooperation contributions take the form mainly of the supply of human resources from donors or action directed to human resources (such as training or advice). Also included are aid for promoting development awareness and aid provided to refugees in the donor economy. Assistance specifically to facilitate a capital project is not included. Technical cooperation ncludes both grants to nationals of aid recipient countries receiving education or training at home or abroad and payments to consultants, advisers and similar personnel as well as teachers and administrators serving in recipient countries (including the cost of associated equipment).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A network of statistical correspondents collects data from aid agencies and government departments (central, state and local) on an ongoing basis. Their task is also to ensure that reporting conforms to the Reporting Directives (definitions and classifications) agreed by the DAC.
The official development assistance (ODA) estimates are published annually at the end of the calendar year in International Development Statistics (IDS) database. Data are in current U.S. dollars.</t>
  </si>
  <si>
    <t>DT.NFL.UNPB.CD</t>
  </si>
  <si>
    <t>EG.USE.CRNW.ZS</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</si>
  <si>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</si>
  <si>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</si>
  <si>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</si>
  <si>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DT.NFL.MOTH.CD</t>
  </si>
  <si>
    <t>IC.FRM.METG.ZS</t>
  </si>
  <si>
    <t>NE.CON.GOVT.CD</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</si>
  <si>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</si>
  <si>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</si>
  <si>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</si>
  <si>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</si>
  <si>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SE.SEC.ENRR.FE</t>
  </si>
  <si>
    <t>NY.GDP.PETR.RT.ZS</t>
  </si>
  <si>
    <t>SH.UHC.FBP1.ZS</t>
  </si>
  <si>
    <t>GC.XPN.TRFT.ZS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</si>
  <si>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</si>
  <si>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SE.LPV.PRIM.LD</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</si>
  <si>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</si>
  <si>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EG.ELC.NGAS.ZS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</si>
  <si>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</si>
  <si>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</si>
  <si>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</si>
  <si>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SH.IMM.IDPT</t>
  </si>
  <si>
    <t>VC.IHR.PSRC.MA.P5</t>
  </si>
  <si>
    <t>SG.LAW.INDX</t>
  </si>
  <si>
    <t>GC.LBL.TOTL.GD.ZS</t>
  </si>
  <si>
    <t>GC.TAX.YPKG.ZS</t>
  </si>
  <si>
    <t>SH.STA.AIRP.MA.P5</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</si>
  <si>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</si>
  <si>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DT.NFL.UNWT.CD</t>
  </si>
  <si>
    <t>SH.STA.WAST.FE.ZS</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</si>
  <si>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</si>
  <si>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</si>
  <si>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</si>
  <si>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SL.AGR.EMPL.ZS</t>
  </si>
  <si>
    <t>BX.TRF.CURR.CD</t>
  </si>
  <si>
    <t>SL.EMP.TOTL.SP.FE.ZS</t>
  </si>
  <si>
    <t>IE.PPI.ENGY.CD</t>
  </si>
  <si>
    <t>SH.STA.FGMS.ZS</t>
  </si>
  <si>
    <t>SE.PRM.TCHR</t>
  </si>
  <si>
    <t>SI.RMT.COST.OB.ZS</t>
  </si>
  <si>
    <t>SP.POP.6569.FE.5Y</t>
  </si>
  <si>
    <t>DT.ODA.ODAT.PC.ZS</t>
  </si>
  <si>
    <t>NY.GDP.DEFL.ZS</t>
  </si>
  <si>
    <t>DT.NFL.UNIDO.CD</t>
  </si>
  <si>
    <t>IC.BRE.BE.P3</t>
  </si>
  <si>
    <t>IC.BRE.P3.OE</t>
  </si>
  <si>
    <t>SP.DYN.CONU.ZS</t>
  </si>
  <si>
    <t>EN.ATM.PM25.MC.T3.ZS</t>
  </si>
  <si>
    <t>SE.PRM.PRIV.ZS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</si>
  <si>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</si>
  <si>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NE.CON.TOTL.KN</t>
  </si>
  <si>
    <t>DC.DAC.ESTL.CD</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</si>
  <si>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</si>
  <si>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NY.ADJ.DFOR.GN.ZS</t>
  </si>
  <si>
    <t>SH.STA.POIS.P5.MA</t>
  </si>
  <si>
    <t>NE.CON.PRVT.CN.AD</t>
  </si>
  <si>
    <t>SP.REG.BRTH.RU.ZS</t>
  </si>
  <si>
    <t>SE.PRE.TCAQ.FE.ZS</t>
  </si>
  <si>
    <t>SL.EMP.1524.SP.MA.NE.ZS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</si>
  <si>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</si>
  <si>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</si>
  <si>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NY.GNP.PCAP.KN</t>
  </si>
  <si>
    <t>IC.FRM.CORR.ZS</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</si>
  <si>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</si>
  <si>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SE.PRM.CUAT.MA.ZS</t>
  </si>
  <si>
    <t>SP.DYN.LE00.IN</t>
  </si>
  <si>
    <t>SE.PRM.ENRR.MA</t>
  </si>
  <si>
    <t>SE.PRM.TENR.FE</t>
  </si>
  <si>
    <t>IE.PPI.ICTI.CD</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</si>
  <si>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</si>
  <si>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</si>
  <si>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NY.GDP.DISC.CN</t>
  </si>
  <si>
    <t>SE.PRE.ENRR.FE</t>
  </si>
  <si>
    <t>TX.VAL.TRAN.ZS.WT</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</si>
  <si>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t>
  </si>
  <si>
    <t>SH.STA.SUIC.P5</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</si>
  <si>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</si>
  <si>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</si>
  <si>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</si>
  <si>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</si>
  <si>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TM.TAX.TCOM.SM.AR.ZS</t>
  </si>
  <si>
    <t>FD.AST.PRVT.GD.ZS</t>
  </si>
  <si>
    <t>SL.FAM.WORK.FE.ZS</t>
  </si>
  <si>
    <t>DC.DAC.POLL.CD</t>
  </si>
  <si>
    <t>DT.DOD.PVLX.GN.ZS</t>
  </si>
  <si>
    <t>SH.STA.DIAB.ZS</t>
  </si>
  <si>
    <t>PV.EST</t>
  </si>
  <si>
    <t>BM.GSR.FCTY.CD</t>
  </si>
  <si>
    <t>IC.FRM.CMPU.ZS</t>
  </si>
  <si>
    <t>SP.POP.7579.MA.5Y</t>
  </si>
  <si>
    <t>ST.INT.DPRT</t>
  </si>
  <si>
    <t>SL.EMP.VULN.FE.ZS</t>
  </si>
  <si>
    <t>SL.AGR.0714.MA.ZS</t>
  </si>
  <si>
    <t>IC.BRE.LB.OS</t>
  </si>
  <si>
    <t>per_lm_alllm.cov_q5_tot</t>
  </si>
  <si>
    <t>SL.UEM.NEET.FE.ZS</t>
  </si>
  <si>
    <t>SE.LPV.PRIM.MA</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</si>
  <si>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</si>
  <si>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Methodology: This indicator measures vulnerability of population affected by droughts, floods, and extreme temperature. A drought is an extended period of deficiency in a region's water supply as a result of below average precipitation.</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</si>
  <si>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</si>
  <si>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IC.BRE.IT.P2</t>
  </si>
  <si>
    <t>NE.EXP.GNFS.KD</t>
  </si>
  <si>
    <t>MS.MIL.XPRT.KD</t>
  </si>
  <si>
    <t>SL.UEM.BASC.MA.ZS</t>
  </si>
  <si>
    <t>SI.DST.FRST.20</t>
  </si>
  <si>
    <t>NY.GDS.TOTL.CN</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</si>
  <si>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</si>
  <si>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SH.STA.SUIC.MA.P5</t>
  </si>
  <si>
    <t>SH.DYN.MORT.FE</t>
  </si>
  <si>
    <t>SE.ADT.LITR.FE.ZS</t>
  </si>
  <si>
    <t>GE.PER.RNK.LOWER</t>
  </si>
  <si>
    <t>NY.GNS.ICTR.CN</t>
  </si>
  <si>
    <t>IP.PAT.RESD</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</si>
  <si>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</si>
  <si>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</si>
  <si>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GE.EST</t>
  </si>
  <si>
    <t>SH.STA.ODFC.RU.ZS</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</si>
  <si>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</si>
  <si>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ER.H2O.INTR.PC</t>
  </si>
  <si>
    <t>SE.TER.ENRR.FE</t>
  </si>
  <si>
    <t>SP.REG.BRTH.FE.ZS</t>
  </si>
  <si>
    <t>SL.EMP.WORK.FE.ZS</t>
  </si>
  <si>
    <t>SP.DYN.LE00.MA.IN</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</si>
  <si>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</si>
  <si>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</si>
  <si>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</si>
  <si>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EN.POP.EL5M.ZS</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</si>
  <si>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</si>
  <si>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</si>
  <si>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SP.POP.5054.MA.5Y</t>
  </si>
  <si>
    <t>IQ.SPI.PIL3</t>
  </si>
  <si>
    <t>NV.SRV.TOTL.KD.ZG</t>
  </si>
  <si>
    <t>DT.TDS.DPPG.XP.ZS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</si>
  <si>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</si>
  <si>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SH.XPD.OOPC.PP.CD</t>
  </si>
  <si>
    <t>PX.REX.REER</t>
  </si>
  <si>
    <t>SE.PRM.CMPT.ZS</t>
  </si>
  <si>
    <t>BX.GSR.GNFS.CD</t>
  </si>
  <si>
    <t>NY.ADJ.SVNG.GN.ZS</t>
  </si>
  <si>
    <t>SL.EMP.MPYR.ZS</t>
  </si>
  <si>
    <t>SG.GEN.PARL.ZS</t>
  </si>
  <si>
    <t>SM.POP.TOTL.ZS</t>
  </si>
  <si>
    <t>SH.TBS.CURE.ZS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</si>
  <si>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</si>
  <si>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</si>
  <si>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</si>
  <si>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HD.HCI.OVRL.FE</t>
  </si>
  <si>
    <t>EN.GHG.N2O.WA.MT.CE.AR5</t>
  </si>
  <si>
    <t>NY.ADJ.DMIN.GN.ZS</t>
  </si>
  <si>
    <t>SH.XPD.GHED.GD.ZS</t>
  </si>
  <si>
    <t>SE.LPV.PRIM.LD.MA</t>
  </si>
  <si>
    <t>SL.UEM.ADVN.ZS</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</si>
  <si>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
Statistical concept(s): list()</t>
  </si>
  <si>
    <t>NY.GNP.PCAP.KD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</si>
  <si>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</si>
  <si>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</si>
  <si>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</si>
  <si>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SH.STA.HYGN.ZS</t>
  </si>
  <si>
    <t>NY.GSR.NFCY.CD</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</si>
  <si>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</si>
  <si>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</si>
  <si>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</si>
  <si>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</si>
  <si>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SP.POP.TOTL.MA.ZS</t>
  </si>
  <si>
    <t>TM.VAL.MRCH.WL.CD</t>
  </si>
  <si>
    <t>IQ.CPA.ENVR.XQ</t>
  </si>
  <si>
    <t>SN.ITK.SVFI.ZS</t>
  </si>
  <si>
    <t>NV.MNF.TECH.ZS.UN</t>
  </si>
  <si>
    <t>SL.WAG.0714.ZS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</si>
  <si>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</si>
  <si>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IC.BRE.MC.P2</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</si>
  <si>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</si>
  <si>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SL.TLF.ADVN.FE.ZS</t>
  </si>
  <si>
    <t>DT.ODA.ODAT.XP.ZS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</si>
  <si>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</si>
  <si>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</si>
  <si>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EN.GHG.CO2.LU.DF.MT.CE.AR5</t>
  </si>
  <si>
    <t>NE.CON.PRVT.CN</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</si>
  <si>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</si>
  <si>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SH.UHC.TOT2.ZS</t>
  </si>
  <si>
    <t>TM.TAX.TCOM.BR.ZS</t>
  </si>
  <si>
    <t>SM.POP.OPIP.EA</t>
  </si>
  <si>
    <t>SP.POP.0014.TO.ZS</t>
  </si>
  <si>
    <t>NY.GDS.TOTL.CD</t>
  </si>
  <si>
    <t>SG.TIM.UWRK.MA</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</si>
  <si>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</si>
  <si>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</si>
  <si>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DC.DAC.GBRL.CD</t>
  </si>
  <si>
    <t>SH.STA.STNT.FE.ZS</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</si>
  <si>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</si>
  <si>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</si>
  <si>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</si>
  <si>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DT.NFL.IMFN.CD</t>
  </si>
  <si>
    <t>EG.ELC.ACCS.RU.ZS</t>
  </si>
  <si>
    <t>SM.POP.RRWA.EO</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</si>
  <si>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</si>
  <si>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RL.PER.RNK</t>
  </si>
  <si>
    <t>TX.VAL.MRCH.RS.ZS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</si>
  <si>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</si>
  <si>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</si>
  <si>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</si>
  <si>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</si>
  <si>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</si>
  <si>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FB.CBK.BRCH.P5</t>
  </si>
  <si>
    <t>DC.DAC.CHEL.CD</t>
  </si>
  <si>
    <t>SI.POV.MPWB</t>
  </si>
  <si>
    <t>NY.TRF.NCTR.CN</t>
  </si>
  <si>
    <t>DT.DOD.MIBR.CD</t>
  </si>
  <si>
    <t>TM.TAX.MANF.SM.AR.ZS</t>
  </si>
  <si>
    <t>IE.PPN.TRAN.CD</t>
  </si>
  <si>
    <t>EN.GHG.CO2.TR.MT.CE.AR5</t>
  </si>
  <si>
    <t>IQ.CPA.REVN.XQ</t>
  </si>
  <si>
    <t>TM.TAX.TCOM.BC.ZS</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</si>
  <si>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</si>
  <si>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</si>
  <si>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IT.NET.BBND.P2</t>
  </si>
  <si>
    <t>per_lm_alllm.cov_q4_tot</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</si>
  <si>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</si>
  <si>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</si>
  <si>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NY.GDP.MKTP.CN.AD</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</si>
  <si>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</si>
  <si>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SL.SRV.0714.FE.ZS</t>
  </si>
  <si>
    <t>SE.SEC.CMPT.LO.FE.ZS</t>
  </si>
  <si>
    <t>NE.CON.PRVT.PC.KD</t>
  </si>
  <si>
    <t>SL.TLF.ACTI.1524.ZS</t>
  </si>
  <si>
    <t>HD.HCI.OVRL.UB.MA</t>
  </si>
  <si>
    <t>SE.SEC.CUAT.LO.MA.ZS</t>
  </si>
  <si>
    <t>SH.TBS.INCD</t>
  </si>
  <si>
    <t>AG.CON.FERT.ZS</t>
  </si>
  <si>
    <t>EN.GHG.CH4.MT.CE.AR5</t>
  </si>
  <si>
    <t>EG.GDP.PUSE.KO.PP.KD</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</si>
  <si>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</si>
  <si>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ER.FSH.PROD.MT</t>
  </si>
  <si>
    <t>BN.RES.INCL.CD</t>
  </si>
  <si>
    <t>FI.RES.TOTL.MO</t>
  </si>
  <si>
    <t>Methodology: For each country, the most recent value for each tracer indicators is taken from WHO or other international agencies. The index is computed using geometric means of the tracer indicators.
Statistical concept(s): The Service Coverage Index used to track SDG 3.8.1 includes four indicator categories, namely (1) reproductive, manternal and newborn and child health, (2) infectious diseases, (3) non-communicable diseases and (4) service capacity and access. Each category contains several tracers. The index is constructed from geometric means of the tracer indicators; first, within each of the four categories, and then across the four category-specific means to obtain the final summary index. See Source for details about methodology.</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</si>
  <si>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</si>
  <si>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SL.EMP.1524.SP.NE.ZS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</si>
  <si>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</si>
  <si>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EG.ELC.RNWX.ZS</t>
  </si>
  <si>
    <t>SP.POP.6569.MA.5Y</t>
  </si>
  <si>
    <t>EN.CLC.DRSK.XQ</t>
  </si>
  <si>
    <t>IC.FRM.BNKS.ZS</t>
  </si>
  <si>
    <t>IP.IDS.NRCT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</si>
  <si>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</si>
  <si>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NY.GDP.DISC.KN</t>
  </si>
  <si>
    <t>SL.TLF.0714.SW.ZS</t>
  </si>
  <si>
    <t>SH.DTH.0509</t>
  </si>
  <si>
    <t>SL.EMP.SELF.MA.ZS</t>
  </si>
  <si>
    <t>SL.TLF.0714.SW.TM</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</si>
  <si>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</si>
  <si>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BX.GSR.CCIS.ZS</t>
  </si>
  <si>
    <t>per_si_allsi.cov_pop_tot</t>
  </si>
  <si>
    <t>SP.DYN.CBRT.IN</t>
  </si>
  <si>
    <t>TM.TAX.MRCH.BR.ZS</t>
  </si>
  <si>
    <t>GC.NFN.TOTL.GD.ZS</t>
  </si>
  <si>
    <t>SH.UHC.FBPR.ZS</t>
  </si>
  <si>
    <t>SN.ITK.MSFI.ZS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</si>
  <si>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</si>
  <si>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</si>
  <si>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NV.SRV.TOTL.CN</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</si>
  <si>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</si>
  <si>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IC.FRM.FO.ZS</t>
  </si>
  <si>
    <t>MS.MIL.XPND.ZS</t>
  </si>
  <si>
    <t>SE.PRM.NENR</t>
  </si>
  <si>
    <t>NE.CON.PRVT.CD</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</si>
  <si>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</si>
  <si>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DC.DAC.NORL.CD</t>
  </si>
  <si>
    <t>IT.NET.USER.MA.ZS</t>
  </si>
  <si>
    <t>FM.AST.CGOV.ZG.M3</t>
  </si>
  <si>
    <t>IC.BRE.FS.OS</t>
  </si>
  <si>
    <t>IS.RRS.GOOD.MT.K6</t>
  </si>
  <si>
    <t>SH.DYN.AIDS.FE.ZS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</si>
  <si>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</si>
  <si>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TX.VAL.MRCH.R5.ZS</t>
  </si>
  <si>
    <t>SH.XPD.GHED.PP.CD</t>
  </si>
  <si>
    <t>NE.CON.GOVT.KD.ZG</t>
  </si>
  <si>
    <t>EN.GHG.ALL.MT.CE.AR5</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</si>
  <si>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
More source and methodology information for the military expenditure data compiled by SIPRI can be accessed on the SIPRI website: https://www.sipri.org/databases/milex/sources-and-methods</t>
  </si>
  <si>
    <t>DT.NFL.PROP.CD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</si>
  <si>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</si>
  <si>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</si>
  <si>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PV.STD.ERR</t>
  </si>
  <si>
    <t>SM.POP.FDIP</t>
  </si>
  <si>
    <t>SL.TLF.ACTI.1524.NE.ZS</t>
  </si>
  <si>
    <t>SP.POP.4044.MA.5Y</t>
  </si>
  <si>
    <t>SL.MNF.0714.ZS</t>
  </si>
  <si>
    <t>FS.AST.DOMS.GD.ZS</t>
  </si>
  <si>
    <t>SH.FPL.SATM.ZS</t>
  </si>
  <si>
    <t>SL.TLF.PART.ZS</t>
  </si>
  <si>
    <t>ER.LND.PTLD.ZS</t>
  </si>
  <si>
    <t>TM.TAX.MRCH.BC.ZS</t>
  </si>
  <si>
    <t>SP.POP.2529.FE.5Y</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</si>
  <si>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</si>
  <si>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SL.EMP.VULN.MA.ZS</t>
  </si>
  <si>
    <t>DT.NFL.WITC.CD</t>
  </si>
  <si>
    <t>DC.DAC.CZEL.CD</t>
  </si>
  <si>
    <t>GC.TAX.OTHR.RV.ZS</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</si>
  <si>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</si>
  <si>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</si>
  <si>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SE.XPD.CTOT.ZS</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</si>
  <si>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</si>
  <si>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</si>
  <si>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NY.TRF.NCTR.CD</t>
  </si>
  <si>
    <t>IC.FRM.DURS</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</si>
  <si>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</si>
  <si>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SI.DST.04TH.20</t>
  </si>
  <si>
    <t>SH.HIV.PMTC.ZS</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</si>
  <si>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</si>
  <si>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</si>
  <si>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IC.BRE.DR.P3</t>
  </si>
  <si>
    <t>IC.FRM.TAXE.ZS</t>
  </si>
  <si>
    <t>RQ.PER.RNK.UPPER</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</si>
  <si>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</si>
  <si>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</si>
  <si>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</si>
  <si>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</si>
  <si>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Methodology: During warfare, targets are usually the military and its installations or state institutions and state representatives, but there is often substantial collateral damage of civilians killed in crossfire, indiscriminate bombings, and other military activities. All deaths - civilian as well as military - incurred in such situations are counted as battle-related deaths.</t>
  </si>
  <si>
    <t>NV.IND.MANF.CD</t>
  </si>
  <si>
    <t>GC.XPN.INTP.RV.ZS</t>
  </si>
  <si>
    <t>NV.SRV.EMPL.KD</t>
  </si>
  <si>
    <t>SG.DMK.ALLD.FN.ZS</t>
  </si>
  <si>
    <t>SP.REG.BRTH.MA.ZS</t>
  </si>
  <si>
    <t>SL.EMP.WORK.MA.ZS</t>
  </si>
  <si>
    <t>SH.H2O.BASW.UR.ZS</t>
  </si>
  <si>
    <t>SH.DYN.0509</t>
  </si>
  <si>
    <t>IS.RRS.PASG.KM</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</si>
  <si>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</si>
  <si>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SP.POP.0004.FE.5Y</t>
  </si>
  <si>
    <t>SE.PRM.OENR.MA.ZS</t>
  </si>
  <si>
    <t>SH.STA.OWGH.FE.ZS</t>
  </si>
  <si>
    <t>NY.GDP.PCAP.KD.ZG</t>
  </si>
  <si>
    <t>DT.NFL.IFAD.CD</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</si>
  <si>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</si>
  <si>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SP.POP.3539.MA.5Y</t>
  </si>
  <si>
    <t>SP.DYN.TO65.FE.ZS</t>
  </si>
  <si>
    <t>SE.LPV.PRIM</t>
  </si>
  <si>
    <t>DC.DAC.FINL.CD</t>
  </si>
  <si>
    <t>SH.STA.OWGH.ZS</t>
  </si>
  <si>
    <t>SL.UEM.1524.FE.ZS</t>
  </si>
  <si>
    <t>DT.NFL.UNRW.CD</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</si>
  <si>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</si>
  <si>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NE.CON.PRVT.KN</t>
  </si>
  <si>
    <t>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
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t>
  </si>
  <si>
    <t>per_lm_alllm.cov_q3_tot</t>
  </si>
  <si>
    <t>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
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t>
  </si>
  <si>
    <t>NV.SRV.TOTL.CD</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</si>
  <si>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</si>
  <si>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SP.POP.1564.TO</t>
  </si>
  <si>
    <t>SI.POV.GAPS</t>
  </si>
  <si>
    <t>NY.ADJ.NNAT.GN.ZS</t>
  </si>
  <si>
    <t>SE.PRM.DURS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</si>
  <si>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</si>
  <si>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</si>
  <si>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AG.LND.IRIG.AG.ZS</t>
  </si>
  <si>
    <t>SH.IMM.HEPB</t>
  </si>
  <si>
    <t>DC.DAC.USAL.CD</t>
  </si>
  <si>
    <t>VA.PER.RNK</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</si>
  <si>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</si>
  <si>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</si>
  <si>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IC.FRM.BNKL.ZS</t>
  </si>
  <si>
    <t>IC.FRM.NPRD.ZS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</si>
  <si>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</si>
  <si>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</si>
  <si>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SE.SEC.ENRL</t>
  </si>
  <si>
    <t>NY.TRF.NCTR.KN</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</si>
  <si>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</si>
  <si>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SP.POP.1014.MA.5Y</t>
  </si>
  <si>
    <t>SE.SEC.ENRL.TC.ZS</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</si>
  <si>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</si>
  <si>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</si>
  <si>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EN.BIR.THRD.NO</t>
  </si>
  <si>
    <t>IC.BRE.BE.P2</t>
  </si>
  <si>
    <t>IT.CEL.SETS</t>
  </si>
  <si>
    <t>SE.SEC.TCHR</t>
  </si>
  <si>
    <t>VA.NO.SRC</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</si>
  <si>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</si>
  <si>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</si>
  <si>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</si>
  <si>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SE.PRM.CMPT.MA.ZS</t>
  </si>
  <si>
    <t>EN.GHG.CH4.AG.MT.CE.AR5</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</si>
  <si>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</si>
  <si>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BN.GSR.FCTY.CD</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</si>
  <si>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</si>
  <si>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SH.STA.STNT.MA.ZS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</si>
  <si>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</si>
  <si>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</si>
  <si>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EG.CFT.ACCS.ZS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</si>
  <si>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</si>
  <si>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</si>
  <si>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</si>
  <si>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SL.UEM.ADVN.MA.ZS</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</si>
  <si>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</si>
  <si>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</si>
  <si>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FX.OWN.TOTL.ZS</t>
  </si>
  <si>
    <t>NE.GDI.TOTL.KD.ZG</t>
  </si>
  <si>
    <t>EN.POP.DNST</t>
  </si>
  <si>
    <t>FI.RES.XGLD.CD</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</si>
  <si>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</si>
  <si>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indicator is calculated by dividing the total energy use (in kg of oil equivalent) by the total GDP (in constant 2017 PPP dollars) and then multiplying by 1000, to express the energy use per $1,000 of GDP.</t>
  </si>
  <si>
    <t>NV.SRV.TOTL.KN</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</si>
  <si>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</si>
  <si>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SL.SRV.0714.MA.ZS</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</si>
  <si>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</si>
  <si>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NE.CON.PRVT.KD</t>
  </si>
  <si>
    <t>Cote d'Ivoire</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</si>
  <si>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</si>
  <si>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</si>
  <si>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</si>
  <si>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</si>
  <si>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SE.PRM.GINT.MA.ZS</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</si>
  <si>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</si>
  <si>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IC.BRE.IT.P1</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</si>
  <si>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</si>
  <si>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EN.GHG.CO2.LU.OS.MT.CE.AR5</t>
  </si>
  <si>
    <t>SP.POP.1564.MA.IN</t>
  </si>
  <si>
    <t>DC.ODA.TLDC.CD</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</si>
  <si>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</si>
  <si>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SE.XPD.PRIM.PC.ZS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</si>
  <si>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</si>
  <si>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</si>
  <si>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AG.YLD.CREL.KG</t>
  </si>
  <si>
    <t>DT.NFL.BOND.CD</t>
  </si>
  <si>
    <t>DT.NFL.PNGB.CD</t>
  </si>
  <si>
    <t>ER.H2O.FWDM.ZS</t>
  </si>
  <si>
    <t>SP.RUR.TOTL</t>
  </si>
  <si>
    <t>NY.GDP.MKTP.CN</t>
  </si>
  <si>
    <t>SL.SRV.0714.ZS</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</si>
  <si>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</si>
  <si>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NE.RSB.GNFS.ZS</t>
  </si>
  <si>
    <t>SL.TLF.CACT.ZS</t>
  </si>
  <si>
    <t>DT.NFL.UNCD.CD</t>
  </si>
  <si>
    <t>EN.GHG.CO2.LU.OL.MT.CE.AR5</t>
  </si>
  <si>
    <t>NV.IND.TOTL.CN</t>
  </si>
  <si>
    <t>SI.SPR.PCAP.ZG</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</si>
  <si>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</si>
  <si>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</si>
  <si>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</si>
  <si>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</si>
  <si>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The air transport data represent the total (international and domestic) scheduled traffic carried by the air carriers registered in a country. Countries submit air transport data to International Civil Aviation Organization (ICAO) on the basis of standard instructions and definitions issued by ICAO. In many cases, however, the data include estimates by ICAO for nonreporting carriers. Where possible, these estimates are based on previous submissions supplemented by information published by the air carriers, such as flight schedules.
The data cover the air traffic carried on scheduled services, but changes in air transport regulations in Europe have made it more difficult to classify traffic as scheduled or nonscheduled. Thus, recent increases shown for some European countries may be due to changes in the classification of air traffic rather than actual growth. In the case of multinational air carriers owned by partner States, traffic within each partner State is shown separately as domestic and all other traffic as international. For countries with few air carriers or only one, the addition or discontinuation of a home-based air carrier may cause significant changes in air traffic.
Statistical concept(s): Freight tonne-kilometres performed measures a metric tonne of freight carried one kilometre.</t>
  </si>
  <si>
    <t>IQ.SPI.PIL2</t>
  </si>
  <si>
    <t>ER.H2O.FWTL.ZS</t>
  </si>
  <si>
    <t>SH.H2O.SMDW.ZS</t>
  </si>
  <si>
    <t>EG.ELC.ACCS.ZS</t>
  </si>
  <si>
    <t>SL.TLF.CACT.FE.ZS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</si>
  <si>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</si>
  <si>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FR.INR.RINR</t>
  </si>
  <si>
    <t>per_lm_alllm.cov_q2_tot</t>
  </si>
  <si>
    <t>SP.POP.BRTH.MF</t>
  </si>
  <si>
    <t>TX.VAL.FOOD.ZS.UN</t>
  </si>
  <si>
    <t>GC.XPN.TOTL.CN</t>
  </si>
  <si>
    <t>NV.IND.MANF.KD</t>
  </si>
  <si>
    <t>EN.GHG.CO2.LU.MT.CE.AR5</t>
  </si>
  <si>
    <t>CC.STD.ERR</t>
  </si>
  <si>
    <t>DC.DAC.LUXL.CD</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</si>
  <si>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</si>
  <si>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DT.NFL.UNAI.CD</t>
  </si>
  <si>
    <t>SL.TLF.0714.SW.FE.ZS</t>
  </si>
  <si>
    <t>SP.POP.65UP.TO.ZS</t>
  </si>
  <si>
    <t>SP.POP.2529.MA.5Y</t>
  </si>
  <si>
    <t>SL.TLF.0714.SW.FE.TM</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</si>
  <si>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t>
  </si>
  <si>
    <t>SH.ANM.CHLD.ZS</t>
  </si>
  <si>
    <t>FM.AST.NFRG.CN</t>
  </si>
  <si>
    <t>SH.MED.NUMW.P3</t>
  </si>
  <si>
    <t>SH.STA.STNT.ME.MA.ZS</t>
  </si>
  <si>
    <t>SH.H2O.SMDW.UR.ZS</t>
  </si>
  <si>
    <t>SL.TLF.BASC.FE.ZS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</si>
  <si>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</si>
  <si>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</si>
  <si>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BX.GSR.TOTL.CD</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</si>
  <si>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</si>
  <si>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</si>
  <si>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IC.BRE.MC.P1</t>
  </si>
  <si>
    <t>NE.GDI.FTOT.CN</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</si>
  <si>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</si>
  <si>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</si>
  <si>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</si>
  <si>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IQ.CPA.PRES.XQ</t>
  </si>
  <si>
    <t>NV.AGR.TOTL.CN</t>
  </si>
  <si>
    <t>NV.SRV.TOTL.KD</t>
  </si>
  <si>
    <t>NV.IND.EMPL.KD</t>
  </si>
  <si>
    <t>DT.NFL.WFPG.CD</t>
  </si>
  <si>
    <t>TX.VAL.TRVL.ZS.WT</t>
  </si>
  <si>
    <t>AG.LND.AGRI.K2</t>
  </si>
  <si>
    <t>SL.FAM.WORK.ZS</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</si>
  <si>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</si>
  <si>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</si>
  <si>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NV.IND.MANF.KD.ZG</t>
  </si>
  <si>
    <t>TM.TAX.MANF.BR.ZS</t>
  </si>
  <si>
    <t>SH.MED.BEDS.ZS</t>
  </si>
  <si>
    <t>SH.STA.POIS.P5</t>
  </si>
  <si>
    <t>TM.VAL.MRCH.R4.ZS</t>
  </si>
  <si>
    <t>IC.BRE.TX.P2</t>
  </si>
  <si>
    <t>DT.DOD.PVLX.EX.ZS</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</si>
  <si>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</si>
  <si>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</si>
  <si>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SH.STA.OWGH.MA.ZS</t>
  </si>
  <si>
    <t>NY.GDP.MKTP.CD</t>
  </si>
  <si>
    <t>IQ.SPI.OVRL</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</si>
  <si>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</si>
  <si>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</si>
  <si>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</si>
  <si>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</si>
  <si>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</si>
  <si>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BM.GSR.MRCH.CD</t>
  </si>
  <si>
    <t>SP.DYN.TO65.MA.ZS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</si>
  <si>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</si>
  <si>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SL.UEM.TOTL.FE.NE.ZS</t>
  </si>
  <si>
    <t>EN.GHG.CO2.LU.FL.MT.CE.AR5</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</si>
  <si>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</si>
  <si>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SL.UEM.1524.MA.ZS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</si>
  <si>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</si>
  <si>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</si>
  <si>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</si>
  <si>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</si>
  <si>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PV.NO.SRC</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</si>
  <si>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</si>
  <si>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NE.GDI.STKB.CN</t>
  </si>
  <si>
    <t>Methodology: Aquaculture production specifically refers to output from aquaculture activities, which are designated for final harvest for consumption. At this time, harvest for ornamental purposes is not included.</t>
  </si>
  <si>
    <t>SE.SEC.ENRL.LO.TC.ZS</t>
  </si>
  <si>
    <t>SH.VAC.TTNS.ZS</t>
  </si>
  <si>
    <t>SE.TER.CUAT.DO.ZS</t>
  </si>
  <si>
    <t>AG.PRD.FOOD.XD</t>
  </si>
  <si>
    <t>SE.TER.CUAT.DO.FE.ZS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</si>
  <si>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</si>
  <si>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</si>
  <si>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</si>
  <si>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EN.POP.EL5M.RU.ZS</t>
  </si>
  <si>
    <t>TM.TAX.MANF.BC.ZS</t>
  </si>
  <si>
    <t>DC.DAC.ESPL.CD</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</si>
  <si>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</si>
  <si>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</si>
  <si>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</si>
  <si>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SL.TLF.CACT.FM.ZS</t>
  </si>
  <si>
    <t>NY.ADJ.DMIN.CD</t>
  </si>
  <si>
    <t>NV.AGR.EMPL.KD</t>
  </si>
  <si>
    <t>SL.TLF.TOTL.IN</t>
  </si>
  <si>
    <t>SP.POP.0014.TO</t>
  </si>
  <si>
    <t>Firm-level surveys have been conducted since the 1990's by different units within the World Bank. Since 2005-06, most data collection efforts have been centralized within the Enterprise Analysis Unit. Surveys implemented by the Enterprise Analysis Unit follow the Global Methodology.
Private contractors conduct the Enterprise Surveys on behalf of the World Bank. Due to sensitive survey questions addressing business-government relations and bribery-related topics, private contractors, rather than any government agency or an organization/institution associated with government, are hired by the World Bank to collect the data.
Confidentiality of the survey respondents and the sensitive information they provide is necessary to ensure the greatest degree of survey participation, integrity and confidence in the quality of the data. Surveys are usually carried out in cooperation with business organizations and government agencies promoting job creation and economic growth, but confidentiality is never compromised.
The Enterprise Survey is answered by business owners and top managers. Sometimes the survey respondent calls company accountants and human resource managers into the interview to answer questions in the sales and labor sections of the survey. Typically 1200-1800 interviews are conducted in larger economies, 360 interviews are conducted in medium-sized economies, and for smaller economies, 150 interviews take place.
The manufacturing and services sectors are the primary business sectors of interest. This corresponds to firms classified with ISIC codes 15-37, 45, 50-52, 55, 60-64, and 72 (ISIC Rev.3.1). Formal (registered) companies with 5 or more employees are targeted for interview. Services firms include construction, retail, wholesale, hotels, restaurants, transport, storage, communications, and IT. Firms with 100% government/state ownership are not eligible to participate in an Enterprise Survey. Occasionally, for a few surveyed countries, other sectors are included in the companies surveyed such as education or health-related businesses. In each country, businesses in the cities/regions of major economic activity are interviewed.
In some countries, other surveys, which depart from the usual Enterprise Survey methodology, are conducted. Examples include 1) Informal Surveys- surveys of informal (unregistered) enterprises, 2) Micro Surveys- surveys fielded to registered firms with less than five employees, and 3) Financial Crisis Assessment Surveys- short surveys administered by telephone to assess the effects of the global financial crisis of 2008-09.
The Enterprise Surveys Unit uses two instruments: the Manufacturing Questionnaire and the Services Questionnaire. Although many questions overlap, some are only applicable to one type of business. For example, retail firms are not asked about production and nonproduction workers.
The standard Enterprise Survey topics include firm characteristics, gender participation, access to finance, annual sales, costs of inputs/labor, workforce composition, bribery, licensing, infrastructure, trade, crime, competition, capacity utilization, land and permits, taxation, informality, business-government relations, innovation and technology, and performance measures.
Over 90% of the questions objectively ascertain characteristics of a country’s business environment. The remaining questions assess the survey respondents’ opinions on what are the obstacles to firm growth and performance. The mode of data collection is face-to-face interviews.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</si>
  <si>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</si>
  <si>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</si>
  <si>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</si>
  <si>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SP.POP.80UP.MA.5Y</t>
  </si>
  <si>
    <t>SH.STA.HYGN.UR.ZS</t>
  </si>
  <si>
    <t>CM.MKT.LDOM.NO</t>
  </si>
  <si>
    <t>TM.VAL.MMTL.ZS.UN</t>
  </si>
  <si>
    <t>Methodology: The data on Permanent cropland and land area are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</si>
  <si>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</si>
  <si>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</si>
  <si>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</si>
  <si>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</si>
  <si>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VA.PER.RNK.UPPER</t>
  </si>
  <si>
    <t>SL.GDP.PCAP.EM.KD</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</si>
  <si>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</si>
  <si>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</si>
  <si>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</si>
  <si>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</si>
  <si>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IC.BRE.BL.P1</t>
  </si>
  <si>
    <t>AG.LND.EL5M.RU.ZS</t>
  </si>
  <si>
    <t>SH.ALC.PCAP.LI</t>
  </si>
  <si>
    <t>TM.TAX.MRCH.WM.AR.ZS</t>
  </si>
  <si>
    <t>PA.NUS.PRVT.PP</t>
  </si>
  <si>
    <t>SE.ENR.PRSC.FM.ZS</t>
  </si>
  <si>
    <t>EN.ATM.PM25.MC.T1.ZS</t>
  </si>
  <si>
    <t>NE.GDI.FTOT.CD</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</si>
  <si>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</si>
  <si>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</si>
  <si>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Methodology: Sex ratio at birth is calculated as number of male births divided by number of female births.
Statistical concept(s): If the sex ratio at birth is greater than 1, it indicates more boys born that year than girls.</t>
  </si>
  <si>
    <t>SH.STA.ANVC.ZS</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</si>
  <si>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</si>
  <si>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</si>
  <si>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NV.AGR.TOTL.CD</t>
  </si>
  <si>
    <t>per_lm_alllm.cov_q1_tot</t>
  </si>
  <si>
    <t>SP.POP.1564.FE.ZS</t>
  </si>
  <si>
    <t>EG.ELC.COAL.ZS</t>
  </si>
  <si>
    <t>NY.ADJ.NNTY.CD</t>
  </si>
  <si>
    <t>NV.MNF.OTHR.ZS.UN</t>
  </si>
  <si>
    <t>SH.SGR.CRSK.ZS</t>
  </si>
  <si>
    <t>SL.FAM.0714.ZS</t>
  </si>
  <si>
    <t>IS.RRS.TOTL.KM</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</si>
  <si>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</si>
  <si>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SH.STA.TRAF.P5</t>
  </si>
  <si>
    <t>NE.CON.TOTL.CD</t>
  </si>
  <si>
    <t>SE.SEC.NENR</t>
  </si>
  <si>
    <t>BX.TRF.PWKR.DT.GD.ZS</t>
  </si>
  <si>
    <t>SL.IND.EMPL.ZS</t>
  </si>
  <si>
    <t>SP.POP.TOTL</t>
  </si>
  <si>
    <t>NY.GDP.MKTP.KN</t>
  </si>
  <si>
    <t>ST.INT.TRNR.CD</t>
  </si>
  <si>
    <t>SL.EMP.1524.SP.FE.ZS</t>
  </si>
  <si>
    <t>PA.NUS.PPPC.RF</t>
  </si>
  <si>
    <t>SG.VAW.1549.ZS</t>
  </si>
  <si>
    <t>TM.TAX.MANF.WM.AR.ZS</t>
  </si>
  <si>
    <t>EN.GHG.N2O.IP.MT.CE.AR5</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</si>
  <si>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</si>
  <si>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</si>
  <si>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</si>
  <si>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BX.KLT.DINV.CD.WD</t>
  </si>
  <si>
    <t>SP.POP.7074.FE.5Y</t>
  </si>
  <si>
    <t>NV.IND.TOTL.KN</t>
  </si>
  <si>
    <t>SH.PRV.SMOK</t>
  </si>
  <si>
    <t>CM.MKT.TRNR</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</si>
  <si>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</si>
  <si>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</si>
  <si>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NY.TTF.GNFS.KN</t>
  </si>
  <si>
    <t>NY.GNP.MKTP.CN</t>
  </si>
  <si>
    <t>SG.VAW.ARGU.ZS</t>
  </si>
  <si>
    <t>SE.SEC.CUAT.PO.MA.ZS</t>
  </si>
  <si>
    <t>SH.HIV.INCD.YG.P3</t>
  </si>
  <si>
    <t>FX.OWN.TOTL.YG.ZS</t>
  </si>
  <si>
    <t>SE.PRM.ENRL.TC.ZS</t>
  </si>
  <si>
    <t>IC.BRE.DR.P2</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</si>
  <si>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</si>
  <si>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</si>
  <si>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SE.SEC.PROG.FE.ZS</t>
  </si>
  <si>
    <t>TX.VAL.MRCH.HI.ZS</t>
  </si>
  <si>
    <t>NE.EXP.GNFS.KD.ZG</t>
  </si>
  <si>
    <t>NY.ADJ.DRES.GN.ZS</t>
  </si>
  <si>
    <t>SE.PRM.ENRR</t>
  </si>
  <si>
    <t>SH.DTH.NCOM.ZS</t>
  </si>
  <si>
    <t>NY.GNP.PCAP.PP.CD</t>
  </si>
  <si>
    <t>NY.GDP.DEFL.KD.ZG</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</si>
  <si>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</si>
  <si>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</si>
  <si>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</si>
  <si>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</si>
  <si>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</si>
  <si>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</si>
  <si>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TX.VAL.MRCH.CD.WT</t>
  </si>
  <si>
    <t>EN.GHG.CO2.RT.GDP.PP.KD</t>
  </si>
  <si>
    <t>SE.ADT.1524.LT.MA.ZS</t>
  </si>
  <si>
    <t>SH.PRV.SMOK.MA</t>
  </si>
  <si>
    <t>TM.TAX.MANF.SM.FN.ZS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</si>
  <si>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</si>
  <si>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SE.PRM.AGES</t>
  </si>
  <si>
    <t>Methodology: Countries that report to the World Bank’s Debtor Reporting System (DRS) submit their private nonguaranteed (PNG) on an aggregate basis. The Debt Data Team then compiles this information to produce this indicator.</t>
  </si>
  <si>
    <t>SL.TLF.CACT.MA.ZS</t>
  </si>
  <si>
    <t>SH.HIV.1524.MA.ZS</t>
  </si>
  <si>
    <t>NE.GDI.FTOT.KN</t>
  </si>
  <si>
    <t>GC.XPN.GSRV.ZS</t>
  </si>
  <si>
    <t>ER.FSH.CAPT.MT</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</si>
  <si>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</si>
  <si>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FX.OWN.TOTL.FE.ZS</t>
  </si>
  <si>
    <t>DT.NFL.UNCTAD.CD</t>
  </si>
  <si>
    <t>NV.AGR.TOTL.KN</t>
  </si>
  <si>
    <t>SE.ENR.PRIM.FM.ZS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</si>
  <si>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</si>
  <si>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ER.H2O.FWIN.ZS</t>
  </si>
  <si>
    <t>Accès à des combustibles propres et à des technologies pour cuisiner ( % de la population)</t>
  </si>
  <si>
    <t>Accès à des combustibles propres et à des technologies pour la cuisson, zones rurales ( % de la population rurale)</t>
  </si>
  <si>
    <t>Accès à des combustibles propres et à des technologies pour la cuisson, urbain ( % de la population urbaine)</t>
  </si>
  <si>
    <t>Accès à l'électricité ( % de la population)</t>
  </si>
  <si>
    <t>Accès à l'électricité, rural ( % de la population rurale)</t>
  </si>
  <si>
    <t>Accès à l'électricité, urbain ( % de la population urbaine)</t>
  </si>
  <si>
    <t>Titulaire d'un compte dans une institution financière ou auprès d'un fournisseur de services d'argent mobile ( % de la population âgée de 15 ans et +)</t>
  </si>
  <si>
    <t>Titulaire d'un compte dans une institution financière ou auprès d'un fournisseur de services d'argent mobile, femmes ( % de la population âgée de 15 ans et +)</t>
  </si>
  <si>
    <t>Titulaire d'un compte dans une institution financière ou auprès d'un fournisseur de services d'argent mobile, hommes ( % de la population âgée de 15 ans et +)</t>
  </si>
  <si>
    <t>Titulaire d'un compte dans une institution financière ou auprès d'un fournisseur de services d'argent mobile, personnes âgées ( % de la population âgée de 25 ans et +)</t>
  </si>
  <si>
    <t>Titulaire d'un compte dans une institution financière ou auprès d'un fournisseur de services d'argent mobile, 40 % des plus pauvres ( % de la population âgée de 15 ans et +)</t>
  </si>
  <si>
    <t>Titulaire d'un compte dans une institution financière ou auprès d'un fournisseur de services d'argent mobile, éducation primaire ou moins ( % de la population âgée de 15 ans et +)</t>
  </si>
  <si>
    <t>Titulaire d'un compte dans une institution financière ou auprès d'un fournisseur de services d'argent mobile, 60 % les plus riches ( % de la population âgée de 15 ans et +)</t>
  </si>
  <si>
    <t>Titulaire d'un compte dans une institution financière ou auprès d'un fournisseur de services d'argent mobile, formation secondaire ou plus ( % de la population âgée de 15 ans et +)</t>
  </si>
  <si>
    <t>Titulaire d'un compte dans une institution financière ou auprès d'un fournisseur de services d'argent mobile, jeunes adultes ( % de la population âgée de 15 à 24 ans)</t>
  </si>
  <si>
    <t>Adéquation des programmes d'assurance sociale ( % du bien-être total des ménages bénéficiaires)</t>
  </si>
  <si>
    <t>Adéquation des programmes de protection sociale et de travail ( % du bien-être total des ménages bénéficiaires)</t>
  </si>
  <si>
    <t>Adéquation des programmes de protection sociale ( % du bien-être total des ménages bénéficiaires)</t>
  </si>
  <si>
    <t>Adéquation des prestations de chômage et des MPAM ( % du bien-être total des ménages bénéficiaires)</t>
  </si>
  <si>
    <t>Taux net ajusté de scolarisation, primaire (en % des enfants en âge de fréquenter l'école primaire)</t>
  </si>
  <si>
    <t>Taux net ajusté de scolarisation, primaire, filles ( % des enfants en âge de fréquenter l'école primaire)</t>
  </si>
  <si>
    <t>Taux net ajusté de scolarisation, primaire, garçons ( % des enfants en âge de fréquenter l'école primaire)</t>
  </si>
  <si>
    <t>Revenu national net ajusté (croissance annuelle en %)</t>
  </si>
  <si>
    <t>Revenu national net ajusté (en dollars constants de 2015)</t>
  </si>
  <si>
    <t>Revenu national net ajusté (en dollars américains courants)</t>
  </si>
  <si>
    <t>Revenu national net ajusté par habitant (croissance annuelle en %)</t>
  </si>
  <si>
    <t>Revenu national net ajusté par habitant (en dollars constants de 2015)</t>
  </si>
  <si>
    <t>Revenu national net ajusté par habitant (en dollars courants des États-Unis)</t>
  </si>
  <si>
    <t>Économies nettes ajustées, hors émissions de particules ( % du RNB)</t>
  </si>
  <si>
    <t>Économies nettes ajustées, hors dommages causés par les émissions de particules (en dollars américains courants)</t>
  </si>
  <si>
    <t>Économies nettes ajustées, y compris les dommages causés par les émissions de particules ( % du RNB)</t>
  </si>
  <si>
    <t>Économies nettes ajustées, y compris les dommages causés par les émissions de particules (en dollars américains courants)</t>
  </si>
  <si>
    <t>Économies ajustées, dommages causés par le dioxyde de carbone ( % du RNB)</t>
  </si>
  <si>
    <t>Économies ajustées, dommages causés par le dioxyde de carbone ($ US courants)</t>
  </si>
  <si>
    <t>Épargne ajustée, consommation de capital fixe ( % du RNB)</t>
  </si>
  <si>
    <t>Épargne ajustée, consommation de capital fixe ($ US courants)</t>
  </si>
  <si>
    <t>Épargne ajustée, dépenses d'éducation ( % du RNB)</t>
  </si>
  <si>
    <t>Épargne ajustée, dépenses d'éducation (en dollars américains courants)</t>
  </si>
  <si>
    <t>Économies ajustées, épuisement de l'énergie ( % du RNB)</t>
  </si>
  <si>
    <t>Économies ajustées, épuisement de l'énergie ($ US courants)</t>
  </si>
  <si>
    <t>Épargne ajustée, épargne brute ( % du RNB)</t>
  </si>
  <si>
    <t>Économies ajustées, épuisement des minéraux ( % du RNB)</t>
  </si>
  <si>
    <t>Économies ajustées, épuisement des minéraux ($ US courants)</t>
  </si>
  <si>
    <t>Épargne ajustée, épuisement des ressources naturelles ( % du RNB)</t>
  </si>
  <si>
    <t>Économies ajustées, épuisement net des forêts ( % du RNB)</t>
  </si>
  <si>
    <t>Économies ajustées, épuisement net des forêts (en dollars américains courants)</t>
  </si>
  <si>
    <t>Épargne ajustée, épargne nationale nette ( % du RNB)</t>
  </si>
  <si>
    <t>Épargne ajustée, épargne nationale nette (en dollars américains courants)</t>
  </si>
  <si>
    <t>Économies ajustées, dommages causés par les émissions de particules ( % du RNB)</t>
  </si>
  <si>
    <t>Économies ajustées, dommages causés par les émissions de particules ($ US courants)</t>
  </si>
  <si>
    <t>Taux de fécondité chez les adolescentes (naissances pour 1 000 femmes âgées de 15 à 19 ans)</t>
  </si>
  <si>
    <t>Adolescents non scolarisés ( % de l'âge du premier cycle du secondaire)</t>
  </si>
  <si>
    <t>Adolescentes non scolarisées, filles ( % des filles en âge de fréquenter le premier cycle de l'enseignement secondaire)</t>
  </si>
  <si>
    <t>Adolescents non scolarisés, garçons ( % des garçons en âge de fréquenter le premier cycle de l'enseignement secondaire)</t>
  </si>
  <si>
    <t>Adultes (15 ans et +) et enfants (0 à 14 ans) nouvellement infectés par le VIH</t>
  </si>
  <si>
    <t>Adultes (âgés de 15 à 49 ans) nouvellement infectés par le VIH</t>
  </si>
  <si>
    <t>Taux de dépendance des personnes âgées ( % de la population en âge de travailler)</t>
  </si>
  <si>
    <t>Taux de dépendance des jeunes, jeunes ( % de la population en âge de travailler)</t>
  </si>
  <si>
    <t>Terres agricoles irriguées ( % de la superficie agricole totale)</t>
  </si>
  <si>
    <t>Terres agricoles ( % de la superficie)</t>
  </si>
  <si>
    <t>Terres agricoles (km²)</t>
  </si>
  <si>
    <t>Exportations de matières premières agricoles ( % des exportations de marchandises)</t>
  </si>
  <si>
    <t>Importations de matières premières agricoles ( % des importations de marchandises)</t>
  </si>
  <si>
    <t>Agriculture, sylviculture et pêche, valeur ajoutée ( % du PIB)</t>
  </si>
  <si>
    <t>Agriculture, sylviculture et pêche, valeur ajoutée (croissance annuelle en %)</t>
  </si>
  <si>
    <t>Agriculture, sylviculture et pêche, valeur ajoutée (en dollars constants de 2015)</t>
  </si>
  <si>
    <t>Agriculture, sylviculture et pêche, valeur ajoutée (UCL constantes)</t>
  </si>
  <si>
    <t>Agriculture, sylviculture et pêche, valeur ajoutée (UCL actuelles)</t>
  </si>
  <si>
    <t>Agriculture, sylviculture et pêche, valeur ajoutée (en dollars américains courants)</t>
  </si>
  <si>
    <t>Agriculture, sylviculture et pêche, valeur ajoutée par travailleur (en dollars constants de 2015)</t>
  </si>
  <si>
    <t>Transport aérien, fret (millions de tonnes-km)</t>
  </si>
  <si>
    <t>Transport aérien, passagers transportés</t>
  </si>
  <si>
    <t>Transport aérien, départs de transporteurs enregistrés dans le monde entier</t>
  </si>
  <si>
    <t>Énergies alternatives et nucléaires ( % de la consommation totale d'énergie)</t>
  </si>
  <si>
    <t>Prélèvements annuels d'eau douce, agriculture ( % du prélèvement total d'eau douce)</t>
  </si>
  <si>
    <t>Prélèvements annuels d'eau douce, intérieurs ( % du prélèvement total d'eau douce)</t>
  </si>
  <si>
    <t>Prélèvements annuels d'eau douce, industrie ( % du prélèvement total d'eau douce)</t>
  </si>
  <si>
    <t>Prélèvements annuels d'eau douce, total ( % des ressources internes)</t>
  </si>
  <si>
    <t>Prélèvements annuels d'eau douce, total (milliards de mètres cubes)</t>
  </si>
  <si>
    <t>Taux de croissance moyen annualisé par habitant : consommation ou revenu moyen de l'enquête, 40 % inférieurs de la population ( %)</t>
  </si>
  <si>
    <t>Taux de croissance moyen annualisé par habitant : consommation ou revenu moyen de l'enquête, population totale ( %)</t>
  </si>
  <si>
    <t>Couverture de la thérapie antirétrovirale ( % de personnes vivant avec le VIH)</t>
  </si>
  <si>
    <t>Couverture de la thérapie antirétrovirale pour la PTME ( % de femmes enceintes vivant avec le VIH)</t>
  </si>
  <si>
    <t>Production aquacole (tonnes métriques)</t>
  </si>
  <si>
    <t>Terres arables ( % de la superficie)</t>
  </si>
  <si>
    <t>Terres arables (hectares par personne)</t>
  </si>
  <si>
    <t>Traitement de l'IRA ( % d'enfants de moins de 5 ans emmenés chez un prestataire de soins de santé)</t>
  </si>
  <si>
    <t>Personnel des forces armées ( % de la population active totale)</t>
  </si>
  <si>
    <t>Personnel des forces armées, total</t>
  </si>
  <si>
    <t>Exportations d'armes (valeurs des indicateurs de tendance du SIPRI)</t>
  </si>
  <si>
    <t>Importations d'armes (valeurs des indicateurs de tendance du SIPRI)</t>
  </si>
  <si>
    <t>Demandeurs d'asile par pays ou territoire d'asile</t>
  </si>
  <si>
    <t>Demandeurs d'asile par pays ou territoire d'origine</t>
  </si>
  <si>
    <t>Guichets automatiques bancaires (GAB) (pour 100 000 adultes)</t>
  </si>
  <si>
    <t>Précipitations moyennes en profondeur (mm par an)</t>
  </si>
  <si>
    <t>Délai moyen de dédouanement des exportations (jours)</t>
  </si>
  <si>
    <t>Délai moyen de dédouanement des importations (jours)</t>
  </si>
  <si>
    <t>Coût de transaction moyen pour l'envoi de fonds depuis un pays spécifique ( %)</t>
  </si>
  <si>
    <t>Coût de transaction moyen pour l'envoi d'envois de fonds vers un pays spécifique ( %)</t>
  </si>
  <si>
    <t>Durée moyenne du travail des enfants, études et travail, 7-14 ans (heures par semaine)</t>
  </si>
  <si>
    <t>Durée moyenne du travail des enfants, études et travail, femmes, 7-14 ans (heures par semaine)</t>
  </si>
  <si>
    <t>Durée moyenne du travail des enfants, études et travail, hommes, 7-14 ans (heures par semaine)</t>
  </si>
  <si>
    <t>Durée moyenne du travail des enfants, travaillant uniquement, âgés de 7 à 14 ans (heures par semaine)</t>
  </si>
  <si>
    <t>Durée moyenne du travail des enfants, travaillant uniquement, femmes, âgés de 7 à 14 ans (heures par semaine)</t>
  </si>
  <si>
    <t>Durée moyenne du travail des enfants, hommes de sexe masculin, âgés de 7 à 14 ans (heures par semaine)</t>
  </si>
  <si>
    <t>Ratio fonds propres des banques sur actifs ( %)</t>
  </si>
  <si>
    <t>Ratio réserves de liquidités bancaires par rapport aux actifs bancaires ( %)</t>
  </si>
  <si>
    <t>Prêts non performants bancaires par rapport au total des prêts bruts ( %)</t>
  </si>
  <si>
    <t>Décès liés aux combats (nombre de personnes)</t>
  </si>
  <si>
    <t>Incidence des prestations des programmes d'assurance sociale pour le quintile le plus pauvre ( % du total des prestations d'assurance sociale)</t>
  </si>
  <si>
    <t>Incidence des prestations de la protection sociale et des programmes de travail pour le quintile le plus pauvre ( % du total des prestations SPL)</t>
  </si>
  <si>
    <t>Incidence des avantages des programmes de protection sociale pour le quintile le plus pauvre ( % du total des prestations de protection sociale)</t>
  </si>
  <si>
    <t>Incidence des prestations de chômage et de la MPT dans le quintile le plus pauvre (en % du total des prestations U/MTPM)</t>
  </si>
  <si>
    <t>Couverture des reliures, tous les produits ( %)</t>
  </si>
  <si>
    <t>Couverture des liaisons, produits manufacturés ( %)</t>
  </si>
  <si>
    <t>Couverture de liaison, produits primaires ( %)</t>
  </si>
  <si>
    <t>Espèces d'oiseaux, menacées</t>
  </si>
  <si>
    <t>Taux de natalité, brut (pour 1 000 personnes)</t>
  </si>
  <si>
    <t>Accouchements assistés par du personnel de santé qualifié ( % du total)</t>
  </si>
  <si>
    <t>Emprunteurs auprès des banques commerciales (pour 1 000 adultes)</t>
  </si>
  <si>
    <t>Taux consolidé, moyenne simple, tous les produits ( %)</t>
  </si>
  <si>
    <t>Taux consolidé, moyenne simple, produits manufacturés ( %)</t>
  </si>
  <si>
    <t>Taux consolidé, moyenne simple, produits primaires ( %)</t>
  </si>
  <si>
    <t>B-READY : Entrée d'entreprise Pilier 1 : Qualité de la réglementation pour l'entrée d'entreprise</t>
  </si>
  <si>
    <t>B-READY : Entrée des entreprises Pilier 2 : Services publics numériques et transparence de l'information pour l'entrée des entreprises</t>
  </si>
  <si>
    <t>B-READY : Entrée dans l'entreprise Pilier 3 : Efficacité opérationnelle de l'entrée dans l'entreprise</t>
  </si>
  <si>
    <t>B-READY : Entrée d'entreprise : Note globale</t>
  </si>
  <si>
    <t>B-READY : Insolvabilité des entreprises Pilier 1 : Qualité de la réglementation des procédures judiciaires d'insolvabilité</t>
  </si>
  <si>
    <t>B-READY : Insolvabilité des entreprises Pilier 2 : Qualité de l'infrastructure institutionnelle et opérationnelle pour les procédures judiciaires d'insolvabilité</t>
  </si>
  <si>
    <t>B-READY : Insolvabilité des entreprises Pilier 3 : Efficacité opérationnelle de la résolution des procédures judiciaires d'insolvabilité</t>
  </si>
  <si>
    <t>B-READY : Insolvabilité d'entreprise : score global</t>
  </si>
  <si>
    <t>B-READY : Implantation d'entreprises Pilier 1 : Qualité de la réglementation relative à l'implantation d'entreprises</t>
  </si>
  <si>
    <t>B-READY : Implantation d'entreprises Pilier 2 : Qualité des services publics et transparence de l'information pour l'implantation d'entreprises</t>
  </si>
  <si>
    <t>B-READY : Siège d'entreprise Pilier 3 : Efficacité opérationnelle de l'établissement d'un site d'établissement</t>
  </si>
  <si>
    <t>B-READY : Emplacement de l'entreprise : Note globale</t>
  </si>
  <si>
    <t>B-READY : Règlement des litiges Pilier 1 : Qualité des réglementations pour le règlement des litiges</t>
  </si>
  <si>
    <t>B-READY : Règlement des différends Pilier 2 : Services publics pour le règlement des différends</t>
  </si>
  <si>
    <t>B-READY : Règlement des litiges Pilier 3 : Facilité de résolution d'un litige commercial</t>
  </si>
  <si>
    <t>B-READY : Résolution des litiges : Note globale</t>
  </si>
  <si>
    <t>B-READY : Services financiers Pilier 1 : Qualité de la réglementation des services financiers</t>
  </si>
  <si>
    <t>B-READY : Services financiers Pilier 2 : Accessibilité de l'information dans les infrastructures de crédit</t>
  </si>
  <si>
    <t>B-READY : Services financiers Pilier 3 : Efficacité opérationnelle de la réception de services financiers</t>
  </si>
  <si>
    <t>B-READY : Services financiers : Note globale</t>
  </si>
  <si>
    <t>B-READY : Commerce international Pilier 1 : Qualité de la réglementation du commerce international</t>
  </si>
  <si>
    <t>B-READY : Commerce international Pilier 2 : Qualité des services publics pour la facilitation du commerce international</t>
  </si>
  <si>
    <t>B-READY : Commerce international Pilier 3 : Efficacité de l'importation et de l'exportation de biens et de la participation au commerce numérique</t>
  </si>
  <si>
    <t>B-READY : Commerce international : Note globale</t>
  </si>
  <si>
    <t>B-READY : Pilier Travail 1 : Qualité de la réglementation du travail</t>
  </si>
  <si>
    <t>B-READY : Pilier 2 du travail : Adéquation des services publics pour le travail</t>
  </si>
  <si>
    <t>B-READY : Pilier 3 du travail : Efficacité opérationnelle de la réglementation du travail et des services publics dans la pratique</t>
  </si>
  <si>
    <t>B-READY : Main-d'œuvre : Note globale</t>
  </si>
  <si>
    <t>B-READY : Concurrence sur le marché Pilier 1 : Qualité des réglementations qui favorisent la concurrence sur le marché</t>
  </si>
  <si>
    <t>B-READY : Concurrence sur le marché Pilier 2 : Des services publics qui favorisent la concurrence sur le marché</t>
  </si>
  <si>
    <t>B-READY : Concurrence sur le marché Pilier 3 : Mise en œuvre de services clés favorisant la concurrence sur le marché</t>
  </si>
  <si>
    <t>B-READY : Marché Concurrence : Note globale</t>
  </si>
  <si>
    <t>B-READY : Pilier 1 : Cadre réglementaire</t>
  </si>
  <si>
    <t>B-READY : Pilier 2 : Services publics</t>
  </si>
  <si>
    <t>B-READY : Pilier 3 : Efficacité opérationnelle</t>
  </si>
  <si>
    <t>B-READY : Fiscalité Pilier 1 : Qualité de la réglementation fiscale</t>
  </si>
  <si>
    <t>B-READY : Pilier fiscal 2 : Services publics fournis par l'administration fiscale</t>
  </si>
  <si>
    <t>B-READY : Pilier 3 fiscal : Efficacité opérationnelle des systèmes fiscaux dans la pratique</t>
  </si>
  <si>
    <t>B-READY : Fiscalité : Note globale</t>
  </si>
  <si>
    <t>B-READY : Services publics Pilier 1 : Qualité de la réglementation sur les services publics</t>
  </si>
  <si>
    <t>B-READY : Services de services publics Pilier 2 : Qualité de la gouvernance et transparence des services de services publics</t>
  </si>
  <si>
    <t>B-READY : Services d'utilité Pilier 3 : Efficacité opérationnelle de la fourniture de services d'utilité</t>
  </si>
  <si>
    <t>B-READY : Services utilitaires : Note globale</t>
  </si>
  <si>
    <t>Incidence de la corruption ( % d'entreprises ayant fait l'objet d'au moins une demande de paiement de pots-de-vin)</t>
  </si>
  <si>
    <t>Monnaie au sens large ( % du PIB)</t>
  </si>
  <si>
    <t>Monnaie au sens large (LCU actuelle)</t>
  </si>
  <si>
    <t>Monnaie au sens large (croissance annuelle en %)</t>
  </si>
  <si>
    <t>Rapport entre la masse monétaire au sens large et le total des réserves</t>
  </si>
  <si>
    <t>Production des pêches de capture (tonnes métriques)</t>
  </si>
  <si>
    <t>Émissions de dioxyde de carbone (CO2) (total), à l'exclusion de l'UTCATF (variation en % par rapport à 1990)</t>
  </si>
  <si>
    <t>Émissions de dioxyde de carbone (CO2) (totales) à l'exclusion de l'UTCATF (Mt d'équivalent CO2)</t>
  </si>
  <si>
    <t>Émissions de dioxyde de carbone (CO2) hors UTCATF par habitant (t CO2e/habitant)</t>
  </si>
  <si>
    <t>Émissions de dioxyde de carbone (CO2) de l'agriculture (Mt CO2e)</t>
  </si>
  <si>
    <t>Émissions de dioxyde de carbone (CO2) provenant du bâtiment (énergie) (Mt CO2e)</t>
  </si>
  <si>
    <t>Émissions de dioxyde de carbone (CO2) provenant des émissions fugitives (énergie) (Mt d'équivalent CO2)</t>
  </si>
  <si>
    <t>Émissions de dioxyde de carbone (CO2) provenant de la combustion industrielle (énergie) (Mt d'équivalent CO2)</t>
  </si>
  <si>
    <t>Émissions de dioxyde de carbone (CO2) provenant des procédés industriels (Mt CO2e)</t>
  </si>
  <si>
    <t>Émissions de dioxyde de carbone (CO2) de l'industrie de l'électricité (énergie) (Mt CO2e)</t>
  </si>
  <si>
    <t>Émissions de dioxyde de carbone (CO2) provenant des transports (énergie) (Mt d'équivalent CO2)</t>
  </si>
  <si>
    <t>Émissions de dioxyde de carbone (CO2) provenant des déchets (Mt CO2e)</t>
  </si>
  <si>
    <t>Flux nets de dioxyde de carbone (CO2) provenant de l'UTCATF - Déforestation (Mt CO2e)</t>
  </si>
  <si>
    <t>Flux nets de dioxyde de carbone (CO2) provenant de l'UTCATF - Terres forestières (Mt CO2e)</t>
  </si>
  <si>
    <t>Flux nets de dioxyde de carbone (CO2) provenant de l'UTCATF - Sol organique (Mt CO2e)</t>
  </si>
  <si>
    <t>Flux nets de dioxyde de carbone (CO2) provenant de l'UTCATF - Autres terres (Mt d'équivalent CO2)</t>
  </si>
  <si>
    <t>Flux nets de dioxyde de carbone (CO2) provenant de l'UTCATF - Total à l'exclusion des incendies non tropicaux (Mt d'équivalents en CO2)</t>
  </si>
  <si>
    <t>Intensité carbone du PIB (kg d'équivalent CO2 par dollar PPA de 2021)</t>
  </si>
  <si>
    <t>Intensité carbone du PIB (kg d'équivalent CO2 par dollar américain constant de PIB de 2021)</t>
  </si>
  <si>
    <t>Causes de décès, selon les maladies transmissibles et les affections maternelles, prénatales et nutritionnelles ( % du total)</t>
  </si>
  <si>
    <t>Causes de décès, par blessure ( % du total)</t>
  </si>
  <si>
    <t>Causes de décès, par maladies non transmissibles ( % du total)</t>
  </si>
  <si>
    <t>Dette de l'administration centrale, totale ( % du PIB)</t>
  </si>
  <si>
    <t>Dette de l'administration centrale, totale (LCU courante)</t>
  </si>
  <si>
    <t>Production céréalière (tonnes)</t>
  </si>
  <si>
    <t>Rendement céréalier (kg par hectare)</t>
  </si>
  <si>
    <t>Variations des stocks (UCM constantes)</t>
  </si>
  <si>
    <t>Variations des stocks (UCL courantes)</t>
  </si>
  <si>
    <t>Variations des stocks (en dollars américains courants)</t>
  </si>
  <si>
    <t>Frais pour l'utilisation de la propriété intellectuelle, paiements (BoP, $ US courants)</t>
  </si>
  <si>
    <t>Frais pour l'utilisation de la propriété intellectuelle, recettes (BdP, $ US courants)</t>
  </si>
  <si>
    <t>Produits chimiques ( % de la valeur ajoutée dans l'industrie manufacturière)</t>
  </si>
  <si>
    <t>Emploi des enfants dans l'agriculture ( % des enfants actifs âgés de 7 à 14 ans)</t>
  </si>
  <si>
    <t>Emploi des enfants dans l'agriculture, femmes ( % des enfants de sexe féminin âgés de 7 à 14 ans)</t>
  </si>
  <si>
    <t>Emploi des enfants dans l'agriculture, hommes ( % des enfants de sexe masculin économiquement actifs âgés de 7 à 14 ans)</t>
  </si>
  <si>
    <t>Emploi des enfants dans l'industrie manufacturière ( % des enfants actifs âgés de 7 à 14 ans)</t>
  </si>
  <si>
    <t>Emploi des enfants dans l'industrie manufacturière, femmes ( % des enfants de sexe féminin âgés de 7 à 14 ans)</t>
  </si>
  <si>
    <t>Emploi des enfants dans l'industrie manufacturière (en % des enfants de sexe masculin âgés de 7 à 14 ans)</t>
  </si>
  <si>
    <t>Emploi des enfants dans les services ( % des enfants économiquement actifs âgés de 7 à 14 ans)</t>
  </si>
  <si>
    <t>Emploi des enfants dans les services, femmes ( % des enfants économiquement actifs âgés de 7 à 14 ans)</t>
  </si>
  <si>
    <t>Emploi des enfants dans les services, hommes ( % des enfants de sexe masculin économiquement actifs âgés de 7 à 14 ans)</t>
  </si>
  <si>
    <t>Enfants (0-14) vivant avec le VIH</t>
  </si>
  <si>
    <t>Enfants (âgés de 0 à 14 ans) nouvellement infectés par le VIH</t>
  </si>
  <si>
    <t>Enfants ayant un emploi, sexe féminin ( % des filles âgées de 7 à 14 ans)</t>
  </si>
  <si>
    <t>Enfants ayant un emploi, garçons ( % des enfants de sexe masculin âgés de 7 à 14 ans)</t>
  </si>
  <si>
    <t>Enfants ayant un emploi, travailleurs indépendants ( % d'enfants ayant un emploi, âgés de 7 à 14 ans)</t>
  </si>
  <si>
    <t>Enfants ayant un emploi, travailleurs indépendants, filles ( % d'enfants de sexe féminin ayant un emploi, âgés de 7 à 14 ans)</t>
  </si>
  <si>
    <t>Enfants ayant un emploi, travailleurs indépendants, hommes ( % d'enfants de sexe masculin ayant un emploi, âgés de 7 à 14 ans)</t>
  </si>
  <si>
    <t>Enfants ayant un emploi, étudiant ou travaillant ( % d'enfants ayant un emploi, âgés de 7 à 14 ans)</t>
  </si>
  <si>
    <t>Enfants ayant un emploi, étudiant ou travaillant, de sexe féminin ( % d'enfants de sexe féminin ayant un emploi, âgés de 7 à 14 ans)</t>
  </si>
  <si>
    <t>Enfants ayant un emploi, étudiant ou travaillant, garçons ( % d'enfants de sexe masculin ayant un emploi, âgés de 7 à 14 ans)</t>
  </si>
  <si>
    <t>Enfants ayant un emploi, total ( % des enfants âgés de 7 à 14 ans)</t>
  </si>
  <si>
    <t>Enfants ayant un emploi, travailleurs familiaux non rémunérés ( % d'enfants ayant un emploi, âgés de 7 à 14 ans)</t>
  </si>
  <si>
    <t>Enfants ayant un emploi, aides familiales non rémunérées, femmes ( % d'enfants de sexe féminin ayant un emploi, âgés de 7 à 14 ans)</t>
  </si>
  <si>
    <t>Enfants ayant un emploi, travailleurs familiaux non rémunérés, hommes ( % des enfants de sexe masculin ayant un emploi, âgés de 7 à 14 ans)</t>
  </si>
  <si>
    <t>Enfants ayant un emploi, travailleurs salariés ( % d'enfants ayant un emploi, âgés de 7 à 14 ans)</t>
  </si>
  <si>
    <t>Enfants ayant un emploi, salariés, filles ( % d'enfants de sexe féminin ayant un emploi, âgés de 7 à 14 ans)</t>
  </si>
  <si>
    <t>Enfants ayant un emploi, travailleurs salariés, garçons ( % d'enfants de sexe masculin ayant un emploi, âgés de 7 à 14 ans)</t>
  </si>
  <si>
    <t>Enfants ayant un emploi, travaillant uniquement ( % d'enfants ayant un emploi, âgés de 7 à 14 ans)</t>
  </si>
  <si>
    <t>Enfants ayant un emploi, travaillant uniquement, de sexe féminin ( % d'enfants de sexe féminin ayant un emploi, âgés de 7 à 14 ans)</t>
  </si>
  <si>
    <t>Enfants ayant un emploi, travaillant uniquement, garçons ( % d'enfants de sexe masculin ayant un emploi, âgés de 7 à 14 ans)</t>
  </si>
  <si>
    <t>Enfants non scolarisés ( % de l'âge de l'école primaire)</t>
  </si>
  <si>
    <t>Enfants non scolarisés, filles ( % des filles en âge de fréquenter l'école primaire)</t>
  </si>
  <si>
    <t>Enfants non scolarisés, garçons ( % des garçons en âge de fréquenter l'école primaire)</t>
  </si>
  <si>
    <t>Enfants non scolarisés, primaire</t>
  </si>
  <si>
    <t>Enfants non scolarisés, primaires, filles</t>
  </si>
  <si>
    <t>Enfants non scolarisés, primaires, garçons</t>
  </si>
  <si>
    <t>Enfants fiévreux recevant des médicaments antipaludéens ( % d'enfants de moins de 5 ans ayant de la fièvre)</t>
  </si>
  <si>
    <t>Créances sur l'administration centrale (croissance annuelle en % de la monnaie au sens large)</t>
  </si>
  <si>
    <t>Créances sur l'administration centrale, etc. (en % du PIB)</t>
  </si>
  <si>
    <t>Créances sur d'autres secteurs de l'économie nationale (en % du PIB)</t>
  </si>
  <si>
    <t>Créances sur d'autres secteurs de l'économie nationale (croissance annuelle en % de la monnaie au sens large)</t>
  </si>
  <si>
    <t>Créances sur le secteur privé (croissance annuelle en % de la monnaie au sens large)</t>
  </si>
  <si>
    <t>Rentes du charbon ( % du PIB)</t>
  </si>
  <si>
    <t>Énergies renouvelables combustibles et déchets ( % de l'énergie totale)</t>
  </si>
  <si>
    <t>Succursales de banques commerciales (pour 100 000 adultes)</t>
  </si>
  <si>
    <t>Banques commerciales et autres prêts (PPG + PNG) (NFL, $ US courants)</t>
  </si>
  <si>
    <t>Exportations de services commerciaux (en dollars américains courants)</t>
  </si>
  <si>
    <t>Importations de services commerciaux (en dollars courants des États-Unis)</t>
  </si>
  <si>
    <t>Communications, informatique, etc. (en % des exportations de services, BdP)</t>
  </si>
  <si>
    <t>Communications, informatique, etc. ( % des importations de services, BdP)</t>
  </si>
  <si>
    <t>Agents de santé communautaires (pour 1 000 personnes)</t>
  </si>
  <si>
    <t>Rémunération des salariés ( % de la charge)</t>
  </si>
  <si>
    <t>Rémunération des salariés (LCU actuelle)</t>
  </si>
  <si>
    <t>Exhaustivité de l'enregistrement des naissances ( %)</t>
  </si>
  <si>
    <t>Exhaustivité de l'enregistrement des naissances, femmes ( %)</t>
  </si>
  <si>
    <t>Exhaustivité de l'enregistrement des naissances, hommes ( %)</t>
  </si>
  <si>
    <t>Exhaustivité de l'enregistrement des naissances, régions rurales ( %)</t>
  </si>
  <si>
    <t>Exhaustivité de l'enregistrement des naissances, zone urbaine ( %)</t>
  </si>
  <si>
    <t>Exhaustivité de l'enregistrement du décès avec des informations sur la cause du décès ( %)</t>
  </si>
  <si>
    <t>Formation obligatoire, durée (années)</t>
  </si>
  <si>
    <t>Services informatiques, communications et autres ( % des exportations de services commerciaux)</t>
  </si>
  <si>
    <t>Services informatiques, communications et autres ( % des importations de services commerciaux)</t>
  </si>
  <si>
    <t>Utilisation du préservatif, population âgée de 15 à 24 ans, femmes ( % de femmes âgées de 15 à 24 ans)</t>
  </si>
  <si>
    <t>Utilisation du préservatif, population âgée de 15 à 24 ans, hommes ( % des hommes âgés de 15 à 24 ans)</t>
  </si>
  <si>
    <t>Indice des prix à la consommation (2010 = 100)</t>
  </si>
  <si>
    <t>Consommation de sel iodé ( % des ménages)</t>
  </si>
  <si>
    <t>Trafic portuaire de conteneurs (TEU : équivalents 20 pieds)</t>
  </si>
  <si>
    <t>Prévalence contraceptive, toutes méthodes confondues ( % de femmes mariées âgées de 15 à 49 ans)</t>
  </si>
  <si>
    <t>Prévalence contraceptive, toutes méthodes modernes ( % de femmes mariées âgées de 15 à 49 ans)</t>
  </si>
  <si>
    <t>Travailleurs familiaux cotisants, femmes ( % de l'emploi féminin) (estimation modélisée de l'OIT)</t>
  </si>
  <si>
    <t>Travailleurs familiaux cotisants, hommes ( % de l'emploi masculin) (estimation modélisée de l'OIT)</t>
  </si>
  <si>
    <t>Travailleurs familiaux cotisants, total ( % de l'emploi total) (estimation modélisée de l'OIT)</t>
  </si>
  <si>
    <t>Contrôle de la corruption : estimation</t>
  </si>
  <si>
    <t>Contrôle de la corruption : nombre de sources</t>
  </si>
  <si>
    <t>Contrôle de la corruption : rang centile</t>
  </si>
  <si>
    <t>Contrôle de la corruption : rang centile, limite inférieure de l'intervalle de confiance à 90 %</t>
  </si>
  <si>
    <t>Contrôle de la corruption : rang centile, limite supérieure de l'intervalle de confiance à 90 %</t>
  </si>
  <si>
    <t>Contrôle de la corruption : erreur type</t>
  </si>
  <si>
    <t>Couverture des programmes d'assurance sociale ( % de la population)</t>
  </si>
  <si>
    <t>Couverture des programmes d'assurance sociale dans le 2e quintile ( % de la population)</t>
  </si>
  <si>
    <t>Couverture des programmes d'assurance sociale dans le 3e quintile ( % de la population)</t>
  </si>
  <si>
    <t>Couverture des programmes d'assurance sociale dans le 4e quintile ( % de la population)</t>
  </si>
  <si>
    <t>Couverture des programmes d'assurance sociale dans le quintile le plus pauvre ( % de la population)</t>
  </si>
  <si>
    <t>Couverture des programmes d'assurance sociale dans le quintile le plus riche ( % de la population)</t>
  </si>
  <si>
    <t>Couverture des programmes de protection sociale et du travail ( % de la population)</t>
  </si>
  <si>
    <t>Couverture des programmes de protection sociale ( % de la population)</t>
  </si>
  <si>
    <t>Couverture des programmes de protection sociale dans le 2e quintile ( % de la population)</t>
  </si>
  <si>
    <t>Couverture des programmes de protection sociale dans le 3e quintile ( % de la population)</t>
  </si>
  <si>
    <t>Couverture des programmes de protection sociale dans le 4e quintile ( % de la population)</t>
  </si>
  <si>
    <t>Couverture des programmes de protection sociale dans le quintile le plus pauvre ( % de la population)</t>
  </si>
  <si>
    <t>Couverture des programmes de protection sociale dans le quintile le plus riche ( % de la population)</t>
  </si>
  <si>
    <t>Prise en charge des allocations de chômage et des MTPM (en % de la population)</t>
  </si>
  <si>
    <t>Couverture des allocations de chômage et des PAMM dans le 2e quintile ( % de la population)</t>
  </si>
  <si>
    <t>Couverture des allocations de chômage et des PAMM dans le 3e quintile (en % de la population)</t>
  </si>
  <si>
    <t>Couverture des allocations de chômage et des PAMT dans le 4e quintile ( % de la population)</t>
  </si>
  <si>
    <t>Couverture des allocations de chômage et des MPT dans le quintile le plus pauvre ( % de la population)</t>
  </si>
  <si>
    <t>Couverture des allocations de chômage et des PAMM dans le quintile le plus riche ( % de la population)</t>
  </si>
  <si>
    <t>Évaluation des ressources humaines de l'EPIN (1 = faible à 6 = élevée)</t>
  </si>
  <si>
    <t>Cote de l'environnement réglementaire des entreprises de l'EPIN (1 = faible à 6 = élevée)</t>
  </si>
  <si>
    <t>Notation de la politique d'endettement de CPIA (1 = faible à 6 = élevée)</t>
  </si>
  <si>
    <t>Moyenne du groupe de gestion économique CPIA (1 = faible à 6 = élevée)</t>
  </si>
  <si>
    <t>Évaluation de l'efficacité de la mobilisation des recettes de l'EPIN (1 = faible à 6 = élevée)</t>
  </si>
  <si>
    <t>Évaluation de l'équité de l'utilisation des ressources publiques par l'EPIN (1 = faible à 6 = élevée)</t>
  </si>
  <si>
    <t>Notation du secteur financier CPIA (1 = faible à 6 = élevée)</t>
  </si>
  <si>
    <t>Notation de la politique budgétaire de l'EPIN (1 = faible à 6 = élevée)</t>
  </si>
  <si>
    <t>Évaluation de l'égalité des sexes par l'EPIN (1 = faible à 6 = élevée)</t>
  </si>
  <si>
    <t>Notation de la gestion macroéconomique CPIA (1 = faible à 6 = élevée)</t>
  </si>
  <si>
    <t>Moyenne sectorielle des politiques de l'EPIN en matière d'inclusion sociale/équité (1 = faible à 6 = élevée)</t>
  </si>
  <si>
    <t>Politique et institutions de l'EPIN pour l'évaluation de la durabilité environnementale (1 = faible à 6 = élevé)</t>
  </si>
  <si>
    <t>Droits de propriété de l'EPIN et évaluation de la gouvernance fondée sur des règles (1 = faible à 6 = élevé)</t>
  </si>
  <si>
    <t>Moyenne du groupe de gestion et d'institutions du secteur public de l'EPIN (1 = faible à 6 = élevée)</t>
  </si>
  <si>
    <t>Évaluation de la qualité de la gestion budgétaire et financière de l'EPIN (1 = faible à 6 = élevée)</t>
  </si>
  <si>
    <t>Évaluation de la qualité de l'administration publique par l'EPIN (1 = faible à 6 = élevée)</t>
  </si>
  <si>
    <t>Évaluation de la protection sociale CPIA (1 = faible à 6 = élevée)</t>
  </si>
  <si>
    <t>Moyenne du groupe des politiques structurelles de l'EPIN (1 = faible à 6 = élevée)</t>
  </si>
  <si>
    <t>Cote de transaction CPIA (1 = faible à 6 = élevée)</t>
  </si>
  <si>
    <t>Cote CPIA de la transparence, de la responsabilité et de la corruption dans le secteur public (1 = faible à 6 = élevé)</t>
  </si>
  <si>
    <t>Indice de la production végétale (2014-2016 = 100)</t>
  </si>
  <si>
    <t>Balance courante (en % du PIB)</t>
  </si>
  <si>
    <t>Solde du compte courant ($ US courants, BdP)</t>
  </si>
  <si>
    <t>Dépenses courantes d'éducation dans l'enseignement primaire (en % des dépenses totales dans les établissements publics primaires)</t>
  </si>
  <si>
    <t>Dépenses courantes d'éducation, secondaire (en % des dépenses totales dans les établissements publics secondaires)</t>
  </si>
  <si>
    <t>Dépenses courantes d'éducation, enseignement supérieur (en % des dépenses totales dans les établissements publics d'enseignement supérieur)</t>
  </si>
  <si>
    <t>Dépenses courantes d'éducation, total (en % des dépenses totales dans les établissements publics)</t>
  </si>
  <si>
    <t>Dépenses courantes de santé (en % du PIB)</t>
  </si>
  <si>
    <t>Dépenses courantes de santé par habitant (en dollars courants des États-Unis)</t>
  </si>
  <si>
    <t>Dépenses courantes de santé par habitant, PPA (en dollars internationaux courants)</t>
  </si>
  <si>
    <t>Droits de douane et autres droits à l'importation ( % des recettes fiscales)</t>
  </si>
  <si>
    <t>Droits de douane et autres droits à l'importation (LCU actuels)</t>
  </si>
  <si>
    <t>Taux de mortalité, brut (pour 1 000 personnes)</t>
  </si>
  <si>
    <t>Service de la dette à l'exportation ( %)</t>
  </si>
  <si>
    <t>Service de la dette sur la dette extérieure, publique et garantie par l'État (TDS, $ US courants)</t>
  </si>
  <si>
    <t>Service de la dette sur la dette extérieure, total (ATD, $ US courants)</t>
  </si>
  <si>
    <t>Facteur de conversion alternatif DEC (LCU par dollar américain)</t>
  </si>
  <si>
    <t>Demande de planification familiale satisfaite par les méthodes modernes ( % de femmes mariées ayant une demande de planification familiale)</t>
  </si>
  <si>
    <t>Taux d'intérêt des dépôts ( %)</t>
  </si>
  <si>
    <t>Déposants auprès des banques commerciales (pour 1 000 adultes)</t>
  </si>
  <si>
    <t>Prévalence du diabète ( % de la population âgée de 20 à 79 ans)</t>
  </si>
  <si>
    <t>Traitement de la diarrhée ( % d'enfants de moins de 5 ans recevant une réhydratation orale et une alimentation continue)</t>
  </si>
  <si>
    <t>Traitement de la diarrhée ( % d'enfants de moins de 5 ans ayant reçu un sachet de SRO)</t>
  </si>
  <si>
    <t>Score de progrès en matière de réduction des risques de catastrophe (échelle de 1 à 5 ; 5 = meilleur)</t>
  </si>
  <si>
    <t>Écart dans l'estimation des dépenses du PIB (UCV constantes)</t>
  </si>
  <si>
    <t>Écart dans l'estimation des dépenses du PIB (UCV courantes)</t>
  </si>
  <si>
    <t>Crédit intérieur fourni par le secteur financier ( % du PIB)</t>
  </si>
  <si>
    <t>Crédit intérieur au secteur privé ( % du PIB)</t>
  </si>
  <si>
    <t>Crédit intérieur au secteur privé par les banques ( % du PIB)</t>
  </si>
  <si>
    <t>Dépenses de santé des administrations publiques nationales (en % des dépenses courantes de santé)</t>
  </si>
  <si>
    <t>Dépenses de santé des administrations publiques nationales (en % du PIB)</t>
  </si>
  <si>
    <t>Dépenses de santé des administrations publiques nationales (en % des dépenses des administrations publiques)</t>
  </si>
  <si>
    <t>Dépenses de santé des administrations publiques nationales par habitant (en dollars courants)</t>
  </si>
  <si>
    <t>Dépenses de santé des administrations publiques nationales par habitant, PPA (en dollars internationaux courants)</t>
  </si>
  <si>
    <t>Dépenses privées de santé domestiques ( % des dépenses courantes de santé)</t>
  </si>
  <si>
    <t>Dépenses intérieures de santé privées par habitant (en dollars courants)</t>
  </si>
  <si>
    <t>Dépenses intérieures privées de santé par habitant, PPA (en dollars internationaux courants)</t>
  </si>
  <si>
    <t>Sécheresses, inondations, températures extrêmes ( % de la population, moyenne 1990-2009)</t>
  </si>
  <si>
    <t>Niveau d'éducation, au moins baccalauréat ou équivalent, population 25+, femmes ( %) (cumulé)</t>
  </si>
  <si>
    <t>Niveau d'éducation, au moins baccalauréat ou équivalent, population 25+, hommes ( %) (cumulatif)</t>
  </si>
  <si>
    <t>Niveau d'éducation, au moins Baccalauréat ou équivalent, population 25+, total ( %) (cumulatif)</t>
  </si>
  <si>
    <t>Niveau d'éducation, au moins diplôme du premier cycle de l'enseignement secondaire, population 25+, femmes ( %) (cumulé)</t>
  </si>
  <si>
    <t>Niveau d'éducation, au moins terminé le premier cycle de l'enseignement secondaire, population 25+, hommes ( %) (cumulé)</t>
  </si>
  <si>
    <t>Niveau d'éducation, au moins diplôme du premier cycle de l'enseignement secondaire, population 25+, total ( %) (cumulé)</t>
  </si>
  <si>
    <t>Niveau d'éducation, au moins terminé études postsecondaires, population 25+, femmes ( %) (cumulatif)</t>
  </si>
  <si>
    <t>Niveau de scolarité, au moins terminé études postsecondaires, population de 25 ans et +, hommes ( %) (cumulatif)</t>
  </si>
  <si>
    <t>Niveau de scolarité, au moins terminé études postsecondaires, population 25+, total ( %) (cumulatif)</t>
  </si>
  <si>
    <t>Niveau d'éducation, au moins à l'issue de l'enseignement primaire, population de 25 ans et +, femmes ( %) (cumulé)</t>
  </si>
  <si>
    <t>Niveau d'instruction, au moins à l'issue de l'enseignement primaire, population de 25 ans et +, hommes ( %) (cumulé)</t>
  </si>
  <si>
    <t>Niveau d'instruction, au moins terminé l'enseignement primaire, population 25+ ans, total ( %) (cumulé)</t>
  </si>
  <si>
    <t>Niveau d'éducation, au moins diplômé de l'enseignement supérieur court, population 25+, femmes ( %) (cumulé)</t>
  </si>
  <si>
    <t>Niveau d'éducation, au moins diplômé de l'enseignement supérieur de cycle court, population 25+, hommes ( %) (cumulé)</t>
  </si>
  <si>
    <t>Niveau d'éducation, au moins terminé dans l'enseignement supérieur de cycle court, population 25+, total ( %) (cumulé)</t>
  </si>
  <si>
    <t>Niveau d'éducation, au moins diplômé du deuxième cycle de l'enseignement secondaire, population 25+, femmes ( %) (cumulé)</t>
  </si>
  <si>
    <t>Niveau d'éducation, au moins diplôme du deuxième cycle de l'enseignement secondaire, population 25+, hommes ( %) (cumulé)</t>
  </si>
  <si>
    <t>Niveau d'éducation, au moins diplôme du deuxième cycle de l'enseignement secondaire, population 25+, total ( %) (cumulé)</t>
  </si>
  <si>
    <t>Niveau d'éducation, au moins Master ou équivalent, population 25+, femmes ( %) (cumulé)</t>
  </si>
  <si>
    <t>Niveau d'éducation, au moins Master ou équivalent, population 25+, hommes ( %) (cumulé)</t>
  </si>
  <si>
    <t>Niveau d'éducation, au moins Master ou équivalent, population 25+, total ( %) (cumulatif)</t>
  </si>
  <si>
    <t>Niveau d'éducation, doctorat ou équivalent, population de 25 ans et +, femmes ( %) (cumulatif)</t>
  </si>
  <si>
    <t>Niveau d'éducation, doctorat ou équivalent, population 25+, hommes ( %) (cumulatif)</t>
  </si>
  <si>
    <t>Niveau d'éducation, doctorat ou équivalent, population 25+, total ( %) (cumulatif)</t>
  </si>
  <si>
    <t>Consommation électrique (kWh par habitant)</t>
  </si>
  <si>
    <t>Pertes de transport et de distribution d'énergie électrique ( % de la production)</t>
  </si>
  <si>
    <t>Production d'électricité à partir de sources charbonnières ( % du total)</t>
  </si>
  <si>
    <t>Production d'électricité à partir de sources hydroélectriques ( % du total)</t>
  </si>
  <si>
    <t>Production d'électricité à partir de sources de gaz naturel ( % du total)</t>
  </si>
  <si>
    <t>Production d'électricité à partir de sources nucléaires ( % du total)</t>
  </si>
  <si>
    <t>Production d'électricité à partir de sources pétrolières ( % du total)</t>
  </si>
  <si>
    <t>Production d'électricité à partir de pétrole, de gaz et de charbon ( % du total)</t>
  </si>
  <si>
    <t>Production d'électricité à partir de sources renouvelables, à l'exclusion de l'hydroélectricité ( % du total)</t>
  </si>
  <si>
    <t>Production d'électricité à partir de sources renouvelables, à l'exclusion de l'hydroélectricité (kWh)</t>
  </si>
  <si>
    <t>Employeurs, femmes ( % de l'emploi féminin) (estimation modélisée de l'OIT)</t>
  </si>
  <si>
    <t>Employeurs, hommes ( % de l'emploi masculin) (estimation modélisée de l'OIT)</t>
  </si>
  <si>
    <t>Employeurs, total ( % de l'emploi total) (estimation modélisée de l'OIT)</t>
  </si>
  <si>
    <t>Emploi dans l'agriculture ( % de l'emploi total) (estimation modélisée de l'OIT)</t>
  </si>
  <si>
    <t>Emploi des femmes dans l'agriculture ( % de l'emploi féminin) (estimation modélisée de l'OIT)</t>
  </si>
  <si>
    <t>Emploi dans l'agriculture, hommes ( % de l'emploi masculin) (estimation modélisée de l'OIT)</t>
  </si>
  <si>
    <t>Emploi dans l'industrie (en % de l'emploi total) (estimation modélisée de l'OIT)</t>
  </si>
  <si>
    <t>Emploi dans l'industrie, femmes ( % de l'emploi féminin) (estimation modélisée de l'OIT)</t>
  </si>
  <si>
    <t>Emploi dans l'industrie, hommes ( % de l'emploi masculin) (estimation modélisée de l'OIT)</t>
  </si>
  <si>
    <t>Emploi dans les services ( % de l'emploi total) (estimation modélisée de l'OIT)</t>
  </si>
  <si>
    <t>Emploi des femmes dans les services ( % de l'emploi féminin) (estimation modélisée de l'OIT)</t>
  </si>
  <si>
    <t>Emploi dans les services, hommes ( % de l'emploi masculin) (estimation modélisée de l'OIT)</t>
  </si>
  <si>
    <t>Rapport emploi/population, 15+, femmes ( %) (estimation modélisée de l'OIT)</t>
  </si>
  <si>
    <t>Rapport emploi/population, 15+, femmes ( %) (estimation nationale)</t>
  </si>
  <si>
    <t>Rapport emploi/population, 15+, hommes ( %) (estimation modélisée de l'OIT)</t>
  </si>
  <si>
    <t>Rapport emploi/population, 15+, hommes ( %) (estimation nationale)</t>
  </si>
  <si>
    <t>Ratio emploi/population, 15+, total ( %) (estimation modélisée de l'OIT)</t>
  </si>
  <si>
    <t>Rapport emploi/population, 15+, total ( %) (estimation nationale)</t>
  </si>
  <si>
    <t>Rapport emploi/population, 15-24 ans, femmes ( %) (estimation modélisée de l'OIT)</t>
  </si>
  <si>
    <t>Rapport emploi/population, 15-24 ans, femmes ( %) (estimation nationale)</t>
  </si>
  <si>
    <t>Rapport emploi/population, 15-24 ans, hommes ( %) (estimation modélisée de l'OIT)</t>
  </si>
  <si>
    <t>Rapport emploi/population, 15-24 ans, hommes ( %) (estimation nationale)</t>
  </si>
  <si>
    <t>Rapport emploi/population, 15-24 ans, total ( %) (estimation modélisée de l'OIT)</t>
  </si>
  <si>
    <t>Rapport emploi/population, 15-24 ans, total ( %) (estimation nationale)</t>
  </si>
  <si>
    <t>Importations d'énergie, nettes ( % de la consommation d'énergie)</t>
  </si>
  <si>
    <t>Niveau d'intensité énergétique de l'énergie primaire (MJ/PIB PPA de 2017)</t>
  </si>
  <si>
    <t>Consommation d'énergie (kg d'équivalent pétrole par habitant)</t>
  </si>
  <si>
    <t>Consommation d'énergie (kg d'équivalent pétrole) par 1 000 $ de PIB (PPA constante de 2017)</t>
  </si>
  <si>
    <t>Allaitement maternel exclusif ( % d'enfants de moins de 6 mois)</t>
  </si>
  <si>
    <t>Dépenses consacrées à l'enseignement primaire (en % des dépenses publiques consacrées à l'éducation)</t>
  </si>
  <si>
    <t>Dépenses consacrées à l'enseignement secondaire (en % des dépenses publiques consacrées à l'éducation)</t>
  </si>
  <si>
    <t>Dépenses consacrées à l'enseignement supérieur (en % des dépenses publiques consacrées à l'éducation)</t>
  </si>
  <si>
    <t>Charges ( % du PIB)</t>
  </si>
  <si>
    <t>Charges (LCU courantes)</t>
  </si>
  <si>
    <t>Indice de valeur unitaire des exportations (2015 = 100)</t>
  </si>
  <si>
    <t>Indice de valeur des exportations (2015 = 100)</t>
  </si>
  <si>
    <t>Indice du volume des exportations (2015 = 100)</t>
  </si>
  <si>
    <t>Exportations en tant que capacité d'importation (UCV constante)</t>
  </si>
  <si>
    <t>Exportations de biens et de services (en % du PIB)</t>
  </si>
  <si>
    <t>Exportations de biens et de services (croissance annuelle en %)</t>
  </si>
  <si>
    <t>Exportations de biens et de services ($ US courants, BdP)</t>
  </si>
  <si>
    <t>Exportations de biens et de services (en dollars constants de 2015)</t>
  </si>
  <si>
    <t>Exportations de biens et de services (UCT constantes)</t>
  </si>
  <si>
    <t>Exportations de biens et de services (UCL courantes)</t>
  </si>
  <si>
    <t>Exportations de biens et de services (en dollars américains courants)</t>
  </si>
  <si>
    <t>Exportations de biens, de services et de revenus primaires ($ US courants, BdP)</t>
  </si>
  <si>
    <t>Solde extérieur des biens et services (en % du PIB)</t>
  </si>
  <si>
    <t>Solde extérieur des biens et services (UCL constantes)</t>
  </si>
  <si>
    <t>Solde extérieur des biens et services (UCL courante)</t>
  </si>
  <si>
    <t>Solde extérieur des biens et services (en dollars courants des États-Unis)</t>
  </si>
  <si>
    <t>Encours de la dette extérieure ( % du RNB)</t>
  </si>
  <si>
    <t>Encours de la dette extérieure, à long terme (DOD, $ US courants)</t>
  </si>
  <si>
    <t>Encours de la dette extérieure privée non garantie (PNG) (DOD, dollars américains courants)</t>
  </si>
  <si>
    <t>Encours de la dette extérieure, publique et garantie par l'État (DOD, $ US courants)</t>
  </si>
  <si>
    <t>Encours de la dette extérieure, à court terme (DOD, $ US courants)</t>
  </si>
  <si>
    <t>Encours de la dette extérieure, total (DOD, $ US courants)</t>
  </si>
  <si>
    <t>Dépenses externes de santé (en % des dépenses de santé courantes)</t>
  </si>
  <si>
    <t>Dépenses externes de santé par habitant (en dollars courants des États-Unis)</t>
  </si>
  <si>
    <t>Dépenses externes de santé par habitant, PPA (en dollars internationaux courants)</t>
  </si>
  <si>
    <t>Prévalence des mutilations génitales féminines ( %)</t>
  </si>
  <si>
    <t>Ménages dirigés par des femmes ( % des ménages)</t>
  </si>
  <si>
    <t>Filles en âge de fréquenter l'école primaire non scolarisées ( %)</t>
  </si>
  <si>
    <t>Élèves de sexe féminin ayant des compétences minimales en lecture à la fin de l'enseignement primaire ( %). Seuil GAML bas</t>
  </si>
  <si>
    <t>Part des femmes dans l'emploi des cadres supérieurs et intermédiaires ( %)</t>
  </si>
  <si>
    <t>Taux de fécondité, total (naissances par femme)</t>
  </si>
  <si>
    <t>Consommation d'engrais ( % de la production d'engrais)</t>
  </si>
  <si>
    <t>Consommation d'engrais (kilogrammes par hectare de terres arables)</t>
  </si>
  <si>
    <t>Émissions de gaz à effet de serre fluorés (gaz fluorés) provenant des procédés industriels (Mt CO2e)</t>
  </si>
  <si>
    <t>Dépenses de consommation finale (en % du PIB)</t>
  </si>
  <si>
    <t>Dépenses de consommation finale ( % de croissance annuelle)</t>
  </si>
  <si>
    <t>Dépenses de consommation finale (en dollars constants de 2015)</t>
  </si>
  <si>
    <t>Dépense de consommation finale (UCT constantes)</t>
  </si>
  <si>
    <t>Dépenses de consommation finale (UCL courantes)</t>
  </si>
  <si>
    <t>Dépenses de consommation finale (en dollars américains courants)</t>
  </si>
  <si>
    <t>Services d'intermédiaires financiers mesurés indirectement (SIFIM) (UCV constantes)</t>
  </si>
  <si>
    <t>Services d'intermédiaires financiers indirectement mesurés (SIFIM) (LCU courante)</t>
  </si>
  <si>
    <t>Entreprises adoptant des mesures de gestion de l'énergie pour réduire les émissions, les déchets ou la pollution ( % des entreprises)</t>
  </si>
  <si>
    <t>Entreprises en concurrence avec des entreprises non enregistrées ( % des entreprises)</t>
  </si>
  <si>
    <t>Entreprises censées offrir des cadeaux lors de réunions avec des agents des impôts ( % des entreprises)</t>
  </si>
  <si>
    <t>Entreprises ayant subi des pannes d'électricité ( % des entreprises)</t>
  </si>
  <si>
    <t>Entreprises exportant directement au moins 10 % de leurs ventes ( % des entreprises)</t>
  </si>
  <si>
    <t>Entreprises remplissant leurs impôts par voie électronique ( % des entreprises)</t>
  </si>
  <si>
    <t>Entreprises officiellement enregistrées au début de leurs activités ( % des entreprises)</t>
  </si>
  <si>
    <t>Entreprises surveillant leurs propres émissions de CO2 ( % des entreprises)</t>
  </si>
  <si>
    <t>Entreprises offrant une formation formelle ( % des entreprises)</t>
  </si>
  <si>
    <t>Entreprises qui sont entièrement limitées en matière de crédit ( % des entreprises)</t>
  </si>
  <si>
    <t>Entreprises partiellement contraintes en matière de crédit ( % des entreprises)</t>
  </si>
  <si>
    <t>Entreprises qui ne déclarent pas toutes les ventes aux fins de l'impôt ( % des entreprises)</t>
  </si>
  <si>
    <t>Entreprises qui ont lancé un nouveau produit, un nouveau service et un nouveau processus, et qui ont dépensé en R-D</t>
  </si>
  <si>
    <t>Entreprises qui font appel à un tiers pour résoudre des litiges commerciaux ( % des entreprises)</t>
  </si>
  <si>
    <t>Entreprises ayant recours aux banques pour financer leurs investissements ( % des entreprises)</t>
  </si>
  <si>
    <t>Entreprises ayant recours à la banque pour financer leur fonds de roulement ( % des entreprises)</t>
  </si>
  <si>
    <t>Entreprises ayant visité des agents du fisc ou ayant demandé à rencontrer des agents du fisc ( % des entreprises)</t>
  </si>
  <si>
    <t>Entreprises dont le principal propriétaire est également le cadre supérieur ( % des entreprises)</t>
  </si>
  <si>
    <t>Entreprises disposant d'un prêt ou d'une marge de crédit bancaire ( % des entreprises)</t>
  </si>
  <si>
    <t>Entreprises détenues à au moins 10 % par des étrangers</t>
  </si>
  <si>
    <t>Entreprises avec participation féminine ( % des entreprises)</t>
  </si>
  <si>
    <t>Entreprises dirigées par des femmes ( % des entreprises)</t>
  </si>
  <si>
    <t>Espèces de poissons menacées</t>
  </si>
  <si>
    <t>Abonnements haut débit fixe</t>
  </si>
  <si>
    <t>Abonnements au haut débit fixe (pour 100 personnes)</t>
  </si>
  <si>
    <t>Abonnements à la téléphonie fixe</t>
  </si>
  <si>
    <t>Abonnements à la téléphonie fixe (pour 100 personnes)</t>
  </si>
  <si>
    <t>Exportations de produits alimentaires ( % des exportations de marchandises)</t>
  </si>
  <si>
    <t>Importations de produits alimentaires ( % des importations de marchandises)</t>
  </si>
  <si>
    <t>Indice de la production alimentaire (2014-2016 = 100)</t>
  </si>
  <si>
    <t>Produits alimentaires, boissons et tabac ( % de la valeur ajoutée dans l'industrie manufacturière)</t>
  </si>
  <si>
    <t>Personnes déplacées de force</t>
  </si>
  <si>
    <t>Investissements directs étrangers, nets ($ US courants, BdP)</t>
  </si>
  <si>
    <t>Investissements directs étrangers, entrées nettes ( % du PIB)</t>
  </si>
  <si>
    <t>Investissements directs étrangers, entrées nettes (BdP, dollar américain courant)</t>
  </si>
  <si>
    <t>Investissements directs étrangers, sorties nettes ( % du PIB)</t>
  </si>
  <si>
    <t>Investissements directs étrangers, sorties nettes (BdP, $ US courants)</t>
  </si>
  <si>
    <t>Superficie forestière ( % de la superficie terrestre)</t>
  </si>
  <si>
    <t>Superficie forestière (km²)</t>
  </si>
  <si>
    <t>Rentes forestières ( % du PIB)</t>
  </si>
  <si>
    <t>Consommation d'énergie fossile ( % du total)</t>
  </si>
  <si>
    <t>Exportations de combustibles ( % des exportations de marchandises)</t>
  </si>
  <si>
    <t>Importations de combustibles ( % des importations de marchandises)</t>
  </si>
  <si>
    <t>PIB (en dollars constants de 2015)</t>
  </si>
  <si>
    <t>PIB (UCL constantes)</t>
  </si>
  <si>
    <t>PIB (UCL courante)</t>
  </si>
  <si>
    <t>PIB (en dollars américains courants)</t>
  </si>
  <si>
    <t>Déflateur du PIB (l'année de base varie selon les pays)</t>
  </si>
  <si>
    <t>Déflateur du PIB, séries liées (l'année de référence varie selon le pays)</t>
  </si>
  <si>
    <t>PIB (croissance annuelle en %)</t>
  </si>
  <si>
    <t>PIB par habitant (en dollars constants de 2015)</t>
  </si>
  <si>
    <t>PIB par habitant (UCL constantes)</t>
  </si>
  <si>
    <t>PIB par habitant (UCL courante)</t>
  </si>
  <si>
    <t>PIB par habitant (en dollars américains courants)</t>
  </si>
  <si>
    <t>PIB par habitant (croissance annuelle en %)</t>
  </si>
  <si>
    <t>PIB par habitant, PPA (en dollars internationaux constants de 2017)</t>
  </si>
  <si>
    <t>PIB par habitant, PPA (en dollars internationaux courants)</t>
  </si>
  <si>
    <t>PIB par personne occupée (en dollars PPA constants de 2017)</t>
  </si>
  <si>
    <t>PIB par unité d'énergie utilisée (en dollars PPA constants de 2017 par kg d'équivalent pétrole)</t>
  </si>
  <si>
    <t>PIB par unité d'énergie utilisée ($ PPA par kg d'équivalent pétrole)</t>
  </si>
  <si>
    <t>PIB, PPA (en dollars internationaux constants de 2017)</t>
  </si>
  <si>
    <t>PIB, PPA (en dollars internationaux courants)</t>
  </si>
  <si>
    <t>PIB, séries liées (UCL courantes)</t>
  </si>
  <si>
    <t>Dépenses de consommation finale des administrations publiques (en % du PIB)</t>
  </si>
  <si>
    <t>Dépenses de consommation finale des administrations publiques (croissance annuelle en %)</t>
  </si>
  <si>
    <t>Dépenses de consommation finale des administrations publiques (en dollars constants de 2015)</t>
  </si>
  <si>
    <t>Dépenses de consommation finale des administrations publiques (UCT constantes)</t>
  </si>
  <si>
    <t>Dépenses de consommation finale des administrations publiques (UCT courantes)</t>
  </si>
  <si>
    <t>Dépenses de consommation finale des administrations publiques (en dollars courants des États-Unis)</t>
  </si>
  <si>
    <t>Indice de Gini</t>
  </si>
  <si>
    <t>RNB (en dollars américains constants de 2015)</t>
  </si>
  <si>
    <t>RNB (LCU constant)</t>
  </si>
  <si>
    <t>RNB (LCU actuel)</t>
  </si>
  <si>
    <t>RNB ($ US courants)</t>
  </si>
  <si>
    <t>RNB (croissance annuelle en %)</t>
  </si>
  <si>
    <t>RNB par habitant (en dollars constants de 2015)</t>
  </si>
  <si>
    <t>RNB par habitant (UCM constantes)</t>
  </si>
  <si>
    <t>RNB par habitant (UCL actuelle)</t>
  </si>
  <si>
    <t>RNB par habitant (croissance annuelle en %)</t>
  </si>
  <si>
    <t>RNB par habitant, méthode Atlas (en dollars américains courants)</t>
  </si>
  <si>
    <t>RNB par habitant, PPA (en dollars internationaux constants de 2017)</t>
  </si>
  <si>
    <t>RNB par habitant, PPA (en dollars internationaux courants)</t>
  </si>
  <si>
    <t>RNB, méthode Atlas ($ US courants)</t>
  </si>
  <si>
    <t>RNB, PPA (en dollars internationaux constants de 2017)</t>
  </si>
  <si>
    <t>RNB, PPA (en dollars internationaux courants)</t>
  </si>
  <si>
    <t>RNB, séries liées (UCL actuelles)</t>
  </si>
  <si>
    <t>Charges de biens et services ( % de la dépense)</t>
  </si>
  <si>
    <t>Charges de biens et services (LCU courantes)</t>
  </si>
  <si>
    <t>Exportations de biens ($ US courants, BdP)</t>
  </si>
  <si>
    <t>Importations de biens ($ US courants, BdP)</t>
  </si>
  <si>
    <t>Efficacité du gouvernement : estimation</t>
  </si>
  <si>
    <t>Efficacité du gouvernement : nombre de sources</t>
  </si>
  <si>
    <t>Efficacité du gouvernement : rang centile</t>
  </si>
  <si>
    <t>Efficacité du gouvernement : rang centile, limite inférieure de l'intervalle de confiance à 90 %</t>
  </si>
  <si>
    <t>Efficacité du gouvernement : rang centile, limite supérieure de l'intervalle de confiance à 90 %</t>
  </si>
  <si>
    <t>Efficacité du gouvernement : Erreur-type</t>
  </si>
  <si>
    <t>Dépenses publiques consacrées à l'éducation, total ( % du PIB)</t>
  </si>
  <si>
    <t>Dépenses publiques consacrées à l'éducation, total ( % des dépenses publiques)</t>
  </si>
  <si>
    <t>Dépenses publiques par élève, primaire ( % du PIB par habitant)</t>
  </si>
  <si>
    <t>Dépenses publiques par élève du secondaire (en % du PIB par habitant)</t>
  </si>
  <si>
    <t>Dépenses publiques par étudiant, enseignement supérieur ( % du PIB par habitant)</t>
  </si>
  <si>
    <t>Subventions et autres revenus ( % des revenus)</t>
  </si>
  <si>
    <t>Subventions et autres revenus (LCU actuels)</t>
  </si>
  <si>
    <t>Dons, à l'exclusion de la coopération technique (BoP, en dollars courants des États-Unis)</t>
  </si>
  <si>
    <t>Formation brute de capital ( % du PIB)</t>
  </si>
  <si>
    <t>Formation brute de capital ( % de croissance annuelle)</t>
  </si>
  <si>
    <t>Formation brute de capital (en dollars constants de 2015)</t>
  </si>
  <si>
    <t>Formation brute de capital (UCT constantes)</t>
  </si>
  <si>
    <t>Formation brute de capital (UCL courante)</t>
  </si>
  <si>
    <t>Formation brute de capital (en dollars américains courants)</t>
  </si>
  <si>
    <t>Revenu intérieur brut (UCT constantes)</t>
  </si>
  <si>
    <t>Épargne intérieure brute (en % du PIB)</t>
  </si>
  <si>
    <t>Épargne intérieure brute (UCL courante)</t>
  </si>
  <si>
    <t>Épargne intérieure brute (en dollars américains courants)</t>
  </si>
  <si>
    <t>Formation brute de capital fixe ( % du PIB)</t>
  </si>
  <si>
    <t>Formation brute de capital fixe ( % de croissance annuelle)</t>
  </si>
  <si>
    <t>Formation brute de capital fixe (en dollars constants de 2015)</t>
  </si>
  <si>
    <t>Formation brute de capital fixe (UCT constantes)</t>
  </si>
  <si>
    <t>Formation brute de capital fixe (UCL courante)</t>
  </si>
  <si>
    <t>Formation brute de capital fixe (en dollars américains courants)</t>
  </si>
  <si>
    <t>Formation brute de capital fixe, secteur privé ( % du PIB)</t>
  </si>
  <si>
    <t>Formation brute de capital fixe, secteur privé (UCL courante)</t>
  </si>
  <si>
    <t>Taux brut d'admission en première année de l'enseignement primaire, filles ( % de la tranche d'âge concernée)</t>
  </si>
  <si>
    <t>Taux brut d'admission en première année de l'enseignement primaire, garçons ( % de la tranche d'âge concernée)</t>
  </si>
  <si>
    <t>Taux brut d'admission en première année de l'enseignement primaire, total (en % du groupe d'âge concerné)</t>
  </si>
  <si>
    <t>Dépenses nationales brutes (en % du PIB)</t>
  </si>
  <si>
    <t>Dépense nationale brute (en dollars constants de 2015)</t>
  </si>
  <si>
    <t>Dépense nationale brute (UCV constantes)</t>
  </si>
  <si>
    <t>Dépenses nationales brutes (UCL courantes)</t>
  </si>
  <si>
    <t>Dépense nationale brute (en dollars courants des États-Unis)</t>
  </si>
  <si>
    <t>Déflateur de la dépense nationale brute (l'année de base varie selon les pays)</t>
  </si>
  <si>
    <t>Épargne brute ( % du PIB)</t>
  </si>
  <si>
    <t>Épargne brute ( % du RNB)</t>
  </si>
  <si>
    <t>Epargne brute (LCU courante)</t>
  </si>
  <si>
    <t>Épargne brute (en dollars américains courants)</t>
  </si>
  <si>
    <t>Valeur ajoutée brute (VAB) aux prix de base (en dollars constants de 2015)</t>
  </si>
  <si>
    <t>Valeur ajoutée brute (VAB) aux prix de base (UCM constantes)</t>
  </si>
  <si>
    <t>Valeur ajoutée brute (VAB) aux prix de base (UCL courante)</t>
  </si>
  <si>
    <t>Valeur ajoutée brute (VAB) aux prix de base (en dollars courants des États-Unis)</t>
  </si>
  <si>
    <t>Exportations de haute technologie ( % des exportations de produits manufacturés)</t>
  </si>
  <si>
    <t>Exportations de haute technologie (en dollars courants EU)</t>
  </si>
  <si>
    <t>Lits d'hôpitaux (pour 1 000 personnes)</t>
  </si>
  <si>
    <t>Dépenses de consommation finale des ménages et des ISBLSM (en % du PIB)</t>
  </si>
  <si>
    <t>Dépenses de consommation finale des ménages et des ISBLSM (croissance annuelle en %)</t>
  </si>
  <si>
    <t>Dépenses de consommation finale des ménages et des ISBLSM (en dollars constants de 2015)</t>
  </si>
  <si>
    <t>Dépenses de consommation finale des ménages et des ISBLSM (UCL constantes)</t>
  </si>
  <si>
    <t>Dépenses de consommation finale des ménages et des ISBLSM (UCL courantes)</t>
  </si>
  <si>
    <t>Dépenses de consommation finale des ménages et des ISBLSM (en dollars américains courants)</t>
  </si>
  <si>
    <t>Dépenses de consommation finale par habitant des ménages et des ISBLSM (en dollars constants de 2015)</t>
  </si>
  <si>
    <t>Dépenses de consommation finale des ménages par habitant (croissance annuelle en %)</t>
  </si>
  <si>
    <t>Ménages et ISBLSM Dépenses de consommation finale, PPA (en dollars internationaux constants de 2017)</t>
  </si>
  <si>
    <t>Ménages et ISBLSM Dépenses de consommation finale, PPA (en dollars internationaux courants)</t>
  </si>
  <si>
    <t>Dépenses de consommation finale des ménages et des ISBLSM, séries liées (UCL courantes)</t>
  </si>
  <si>
    <t>Indice de capital humain (IHM) (échelle 0-1)</t>
  </si>
  <si>
    <t>Indice du capital humain (IHM), femmes (échelle 0-1)</t>
  </si>
  <si>
    <t>Indice du capital humain (IHM), femmes, borne inférieure (échelle 0-1)</t>
  </si>
  <si>
    <t>Indice du capital humain (IHM), féminin, limite supérieure (échelle 0-1)</t>
  </si>
  <si>
    <t>Indice du capital humain (IHM), borne inférieure (échelle 0-1)</t>
  </si>
  <si>
    <t>Indice du capital humain (IHM), hommes (échelle 0-1)</t>
  </si>
  <si>
    <t>Indice du capital humain (IHM), masculin, borne inférieure (échelle 0-1)</t>
  </si>
  <si>
    <t>Indice du capital humain (IHM), mâle, limite supérieure (échelle 0-1)</t>
  </si>
  <si>
    <t>Indice du capital humain (IHM), borne supérieure (échelle 0-1)</t>
  </si>
  <si>
    <t>Prêts de la BIRD et crédits de l'IDA (DOD, dollars américains courants)</t>
  </si>
  <si>
    <t>Exportations de biens TIC ( % des exportations totales de biens)</t>
  </si>
  <si>
    <t>Importations de biens TIC ( % des importations totales de biens)</t>
  </si>
  <si>
    <t>Exportations de services TIC ( % des exportations de services, BdP)</t>
  </si>
  <si>
    <t>Exportations de services TIC (BdP, $ US courants)</t>
  </si>
  <si>
    <t>Indice d'allocation des ressources IDA (1 = faible à 6 = élevé)</t>
  </si>
  <si>
    <t>IFC, privé non garanti (NFL, $ US courants)</t>
  </si>
  <si>
    <t>Rachats et frais du FMI (ATD, $ US courants)</t>
  </si>
  <si>
    <t>Vaccination, DTC ( % des enfants âgés de 12 à 23 mois)</t>
  </si>
  <si>
    <t>Vaccination, hépatite B3 ( % des enfants d'un an)</t>
  </si>
  <si>
    <t>Vaccination, rougeole ( % des enfants âgés de 12 à 23 mois)</t>
  </si>
  <si>
    <t>Indice de la valeur unitaire des importations (2015 = 100)</t>
  </si>
  <si>
    <t>Indice de la valeur des importations (2015 = 100)</t>
  </si>
  <si>
    <t>Indice du volume des importations (2015 = 100)</t>
  </si>
  <si>
    <t>Importations de biens et de services (en % du PIB)</t>
  </si>
  <si>
    <t>Importations de biens et de services (croissance annuelle en %)</t>
  </si>
  <si>
    <t>Importations de biens et de services ($ US courants, BdP)</t>
  </si>
  <si>
    <t>Importations de biens et de services (en dollars constants de 2015)</t>
  </si>
  <si>
    <t>Importations de biens et de services (UCT constantes)</t>
  </si>
  <si>
    <t>Importations de biens et de services (UCL courantes)</t>
  </si>
  <si>
    <t>Importations de biens et de services (en dollars américains courants)</t>
  </si>
  <si>
    <t>Importations de biens, de services et de revenus primaires ($ US courants, BdP)</t>
  </si>
  <si>
    <t>Incidence du VIH, 15-24 ans (pour 1 000 personnes non infectées âgées de 15 à 24 ans)</t>
  </si>
  <si>
    <t>Incidence du VIH, 15-49 ans (pour 1 000 personnes non infectées âgées de 15 à 49 ans)</t>
  </si>
  <si>
    <t>Incidence du VIH, tous facteurs confondus (pour 1 000 personnes non infectées)</t>
  </si>
  <si>
    <t>Incidence du paludisme (pour 1 000 personnes à risque)</t>
  </si>
  <si>
    <t>Incidence de la tuberculose (pour 100 000 personnes)</t>
  </si>
  <si>
    <t>Part des revenus détenue par le quatrième 20 %</t>
  </si>
  <si>
    <t>Part des revenus détenue par les 10 % les plus riches</t>
  </si>
  <si>
    <t>Part des revenus détenue par les 20 % les plus riches</t>
  </si>
  <si>
    <t>Part des revenus détenue par les 10 % les plus pauvres</t>
  </si>
  <si>
    <t>Part des revenus détenue par les 20 % les plus pauvres</t>
  </si>
  <si>
    <t>Part des revenus détenue par les 20 % suivants</t>
  </si>
  <si>
    <t>Part des revenus détenue par le tiers 20 %</t>
  </si>
  <si>
    <t>Utilisateurs d'Internet ( % de la population)</t>
  </si>
  <si>
    <t>Utilisateurs d'Internet, femmes ( % de la population féminine)</t>
  </si>
  <si>
    <t>Utilisateurs d'Internet, hommes ( % de la population masculine)</t>
  </si>
  <si>
    <t>Demandes d'enregistrement ou de dessin industriel, non-résidents, en nombre</t>
  </si>
  <si>
    <t>Demandes de dessins et modèles industriels, résidents, en nombre</t>
  </si>
  <si>
    <t>Industrie, y compris la construction, valeur ajoutée ( % du PIB)</t>
  </si>
  <si>
    <t>Industrie, y compris la construction, valeur ajoutée (croissance annuelle en %)</t>
  </si>
  <si>
    <t>Industrie, y compris la construction, valeur ajoutée (en dollars constants de 2015)</t>
  </si>
  <si>
    <t>Industrie, y compris la construction, valeur ajoutée (UCT constantes)</t>
  </si>
  <si>
    <t>Industrie, y compris la construction, valeur ajoutée (LCU actuelle)</t>
  </si>
  <si>
    <t>Industrie, y compris la construction, valeur ajoutée (en dollars américains courants)</t>
  </si>
  <si>
    <t>Industrie, y compris la construction, valeur ajoutée par travailleur (en dollars américains constants de 2015)</t>
  </si>
  <si>
    <t>Inflation, prix à la consommation (croissance annuelle en %)</t>
  </si>
  <si>
    <t>Inflation, déflateur du PIB (croissance annuelle en %)</t>
  </si>
  <si>
    <t>Inflation, déflateur du PIB, séries liées (croissance annuelle en %)</t>
  </si>
  <si>
    <t>Paiements informels aux agents publics ( % des entreprises)</t>
  </si>
  <si>
    <t>Assurance et services financiers ( % des exportations de services commerciaux)</t>
  </si>
  <si>
    <t>Assurance et services financiers ( % des importations de services commerciaux)</t>
  </si>
  <si>
    <t>Assurance et services financiers (en % des exportations de services, BdP)</t>
  </si>
  <si>
    <t>Assurance et services financiers ( % des importations de services, balance des charges)</t>
  </si>
  <si>
    <t>Homicides intentionnels (pour 100 000 personnes)</t>
  </si>
  <si>
    <t>Homicides intentionnels, femmes (pour 100 000 femmes)</t>
  </si>
  <si>
    <t>Homicides intentionnels, hommes (pour 100 000 hommes)</t>
  </si>
  <si>
    <t>Paiements d'intérêts ( % de la dépense)</t>
  </si>
  <si>
    <t>Paiements d'intérêts ( % du chiffre d'affaires)</t>
  </si>
  <si>
    <t>Paiements d'intérêts (LCU actuels)</t>
  </si>
  <si>
    <t>Écart de taux d'intérêt (taux débiteur moins taux de dépôt, %)</t>
  </si>
  <si>
    <t>Personnes déplacées à l'intérieur de leur propre pays (PDI) par pays ou territoire d'asile / d'origine</t>
  </si>
  <si>
    <t>Personnes déplacées à l'intérieur de leur propre pays, nouveaux déplacements liés aux conflits et à la violence (nombre de cas)</t>
  </si>
  <si>
    <t>Personnes déplacées à l'intérieur de leur propre pays, nouveaux déplacements associés aux catastrophes (nombre de cas)</t>
  </si>
  <si>
    <t>Stock de migrants internationaux ( % de la population)</t>
  </si>
  <si>
    <t>Stock de migrants internationaux, total</t>
  </si>
  <si>
    <t>Tourisme international, dépenses ( % des importations totales)</t>
  </si>
  <si>
    <t>Tourisme international, dépenses (en dollars américains courants)</t>
  </si>
  <si>
    <t>Tourisme international, dépenses pour le transport de passagers (en dollars américains courants)</t>
  </si>
  <si>
    <t>Tourisme international, dépenses pour les articles de voyage (en dollars américains courants)</t>
  </si>
  <si>
    <t>Tourisme international, nombre d'arrivées</t>
  </si>
  <si>
    <t>Tourisme international, nombre de départs</t>
  </si>
  <si>
    <t>Tourisme international, recettes ( % des exportations totales)</t>
  </si>
  <si>
    <t>Tourisme international, recettes (en dollars américains courants)</t>
  </si>
  <si>
    <t>Tourisme international, recettes pour le transport de passagers (en dollars courants des États-Unis)</t>
  </si>
  <si>
    <t>Tourisme international, recettes pour les articles de voyage (en dollars américains courants)</t>
  </si>
  <si>
    <t>Investissement dans l'énergie avec participation privée (en dollars courants des États-Unis)</t>
  </si>
  <si>
    <t>Investissement dans les TIC avec participation privée (en dollars américains courants)</t>
  </si>
  <si>
    <t>Investissement dans les transports avec participation privée (en dollars courants des États-Unis)</t>
  </si>
  <si>
    <t>Investissements dans l'eau et l'assainissement avec participation privée (en dollars américains courants)</t>
  </si>
  <si>
    <t>Taux d'activité des 15-24 ans, femmes ( %) (estimation modélisée de l'OIT)</t>
  </si>
  <si>
    <t>Taux d'activité des 15-24 ans, femmes ( %) (estimation nationale)</t>
  </si>
  <si>
    <t>Taux d'activité des 15-24 ans, hommes ( %) (estimation modélisée de l'OIT)</t>
  </si>
  <si>
    <t>Taux d'activité des 15-24 ans, hommes ( %) (estimation nationale)</t>
  </si>
  <si>
    <t>Taux d'activité des 15-24 ans, total ( %) (estimation modélisée de l'OIT)</t>
  </si>
  <si>
    <t>Taux d'activité des 15-24 ans, total ( %) (estimation nationale)</t>
  </si>
  <si>
    <t>Taux d'activité féminin ( % de la population féminine âgée de 15 ans et +) (estimation modélisée de l'OIT)</t>
  </si>
  <si>
    <t>Taux d'activité féminin ( % de la population féminine âgée de 15 ans et +) (estimation nationale)</t>
  </si>
  <si>
    <t>Taux d'activité des femmes ( % de la population féminine âgée de 15 à 64 ans) (estimation modélisée de l'OIT)</t>
  </si>
  <si>
    <t>Taux d'activité masculin ( % de la population masculine âgée de 15 ans et +) (estimation modélisée de l'OIT)</t>
  </si>
  <si>
    <t>Taux d'activité masculin (en % de la population masculine âgée de 15 ans et +) (estimation nationale)</t>
  </si>
  <si>
    <t>Taux d'activité masculin ( % de la population masculine âgée de 15 à 64 ans) (estimation modélisée de l'OIT)</t>
  </si>
  <si>
    <t>Taux d'activité total ( % de la population totale âgée de 15 ans et +) (estimation modélisée de l'OIT)</t>
  </si>
  <si>
    <t>Taux d'activité total (en % de la population totale âgée de 15 ans et +) (estimation nationale)</t>
  </si>
  <si>
    <t>Taux d'activité total ( % de la population totale âgée de 15 à 64 ans) (estimation modélisée de l'OIT)</t>
  </si>
  <si>
    <t>Main-d'œuvre ayant fait des études supérieures (en % de la population totale en âge de travailler ayant fait des études supérieures)</t>
  </si>
  <si>
    <t>Main-d'œuvre ayant fait des études supérieures, femmes ( % de la population féminine en âge de travailler ayant fait des études supérieures)</t>
  </si>
  <si>
    <t>Population active ayant fait des études supérieures, hommes ( % de la population masculine en âge de travailler ayant fait des études supérieures)</t>
  </si>
  <si>
    <t>Main-d'œuvre ayant un niveau d'éducation de base (en % de la population totale en âge de travailler ayant reçu un niveau d'éducation de base)</t>
  </si>
  <si>
    <t>Main-d'œuvre ayant un niveau d'éducation de base, femmes ( % de la population féminine en âge de travailler ayant reçu un niveau d'éducation de base)</t>
  </si>
  <si>
    <t>Main-d'œuvre ayant un niveau d'éducation de base, hommes ( % de la population masculine en âge de travailler ayant reçu un niveau d'éducation de base)</t>
  </si>
  <si>
    <t>Main-d'œuvre ayant un niveau d'éducation intermédiaire ( % de la population totale en âge de travailler ayant un niveau d'éducation intermédiaire)</t>
  </si>
  <si>
    <t>Main-d'œuvre ayant un niveau d'éducation intermédiaire, femmes ( % de la population féminine en âge de travailler ayant un niveau d'éducation intermédiaire)</t>
  </si>
  <si>
    <t>Population active ayant un niveau d'éducation intermédiaire, hommes ( % de la population masculine en âge de travailler ayant un niveau d'éducation intermédiaire)</t>
  </si>
  <si>
    <t>Main-d'œuvre féminine ( % de la population active totale)</t>
  </si>
  <si>
    <t>Population active, total</t>
  </si>
  <si>
    <t>Superficie du terrain (km²)</t>
  </si>
  <si>
    <t>Superficie du terrain dont l'altitude est inférieure à 5 mètres ( % de la superficie totale du terrain)</t>
  </si>
  <si>
    <t>Terres consacrées à la production céréalière (hectares)</t>
  </si>
  <si>
    <t>Délai d'exportation, cas médian (jours)</t>
  </si>
  <si>
    <t>Délai d'importation, cas médian (jours)</t>
  </si>
  <si>
    <t>Pauvreté des apprentissages : Proportion d'enfants en fin d'année primaire ayant des compétences minimales en lecture ajustées en fonction des enfants non scolarisés ( %)</t>
  </si>
  <si>
    <t>Pauvreté des apprentissages : proportion d'enfants de sexe féminin en fin d'année primaire ayant des compétences minimales en lecture, ajustée en fonction des enfants non scolarisés ( %)</t>
  </si>
  <si>
    <t>Pauvreté des apprentissages : proportion d'enfants de sexe masculin en âge de terminer l'école primaire ayant des compétences minimales en lecture, ajustée en fonction des enfants non scolarisés ( %)</t>
  </si>
  <si>
    <t>Taux d'intérêt débiteur ( %)</t>
  </si>
  <si>
    <t>Niveau de stress hydrique : prélèvement d'eau douce en proportion des ressources en eau douce disponibles</t>
  </si>
  <si>
    <t>Espérance de vie à la naissance, femme (années)</t>
  </si>
  <si>
    <t>Espérance de vie à la naissance, hommes (années)</t>
  </si>
  <si>
    <t>Espérance de vie à la naissance, total (années)</t>
  </si>
  <si>
    <t>Risque de décès maternel au cours de la vie ( %)</t>
  </si>
  <si>
    <t>Risque de décès maternel au cours de la vie (1 sur : le taux varie selon les pays)</t>
  </si>
  <si>
    <t>Indice de connectivité du transport maritime de ligne (valeur maximale en 2004 = 100)</t>
  </si>
  <si>
    <t>Sociétés nationales cotées, total</t>
  </si>
  <si>
    <t>Taux d'alphabétisation, femmes adultes ( % des femmes âgées de 15 ans et plus)</t>
  </si>
  <si>
    <t>Taux d'alphabétisation, hommes adultes ( % des hommes âgés de 15 ans et plus)</t>
  </si>
  <si>
    <t>Taux d'alphabétisation, total des adultes ( % des personnes âgées de 15 ans et plus)</t>
  </si>
  <si>
    <t>Taux d'alphabétisation, jeunes (15-24 ans), indice de parité hommes-femmes (IPS)</t>
  </si>
  <si>
    <t>Taux d'alphabétisation, jeunes femmes ( % des femmes âgées de 15 à 24 ans)</t>
  </si>
  <si>
    <t>Taux d'alphabétisation, jeunes hommes ( % des hommes âgés de 15 à 24 ans)</t>
  </si>
  <si>
    <t>Taux d'alphabétisation, total des jeunes ( % de la population âgée de 15 à 24 ans)</t>
  </si>
  <si>
    <t>Indice de la production animale (2014-2016 = 100)</t>
  </si>
  <si>
    <t>Indice de performance logistique : capacité à suivre et à tracer les envois (1 = faible à 5 = élevé)</t>
  </si>
  <si>
    <t>Indice de performance logistique : Compétence et qualité des services logistiques (1 = faible à 5 = élevé)</t>
  </si>
  <si>
    <t>Indice de performance logistique : Facilité d'organisation d'expéditions à des prix compétitifs (1 = faible à 5 = élevé)</t>
  </si>
  <si>
    <t>Indice de performance logistique : Efficacité du processus de dédouanement (1 = faible à 5 = élevé)</t>
  </si>
  <si>
    <t>Indice de performance logistique : Fréquence à laquelle les expéditions parviennent au destinataire dans les délais prévus ou prévus (1 = faible à 5 = élevée)</t>
  </si>
  <si>
    <t>Indice de performance logistique : Globalement (1 = faible à 5 = élevé)</t>
  </si>
  <si>
    <t>Indice de performance logistique : qualité des infrastructures liées au commerce et aux transports (1 = faible à 5 = élevée)</t>
  </si>
  <si>
    <t>Bébés de faible poids à la naissance ( % des naissances)</t>
  </si>
  <si>
    <t>Taux d'achèvement du premier cycle de l'enseignement secondaire, filles ( % de la tranche d'âge concernée)</t>
  </si>
  <si>
    <t>Taux d'achèvement du premier cycle de l'enseignement secondaire, hommes ( % de la tranche d'âge concernée)</t>
  </si>
  <si>
    <t>Taux d'achèvement du premier cycle de l'enseignement secondaire, total ( % de la tranche d'âge concernée)</t>
  </si>
  <si>
    <t>Âge d'entrée à l'école secondaire I (années)</t>
  </si>
  <si>
    <t>Machines et matériel de transport ( % de la valeur ajoutée dans l'industrie manufacturière)</t>
  </si>
  <si>
    <t>Enfants de sexe masculin en âge de fréquenter l'école primaire non scolarisés ( %)</t>
  </si>
  <si>
    <t>Élèves de sexe masculin n'ayant pas les compétences minimales en lecture à la fin de l'enseignement primaire ( %). Seuil GAML bas</t>
  </si>
  <si>
    <t>Espèces de mammifères menacées</t>
  </si>
  <si>
    <t>Indice des pratiques de gestion</t>
  </si>
  <si>
    <t>Exportations de produits manufacturés ( % des exportations de marchandises)</t>
  </si>
  <si>
    <t>Importations de produits manufacturés ( % des importations de marchandises)</t>
  </si>
  <si>
    <t>Industrie manufacturière, valeur ajoutée (en % du PIB)</t>
  </si>
  <si>
    <t>Industrie manufacturière, valeur ajoutée (croissance annuelle en %)</t>
  </si>
  <si>
    <t>Industrie manufacturière, valeur ajoutée (en dollars constants de 2015)</t>
  </si>
  <si>
    <t>Fabrication, valeur ajoutée (UCL constantes)</t>
  </si>
  <si>
    <t>Fabrication, valeur ajoutée (LCU actuelle)</t>
  </si>
  <si>
    <t>Industrie manufacturière, valeur ajoutée (en dollars américains courants)</t>
  </si>
  <si>
    <t>Aires marines protégées ( % des eaux territoriales)</t>
  </si>
  <si>
    <t>Capitalisation boursière des sociétés nationales cotées ( % du PIB)</t>
  </si>
  <si>
    <t>Capitalisation boursière des sociétés nationales cotées en bourse ($ US courants)</t>
  </si>
  <si>
    <t>Taux de mortalité maternelle (estimation modélisée, pour 100 000 naissances vivantes)</t>
  </si>
  <si>
    <t>Taux de mortalité maternelle (estimation nationale, pour 100 000 naissances vivantes)</t>
  </si>
  <si>
    <t>Exportations de moyennes et hautes technologies ( % des exportations de produits manufacturés)</t>
  </si>
  <si>
    <t>Valeur ajoutée manufacturière de moyenne et haute technologie ( % de la valeur ajoutée manufacturière)</t>
  </si>
  <si>
    <t>Exportations de marchandises (en dollars américains courants)</t>
  </si>
  <si>
    <t>Exportations de marchandises de l'économie déclarante (en dollars américains courants)</t>
  </si>
  <si>
    <t>Exportations de marchandises de l'économie déclarante, résiduelles ( % des exportations totales de marchandises)</t>
  </si>
  <si>
    <t>Exportations de marchandises vers les économies du monde arabe ( % des exportations totales de marchandises)</t>
  </si>
  <si>
    <t>Exportations de marchandises vers les pays à revenu élevé ( % des exportations totales de marchandises)</t>
  </si>
  <si>
    <t>Exportations de marchandises vers les pays à revenu faible ou intermédiaire de l'Asie de l'Est et du Pacifique (en % des exportations totales de marchandises)</t>
  </si>
  <si>
    <t>Exportations de marchandises vers les pays à revenu faible ou intermédiaire d'Europe et d'Asie centrale ( % des exportations totales de marchandises)</t>
  </si>
  <si>
    <t>Exportations de marchandises vers les pays à revenu faible ou intermédiaire d'Amérique latine et des Caraïbes ( % des exportations totales de marchandises)</t>
  </si>
  <si>
    <t>Exportations de marchandises vers les pays à revenu faible et intermédiaire du Moyen-Orient et de l'Afrique du Nord (en % des exportations totales de marchandises)</t>
  </si>
  <si>
    <t>Exportations de marchandises vers les pays à revenu faible ou intermédiaire d'Asie du Sud ( % des exportations totales de marchandises)</t>
  </si>
  <si>
    <t>Exportations de marchandises vers les pays à revenu faible ou intermédiaire d'Afrique subsaharienne (en % des exportations totales de marchandises)</t>
  </si>
  <si>
    <t>Exportations de marchandises vers les pays à revenu faible ou intermédiaire en dehors de la région ( % des exportations totales de marchandises)</t>
  </si>
  <si>
    <t>Exportations de marchandises vers les pays à revenu faible ou intermédiaire de la région ( % des exportations totales de marchandises)</t>
  </si>
  <si>
    <t>Importations de marchandises (en dollars américains courants)</t>
  </si>
  <si>
    <t>Importations de marchandises par l'économie déclarante (en dollars courants des États-Unis)</t>
  </si>
  <si>
    <t>Importations de marchandises de l'économie déclarante, résiduelles ( % des importations totales de marchandises)</t>
  </si>
  <si>
    <t>Importations de marchandises en provenance des économies du monde arabe ( % des importations totales de marchandises)</t>
  </si>
  <si>
    <t>Importations de marchandises en provenance des pays à revenu élevé ( % des importations totales de marchandises)</t>
  </si>
  <si>
    <t>Importations de marchandises en provenance des pays à revenu faible ou intermédiaire de l'Asie de l'Est et du Pacifique (en % des importations totales de marchandises)</t>
  </si>
  <si>
    <t>Importations de marchandises en provenance des pays à revenu faible ou intermédiaire d'Europe et d'Asie centrale (en % des importations totales de marchandises)</t>
  </si>
  <si>
    <t>Importations de marchandises en provenance des pays à revenu faible ou intermédiaire d'Amérique latine et des Caraïbes ( % des importations totales de marchandises)</t>
  </si>
  <si>
    <t>Importations de marchandises en provenance des pays à revenu faible ou intermédiaire du Moyen-Orient et de l'Afrique du Nord (en % des importations totales de marchandises)</t>
  </si>
  <si>
    <t>Importations de marchandises en provenance des pays à revenu faible ou intermédiaire d'Asie du Sud (en % des importations totales de marchandises)</t>
  </si>
  <si>
    <t>Importations de marchandises en provenance des pays à revenu faible ou intermédiaire d'Afrique subsaharienne ( % des importations totales de marchandises)</t>
  </si>
  <si>
    <t>Importations de marchandises en provenance des économies à revenu faible ou intermédiaire en dehors de la région ( % des importations totales de marchandises)</t>
  </si>
  <si>
    <t>Importations de marchandises en provenance des pays à revenu faible ou intermédiaire de la région (en % des importations totales de marchandises)</t>
  </si>
  <si>
    <t>Commerce de marchandises ( % du PIB)</t>
  </si>
  <si>
    <t>Émissions de méthane (CH4) (total), à l'exclusion de l'UTCATF (variation en % par rapport à 1990)</t>
  </si>
  <si>
    <t>Émissions de méthane (CH4) (totales) hors UTCATF (Mt d'équivalents en CO2)</t>
  </si>
  <si>
    <t>Émissions de méthane (CH4) provenant de l'agriculture (Mt d'équivalent CO2)</t>
  </si>
  <si>
    <t>Émissions de méthane (CH4) provenant du bâtiment (énergie) (Mt CO2e)</t>
  </si>
  <si>
    <t>Émissions de méthane (CH4) provenant des émissions fugitives (énergie) (Mt d'équivalent CO2)</t>
  </si>
  <si>
    <t>Émissions de méthane (CH4) provenant de la combustion industrielle (énergie) (Mt d'équivalent CO2)</t>
  </si>
  <si>
    <t>Émissions de méthane (CH4) provenant des procédés industriels (Mt CO2e)</t>
  </si>
  <si>
    <t>Émissions de méthane (CH4) provenant de l'industrie de l'électricité (énergie) (Mt CO2e)</t>
  </si>
  <si>
    <t>Émissions de méthane (CH4) provenant des transports (énergie) (Mt d'équivalent CO2)</t>
  </si>
  <si>
    <t>Émissions de méthane (CH4) provenant des déchets (Mt CO2e)</t>
  </si>
  <si>
    <t>Dépenses militaires ( % du PIB)</t>
  </si>
  <si>
    <t>Dépenses militaires (en % des dépenses publiques)</t>
  </si>
  <si>
    <t>Dépenses militaires (LCU courantes)</t>
  </si>
  <si>
    <t>Dépenses militaires (USD courants)</t>
  </si>
  <si>
    <t>Rentes minières (en % du PIB)</t>
  </si>
  <si>
    <t>Abonnements cellulaires mobiles</t>
  </si>
  <si>
    <t>Abonnements cellulaires mobiles (pour 100 personnes)</t>
  </si>
  <si>
    <t>Crédit au secteur privé (en % du PIB)</t>
  </si>
  <si>
    <t>Mortalité due aux accidents de la route (pour 100 000 habitants)</t>
  </si>
  <si>
    <t>Mortalité par MCV, cancer, diabète ou CRD entre 30 et 70 ans exacts ( %)</t>
  </si>
  <si>
    <t>Mortalité par MCV, cancer, diabète ou MRC entre 30 et 70 ans, femmes ( %)</t>
  </si>
  <si>
    <t>Mortalité par MCV, cancer, diabète ou MRC entre 30 et 70 ans, hommes ( %)</t>
  </si>
  <si>
    <t>Taux de mortalité attribuable à la pollution de l'air domestique et de l'air ambiant, normalisé selon l'âge (pour 100 000 habitants)</t>
  </si>
  <si>
    <t>Taux de mortalité attribuable à la pollution de l'air domestique et de l'air ambiant, normalisé selon l'âge, femmes (pour 100 000 femmes)</t>
  </si>
  <si>
    <t>Taux de mortalité attribuable à la pollution de l'air domestique et de l'air ambiant, normalisé selon l'âge, hommes (pour 100 000 hommes)</t>
  </si>
  <si>
    <t>Taux de mortalité attribuable à une intoxication non intentionnelle (pour 100 000 habitants)</t>
  </si>
  <si>
    <t>Taux de mortalité attribuable à une intoxication non intentionnelle, femmes (pour 100 000 femmes)</t>
  </si>
  <si>
    <t>Taux de mortalité attribuable à une intoxication non intentionnelle, hommes (pour 100 000 hommes)</t>
  </si>
  <si>
    <t>Taux de mortalité attribué à l'eau insalubre, à l'assainissement insalubre et au manque d'hygiène (pour 100 000 habitants)</t>
  </si>
  <si>
    <t>Taux de mortalité, adultes, femmes (pour 1 000 femmes adultes)</t>
  </si>
  <si>
    <t>Taux de mortalité, adultes, hommes (pour 1 000 hommes adultes)</t>
  </si>
  <si>
    <t>Taux de mortalité infantile (pour 1 000 naissances vivantes)</t>
  </si>
  <si>
    <t>Taux de mortalité infantile féminine (pour 1 000 naissances vivantes)</t>
  </si>
  <si>
    <t>Taux de mortalité infantile masculine (pour 1 000 naissances vivantes)</t>
  </si>
  <si>
    <t>Taux de mortalité néonatale (pour 1 000 naissances vivantes)</t>
  </si>
  <si>
    <t>Taux de mortalité des moins de 5 ans (pour 1 000 naissances vivantes)</t>
  </si>
  <si>
    <t>Taux de mortalité des moins de 5 ans chez les femmes (pour 1 000 naissances vivantes)</t>
  </si>
  <si>
    <t>Taux de mortalité des moins de 5 ans chez les hommes (pour 1 000 naissances vivantes)</t>
  </si>
  <si>
    <t>Taux de pauvreté multidimensionnelle (PNUD) ( % de la population)</t>
  </si>
  <si>
    <t>Taux de pauvreté multidimensionnelle (Banque mondiale) ( % de la population)</t>
  </si>
  <si>
    <t>Service de la dette multilatérale ( % du service de la dette publique et garantie par l'État)</t>
  </si>
  <si>
    <t>Service de la dette multilatérale (ATD, $ US courants)</t>
  </si>
  <si>
    <t>Rentes du gaz naturel ( % du PIB)</t>
  </si>
  <si>
    <t>Acquisition nette d'actifs financiers ( % du PIB)</t>
  </si>
  <si>
    <t>Acquisition nette d'actifs financiers (LCU courante)</t>
  </si>
  <si>
    <t>Indice des termes de l'échange du troc net (2015 = 100)</t>
  </si>
  <si>
    <t>Flux nets d'aide bilatérale des donateurs du CAD, Australie (en dollars courants)</t>
  </si>
  <si>
    <t>Flux nets d'aide bilatérale des donateurs du CAD, Autriche (en dollars courants)</t>
  </si>
  <si>
    <t>Flux nets d'aide bilatérale des donateurs du CAD, Belgique (en dollars courants)</t>
  </si>
  <si>
    <t>Flux nets d'aide bilatérale des donateurs du CAD, Canada (en dollars américains courants)</t>
  </si>
  <si>
    <t>Flux nets d'aide bilatérale des donateurs du CAD, République tchèque (en dollars courants des États-Unis)</t>
  </si>
  <si>
    <t>Flux nets d'aide bilatérale des donateurs du CAD, Danemark (en dollars courants)</t>
  </si>
  <si>
    <t>Flux nets d'aide bilatérale des donateurs du CAD, Estonie (en dollars courants)</t>
  </si>
  <si>
    <t>Flux nets d'aide bilatérale provenant des donateurs du CAD et des institutions de l'Union européenne (en dollars courants)</t>
  </si>
  <si>
    <t>Flux nets d'aide bilatérale des donateurs du CAD, Finlande (en dollars courants)</t>
  </si>
  <si>
    <t>Flux nets d'aide bilatérale des donateurs du CAD, France (en dollars courants)</t>
  </si>
  <si>
    <t>Flux nets d'aide bilatérale des donateurs du CAD, Allemagne (en dollars courants des États-Unis)</t>
  </si>
  <si>
    <t>Flux nets d'aide bilatérale des donateurs du CAD, Grèce (en dollars courants)</t>
  </si>
  <si>
    <t>Flux nets d'aide bilatérale des donateurs du CAD, Hongrie (en dollars courants)</t>
  </si>
  <si>
    <t>Flux nets d'aide bilatérale des donateurs du CAD, Islande (en dollars courants des États-Unis)</t>
  </si>
  <si>
    <t>Flux nets d'aide bilatérale provenant des donateurs du CAD, Irlande (en dollars courants)</t>
  </si>
  <si>
    <t>Flux nets d'aide bilatérale des donateurs du CAD, Italie (en dollars courants)</t>
  </si>
  <si>
    <t>Flux nets d'aide bilatérale des donateurs du CAD, Japon (en dollars courants)</t>
  </si>
  <si>
    <t>Flux nets d'aide bilatérale des donateurs du CAD, Corée, République (en dollars courants)</t>
  </si>
  <si>
    <t>Flux nets d'aide bilatérale des donateurs du CAD, Lituanie (en dollars courants des États-Unis)</t>
  </si>
  <si>
    <t>Flux nets d'aide bilatérale des donateurs du CAD, Luxembourg (en dollars courants des États-Unis)</t>
  </si>
  <si>
    <t>Flux nets d'aide bilatérale des donateurs du CAD, Pays-Bas (en dollars courants)</t>
  </si>
  <si>
    <t>Flux nets d'aide bilatérale des donateurs du CAD, Nouvelle-Zélande (en dollars courants)</t>
  </si>
  <si>
    <t>Flux nets d'aide bilatérale des donateurs du CAD, Norvège (en dollars courants)</t>
  </si>
  <si>
    <t>Flux nets d'aide bilatérale des donateurs du CAD, Pologne (en dollars courants)</t>
  </si>
  <si>
    <t>Flux nets d'aide bilatérale des donateurs du CAD, Portugal (en dollars courants)</t>
  </si>
  <si>
    <t>Flux nets d'aide bilatérale des donateurs du CAD, République slovaque (en dollars courants)</t>
  </si>
  <si>
    <t>Flux nets d'aide bilatérale des donateurs du CAD, Slovénie (en dollars courants)</t>
  </si>
  <si>
    <t>Flux nets d'aide bilatérale des donateurs du CAD, Espagne (en dollars courants)</t>
  </si>
  <si>
    <t>Flux nets d'aide bilatérale des donateurs du CAD, Suède (en dollars courants)</t>
  </si>
  <si>
    <t>Flux nets d'aide bilatérale des donateurs du CAD, Suisse (en dollars courants)</t>
  </si>
  <si>
    <t>Flux nets d'aide bilatérale des donateurs du CAD, Total (en dollars courants)</t>
  </si>
  <si>
    <t>Flux nets d'aide bilatérale des donateurs du CAD, Royaume-Uni (en dollars courants)</t>
  </si>
  <si>
    <t>Flux nets d'aide bilatérale des donateurs du CAD, États-Unis (en dollars courants)</t>
  </si>
  <si>
    <t>Compte de capital net (balance des paiements, dollars américains courants)</t>
  </si>
  <si>
    <t>Crédit intérieur net (UCL courante)</t>
  </si>
  <si>
    <t>Erreurs et omissions nettes ($ US courants, BdP)</t>
  </si>
  <si>
    <t>Compte financier net (balance des paiements, dollars américains courants)</t>
  </si>
  <si>
    <t>Flux financiers nets, bilatéraux (NFL, $ US courants)</t>
  </si>
  <si>
    <t>Flux financiers nets, BIRD (TNI, dollar américain courant)</t>
  </si>
  <si>
    <t>Flux financiers nets, IDA (NFL, $ US courants)</t>
  </si>
  <si>
    <t>Flux financiers nets, concessionnels du FMI (NFL, $ US courants)</t>
  </si>
  <si>
    <t>Flux financiers nets, FMI non concessionnels (NFL, dollars américains courants)</t>
  </si>
  <si>
    <t>Flux financiers nets, multilatéraux (NFL, $ US courants)</t>
  </si>
  <si>
    <t>Flux financiers nets, autres (NFL, $ US courants)</t>
  </si>
  <si>
    <t>Flux financiers nets, RDB concessionnel (NFL, $ US courants)</t>
  </si>
  <si>
    <t>Flux financiers nets, RDB non concessionnels (NFL, $ US courants)</t>
  </si>
  <si>
    <t>Flux nets sur la dette extérieure, privée non garantie (PNG) (NFL, $ US courants)</t>
  </si>
  <si>
    <t>Avoirs extérieurs nets (UCL courantes)</t>
  </si>
  <si>
    <t>Engagement net des passifs, total ( % du PIB)</t>
  </si>
  <si>
    <t>Engagement net des passifs, total (LCU courant)</t>
  </si>
  <si>
    <t>Taux net d'admission en 1re année (en % de la population d'âge scolaire officiel)</t>
  </si>
  <si>
    <t>Taux net d'admission en 1re année, filles ( % de la population en âge d'être scolarisée)</t>
  </si>
  <si>
    <t>Taux net d'admission en 1re année, garçons ( % de la population d'âge scolaire officiel)</t>
  </si>
  <si>
    <t>Investissement net en actifs non financiers ( % du PIB)</t>
  </si>
  <si>
    <t>Investissement net en actifs non financiers (UCL courante)</t>
  </si>
  <si>
    <t>Capacité (+) / besoin de financement (-) ( % du PIB)</t>
  </si>
  <si>
    <t>Capacité (+) / besoin de financement (-) (UCL courante)</t>
  </si>
  <si>
    <t>Migration nette</t>
  </si>
  <si>
    <t>APD nette fournie aux pays les moins avancés ( % du RNB)</t>
  </si>
  <si>
    <t>APD nette fournie aux pays les moins avancés (en dollars courants)</t>
  </si>
  <si>
    <t>APD nette fournie, total ( % du RNB)</t>
  </si>
  <si>
    <t>APD nette fournie, total (en dollars constants de 2021)</t>
  </si>
  <si>
    <t>APD nette fournie, total (en dollars américains courants)</t>
  </si>
  <si>
    <t>APD nette reçue ( % des dépenses de l'administration centrale)</t>
  </si>
  <si>
    <t>APD nette reçue (en % du RNB)</t>
  </si>
  <si>
    <t>APD nette reçue ( % de la formation brute de capital)</t>
  </si>
  <si>
    <t>APD nette reçue ( % des importations de biens, de services et de revenus primaires)</t>
  </si>
  <si>
    <t>APD nette reçue par habitant (en dollars courants des États-Unis)</t>
  </si>
  <si>
    <t>Aide publique nette reçue (en dollars constants de 2021)</t>
  </si>
  <si>
    <t>Aide publique nette reçue (en dollars courants des États-Unis)</t>
  </si>
  <si>
    <t>Aide publique au développement nette et aide publique reçue (en dollars constants de 2021)</t>
  </si>
  <si>
    <t>Aide publique au développement nette et aide publique reçue (en dollars courants)</t>
  </si>
  <si>
    <t>Aide publique au développement nette reçue (en dollars constants de 2021)</t>
  </si>
  <si>
    <t>Aide publique au développement nette reçue (en dollars courants des États-Unis)</t>
  </si>
  <si>
    <t>Flux officiels nets des agences des Nations Unies, CERF (en dollars courants des États-Unis)</t>
  </si>
  <si>
    <t>Flux officiels nets des agences des Nations Unies, FAO (en dollars courants des États-Unis)</t>
  </si>
  <si>
    <t>Flux officiels nets des agences des Nations Unies, de l'AIEA (en dollars courants)</t>
  </si>
  <si>
    <t>Flux officiels nets des agences des Nations Unies, FIDA (en dollars courants US)</t>
  </si>
  <si>
    <t>Flux officiels nets des agences des Nations Unies, OIT (en dollars courants des États-Unis)</t>
  </si>
  <si>
    <t>Flux officiels nets des agences de l'ONU, SDGFUND (en dollars courants des États-Unis)</t>
  </si>
  <si>
    <t>Flux officiels nets des agences des Nations Unies, SPRP (en dollars courants des États-Unis)</t>
  </si>
  <si>
    <t>Flux officiels nets des agences des Nations Unies et de l'ONUSIDA (en dollars courants des États-Unis)</t>
  </si>
  <si>
    <t>Flux officiels nets des agences des Nations Unies, FENU (en dollars courants)</t>
  </si>
  <si>
    <t>Flux officiels nets des agences des Nations Unies, UNCOVID (en dollars courants des États-Unis)</t>
  </si>
  <si>
    <t>Flux officiels nets des agences des Nations Unies, CNUCED (en dollars courants)</t>
  </si>
  <si>
    <t>Flux officiels nets des agences des Nations Unies, PNUD (en dollars courants)</t>
  </si>
  <si>
    <t>Flux officiels nets des organismes des Nations Unies, CEE (en dollars courants des États-Unis)</t>
  </si>
  <si>
    <t>Flux officiels nets des agences des Nations Unies, PNUE (en dollars courants des États-Unis)</t>
  </si>
  <si>
    <t>Flux officiels nets des agences des Nations Unies, FNUAP (en dollars courants)</t>
  </si>
  <si>
    <t>Flux officiels nets des agences des Nations Unies et du HCR (en dollars courants)</t>
  </si>
  <si>
    <t>Flux officiels nets provenant des agences des Nations Unies et de l'UNICEF (en dollars courants des États-Unis)</t>
  </si>
  <si>
    <t>Flux officiels nets des organismes des Nations Unies, UNIDIR (en dollars courants des États-Unis)</t>
  </si>
  <si>
    <t>Flux officiels nets des agences des Nations Unies, de l'ONUDI (en dollars courants)</t>
  </si>
  <si>
    <t>Flux officiels nets des agences des Nations Unies, FNUBNU (en dollars courants)</t>
  </si>
  <si>
    <t>Flux officiels nets des agences des Nations Unies, UNRWA (en dollars courants)</t>
  </si>
  <si>
    <t>Flux officiels nets des agences des Nations Unies, ATNU (en dollars courants)</t>
  </si>
  <si>
    <t>Flux officiels nets des agences des Nations Unies, ONU-Femmes (en dollars courants)</t>
  </si>
  <si>
    <t>Flux officiels nets des agences des Nations Unies, OMT (en dollars courants des États-Unis)</t>
  </si>
  <si>
    <t>Flux officiels nets des agences des Nations Unies, PAM (en dollars courants des États-Unis)</t>
  </si>
  <si>
    <t>Flux officiels nets des agences des Nations Unies et de l'OMS (en dollars courants des États-Unis)</t>
  </si>
  <si>
    <t>Flux officiels nets des agences des Nations Unies, OMC-ITC (en dollars courants des États-Unis)</t>
  </si>
  <si>
    <t>Revenu primaire net ($ US courants, BdP)</t>
  </si>
  <si>
    <t>Revenu primaire net (revenu net tiré de l'étranger) (UCT constantes)</t>
  </si>
  <si>
    <t>Revenu primaire net (revenu net provenant de l'étranger) (LCU courante)</t>
  </si>
  <si>
    <t>Revenu primaire net (revenu net provenant de l'étranger) (en dollars américains courants)</t>
  </si>
  <si>
    <t>Revenu secondaire net ($ US courants, balance des paiements)</t>
  </si>
  <si>
    <t>Revenu secondaire net (transferts courants nets de l'étranger) (UCT constantes)</t>
  </si>
  <si>
    <t>Revenu secondaire net (transferts courants nets de l'étranger) (UCL courante)</t>
  </si>
  <si>
    <t>Revenu secondaire net (transferts courants nets de l'étranger) (en dollars courants des États-Unis)</t>
  </si>
  <si>
    <t>Commerce net de biens ($ US courants, BdP)</t>
  </si>
  <si>
    <t>Commerce net de biens et de services ($ US courants, BdP)</t>
  </si>
  <si>
    <t>Densité des nouvelles entreprises (nouvelles inscriptions pour 1 000 personnes âgées de 15 à 64 ans)</t>
  </si>
  <si>
    <t>Nouvelles entreprises enregistrées (nombre)</t>
  </si>
  <si>
    <t>Nouveau-nés protégés contre le tétanos ( %)</t>
  </si>
  <si>
    <t>Émissions de protoxyde d'azote (N2O) (total), à l'exclusion de l'UTCATF (variation en % par rapport à 1990)</t>
  </si>
  <si>
    <t>Émissions de protoxyde d'azote (N2O) (totales) à l'exclusion de l'ATCATF (Mt d'équivalent CO2)</t>
  </si>
  <si>
    <t>Émissions de protoxyde d'azote (N2O) de l'agriculture (Mt CO2e)</t>
  </si>
  <si>
    <t>Émissions de protoxyde d'azote (N2O) provenant du bâtiment (énergie) (Mt CO2e)</t>
  </si>
  <si>
    <t>Émissions de protoxyde d'azote (N2O) provenant des émissions fugitives (énergie) (Mt d'équivalent CO2)</t>
  </si>
  <si>
    <t>Émissions de protoxyde d'azote (N2O) provenant de la combustion industrielle (énergie) (Mt d'équivalent CO2)</t>
  </si>
  <si>
    <t>Émissions de protoxyde d'azote (N2O) provenant des procédés industriels (Mt CO2e)</t>
  </si>
  <si>
    <t>Émissions de protoxyde d'azote (N2O) de l'industrie de l'électricité (énergie) (Mt d'équivalent CO2)</t>
  </si>
  <si>
    <t>Émissions de protoxyde d'azote (N2O) provenant des transports (énergie) (Mt d'équivalent CO2)</t>
  </si>
  <si>
    <t>Émissions de protoxyde d'azote (N2O) provenant des déchets (Mt CO2e)</t>
  </si>
  <si>
    <t>Nombre de décès âgés de 10 à 14 ans</t>
  </si>
  <si>
    <t>Nombre de décès chez les 15-19 ans</t>
  </si>
  <si>
    <t>Nombre de décès : 20-24 ans</t>
  </si>
  <si>
    <t>Nombre de décès âgés de 5 à 9 ans</t>
  </si>
  <si>
    <t>Nombre de décès infantiles</t>
  </si>
  <si>
    <t>Nombre de décès maternels</t>
  </si>
  <si>
    <t>Nombre de décès néonatals</t>
  </si>
  <si>
    <t>Nombre d'interventions chirurgicales (pour 100 000 habitants)</t>
  </si>
  <si>
    <t>Nombre de décès d'enfants de moins de cinq ans</t>
  </si>
  <si>
    <t>Nombre de visites ou de rencontres requises avec des agents du fisc (moyenne pour les entreprises touchées)</t>
  </si>
  <si>
    <t>Infirmières et sages-femmes (pour 1 000 personnes)</t>
  </si>
  <si>
    <t>Taux de change officiel (UCL par dollar EU, moyenne de la période)</t>
  </si>
  <si>
    <t>Rentes pétrolières ( % du PIB)</t>
  </si>
  <si>
    <t>Exportations de minerais et de métaux ( % des exportations de marchandises)</t>
  </si>
  <si>
    <t>Importations de minerais et de métaux ( % des importations de marchandises)</t>
  </si>
  <si>
    <t>Autres charges ( % de la dépense)</t>
  </si>
  <si>
    <t>Autres charges (LCU courantes)</t>
  </si>
  <si>
    <t>Autres industries manufacturières ( % de la valeur ajoutée dans l'industrie manufacturière)</t>
  </si>
  <si>
    <t>Autres personnes ayant besoin d'une protection internationale par pays ou territoire d'asile</t>
  </si>
  <si>
    <t>Autres personnes ayant besoin d'une protection internationale par pays ou territoire d'origine</t>
  </si>
  <si>
    <t>Autres impôts ( % du chiffre d'affaires)</t>
  </si>
  <si>
    <t>Autres impôts (LCU courants)</t>
  </si>
  <si>
    <t>Reste à charge ( % des dépenses courantes de santé)</t>
  </si>
  <si>
    <t>Dépenses directes par habitant (en dollars courants des États-Unis)</t>
  </si>
  <si>
    <t>Dépenses directes par habitant, PPA (en dollars internationaux courants)</t>
  </si>
  <si>
    <t>Élèves ayant dépassé l'âge limite dans le primaire ( % des inscriptions)</t>
  </si>
  <si>
    <t>Élèves ayant dépassé l'âge limite de l'enseignement primaire, de sexe féminin ( % des inscriptions féminines)</t>
  </si>
  <si>
    <t>Élèves ayant dépassé l'âge limite dans l'enseignement primaire (en % des inscriptions masculines)</t>
  </si>
  <si>
    <t>Emploi à temps partiel, femmes ( % de l'emploi féminin total)</t>
  </si>
  <si>
    <t>Emploi à temps partiel, hommes ( % de l'emploi masculin total)</t>
  </si>
  <si>
    <t>Emploi à temps partiel, total ( % de l'emploi total)</t>
  </si>
  <si>
    <t>Demandes de brevets, non-résidents</t>
  </si>
  <si>
    <t>Demandes de brevets, résidents</t>
  </si>
  <si>
    <t>Personnes pratiquant la défécation à l'air libre ( % de la population)</t>
  </si>
  <si>
    <t>Pratiquants de la défécation à l'air libre, ruraux ( % de la population rurale)</t>
  </si>
  <si>
    <t>Personnes pratiquant la défécation à l'air libre, urbaines ( % de la population urbaine)</t>
  </si>
  <si>
    <t>Personnes utilisant au moins les services d'eau potable de base ( % de la population)</t>
  </si>
  <si>
    <t>Personnes utilisant au moins les services d'eau potable de base, zones rurales ( % de la population rurale)</t>
  </si>
  <si>
    <t>Personnes utilisant au moins des services d'eau potable de base, en milieu urbain ( % de la population urbaine)</t>
  </si>
  <si>
    <t>Personnes utilisant au moins des services d'assainissement de base ( % de la population)</t>
  </si>
  <si>
    <t>Personnes utilisant au moins des services d'assainissement de base, zones rurales ( % de la population rurale)</t>
  </si>
  <si>
    <t>Personnes utilisant au moins des services d'assainissement de base, urbaines ( % de la population urbaine)</t>
  </si>
  <si>
    <t>Personnes utilisant des services d'eau potable gérés en toute sécurité ( % de la population)</t>
  </si>
  <si>
    <t>Personnes utilisant des services d'eau potable gérés en toute sécurité, zones rurales ( % de la population rurale)</t>
  </si>
  <si>
    <t>Personnes utilisant des services d'eau potable gérés en toute sécurité, urbaines ( % de la population urbaine)</t>
  </si>
  <si>
    <t>Personnes utilisant des services d'assainissement gérés en toute sécurité ( % de la population)</t>
  </si>
  <si>
    <t>Personnes utilisant des services d'assainissement gérés en toute sécurité, zones rurales ( % de la population rurale)</t>
  </si>
  <si>
    <t>Personnes utilisant des services d'assainissement gérés en toute sécurité, urbaines ( % de la population urbaine)</t>
  </si>
  <si>
    <t>Personnes disposant d'installations de base pour se laver les mains, y compris de l'eau et du savon ( % de la population)</t>
  </si>
  <si>
    <t>Personnes disposant d'installations de base pour se laver les mains, y compris de l'eau et du savon, zones rurales ( % de la population rurale)</t>
  </si>
  <si>
    <t>Personnes disposant d'installations de base pour se laver les mains, y compris de l'eau et du savon, urbaines ( % de la population urbaine)</t>
  </si>
  <si>
    <t>Terres cultivées permanentes ( % de la superficie)</t>
  </si>
  <si>
    <t>Persistance jusqu'à la 5e année, filles ( % de la cohorte)</t>
  </si>
  <si>
    <t>Persévérance jusqu'à la 5e année, hommes ( % de la cohorte)</t>
  </si>
  <si>
    <t>Persévérance jusqu'à la 5e année, total ( % de la cohorte)</t>
  </si>
  <si>
    <t>Persistance jusqu'à la dernière année du primaire, filles ( % de la cohorte)</t>
  </si>
  <si>
    <t>Persistance jusqu'à la dernière année du primaire, garçons ( % de la cohorte)</t>
  </si>
  <si>
    <t>Persistance jusqu'à la dernière année du primaire, total ( % de la cohorte)</t>
  </si>
  <si>
    <t>Transferts de fonds personnels, payés ($ US courants)</t>
  </si>
  <si>
    <t>Envois de fonds personnels, reçus ( % du PIB)</t>
  </si>
  <si>
    <t>Envois de fonds personnels reçus (en dollars américains courants)</t>
  </si>
  <si>
    <t>Virements personnels, encaissements ($ US courants, BoP)</t>
  </si>
  <si>
    <t>Médecins (pour 1 000 personnes)</t>
  </si>
  <si>
    <t>Espèces végétales (supérieures), menacées</t>
  </si>
  <si>
    <t>Pollution atmosphérique PM2,5, exposition annuelle moyenne (microgrammes par mètre cube)</t>
  </si>
  <si>
    <t>Pollution atmosphérique par les PM2,5, population exposée à des niveaux supérieurs à la valeur recommandée par l'OMS ( % du total)</t>
  </si>
  <si>
    <t>Pollution par les PM2,5, population exposée à des niveaux supérieurs à la valeur de l'objectif intermédiaire 1 de l'OMS ( % du total)</t>
  </si>
  <si>
    <t>Pollution par les PM2,5, population exposée à des niveaux supérieurs à la valeur de l'objectif intermédiaire 2 de l'OMS ( % du total)</t>
  </si>
  <si>
    <t>Pollution par les PM2,5, population exposée à des niveaux supérieurs à la valeur de l'objectif intermédiaire 3 de l'OMS (en % du total)</t>
  </si>
  <si>
    <t>PNG, obligations (NFL, $ US courants)</t>
  </si>
  <si>
    <t>PNG, banques commerciales et autres créanciers (NFL, dollars américains courants)</t>
  </si>
  <si>
    <t>Stabilité politique et absence de violence/terrorisme : estimation</t>
  </si>
  <si>
    <t>Stabilité politique et absence de violence/terrorisme : nombre de sources</t>
  </si>
  <si>
    <t>Stabilité politique et absence de violence/terrorisme : rang centile</t>
  </si>
  <si>
    <t>Stabilité politique et absence de violence/terrorisme : rang centile, limite inférieure de l'intervalle de confiance à 90 %</t>
  </si>
  <si>
    <t>Stabilité politique et absence de violence/terrorisme : rang centile, limite supérieure de l'intervalle de confiance à 90 %</t>
  </si>
  <si>
    <t>Stabilité politique et absence de violence/terrorisme : l'erreur-type</t>
  </si>
  <si>
    <t>Population âgée de 00 à 04 ans, femmes ( % de la population féminine)</t>
  </si>
  <si>
    <t>Population âgée de 00 à 04 ans, hommes ( % de la population masculine)</t>
  </si>
  <si>
    <t>Population âgée de 0 à 14 ans ( % de la population totale)</t>
  </si>
  <si>
    <t>Population âgée de 0 à 14 ans, femmes</t>
  </si>
  <si>
    <t>Population âgée de 0 à 14 ans, femmes ( % de la population féminine)</t>
  </si>
  <si>
    <t>Population âgée de 0 à 14 ans, hommes</t>
  </si>
  <si>
    <t>Population âgée de 0 à 14 ans, hommes ( % de la population masculine)</t>
  </si>
  <si>
    <t>Population âgée de 0 à 14 ans, total</t>
  </si>
  <si>
    <t>Population âgée de 05 à 09 ans, femmes ( % de la population féminine)</t>
  </si>
  <si>
    <t>Population âgée de 05 à 09 ans, hommes ( % de la population masculine)</t>
  </si>
  <si>
    <t>Population âgée de 10 à 14 ans, femmes ( % de la population féminine)</t>
  </si>
  <si>
    <t>Population âgée de 10 à 14 ans, hommes ( % de la population masculine)</t>
  </si>
  <si>
    <t>Population âgée de 15 à 19 ans, femmes ( % de la population féminine)</t>
  </si>
  <si>
    <t>Population âgée de 15 à 19 ans, hommes ( % de la population masculine)</t>
  </si>
  <si>
    <t>Population âgée de 15 à 64 ans (en % de la population totale)</t>
  </si>
  <si>
    <t>Population âgée de 15 à 64 ans, femmes</t>
  </si>
  <si>
    <t>Population âgée de 15 à 64 ans, femmes ( % de la population féminine)</t>
  </si>
  <si>
    <t>Population âgée de 15 à 64 ans, hommes</t>
  </si>
  <si>
    <t>Population âgée de 15 à 64 ans, hommes ( % de la population masculine)</t>
  </si>
  <si>
    <t>Population âgée de 15 à 64 ans, total</t>
  </si>
  <si>
    <t>Population âgée de 20 à 24 ans, femmes ( % de la population féminine)</t>
  </si>
  <si>
    <t>Population âgée de 20 à 24 ans, hommes ( % de la population masculine)</t>
  </si>
  <si>
    <t>Population âgée de 25 à 29 ans, femmes ( % de la population féminine)</t>
  </si>
  <si>
    <t>Population âgée de 25 à 29 ans, hommes ( % de la population masculine)</t>
  </si>
  <si>
    <t>Population âgée de 30 à 34 ans, femmes ( % de la population féminine)</t>
  </si>
  <si>
    <t>Population âgée de 30 à 34 ans, hommes ( % de la population masculine)</t>
  </si>
  <si>
    <t>Population âgée de 35 à 39 ans, femmes ( % de la population féminine)</t>
  </si>
  <si>
    <t>Population âgée de 35 à 39 ans, hommes ( % de la population masculine)</t>
  </si>
  <si>
    <t>Population âgée de 40 à 44 ans, femmes ( % de la population féminine)</t>
  </si>
  <si>
    <t>Population âgée de 40 à 44 ans, hommes ( % de la population masculine)</t>
  </si>
  <si>
    <t>Population âgée de 45 à 49 ans, femmes ( % de la population féminine)</t>
  </si>
  <si>
    <t>Population âgée de 45 à 49 ans, hommes ( % de la population masculine)</t>
  </si>
  <si>
    <t>Population âgée de 50 à 54 ans, femmes ( % de la population féminine)</t>
  </si>
  <si>
    <t>Population âgée de 50 à 54 ans, hommes ( % de la population masculine)</t>
  </si>
  <si>
    <t>Population âgée de 55 à 59 ans, femmes ( % de la population féminine)</t>
  </si>
  <si>
    <t>Population âgée de 55 à 59 ans, hommes ( % de la population masculine)</t>
  </si>
  <si>
    <t>Population âgée de 60 à 64 ans, femmes ( % de la population féminine)</t>
  </si>
  <si>
    <t>Population âgée de 60 à 64 ans, hommes ( % de la population masculine)</t>
  </si>
  <si>
    <t>Population âgée de 65 ans et plus ( % de la population totale)</t>
  </si>
  <si>
    <t>Population âgée de 65 ans et plus, femmes</t>
  </si>
  <si>
    <t>Population âgée de 65 ans et plus, femmes ( % de la population féminine)</t>
  </si>
  <si>
    <t>Population âgée de 65 ans et plus, hommes</t>
  </si>
  <si>
    <t>Population âgée de 65 ans et plus, hommes ( % de la population masculine)</t>
  </si>
  <si>
    <t>Population âgée de 65 ans et plus, total</t>
  </si>
  <si>
    <t>Population âgée de 65 à 69 ans, femmes (en % de la population féminine)</t>
  </si>
  <si>
    <t>Population âgée de 65 à 69 ans, hommes ( % de la population masculine)</t>
  </si>
  <si>
    <t>Population âgée de 70 à 74 ans, femmes ( % de la population féminine)</t>
  </si>
  <si>
    <t>Population âgée de 70 à 74 ans, hommes ( % de la population masculine)</t>
  </si>
  <si>
    <t>Population âgée de 75 à 79 ans, femmes ( % de la population féminine)</t>
  </si>
  <si>
    <t>Population âgée de 75 à 79 ans, hommes ( % de la population masculine)</t>
  </si>
  <si>
    <t>Population âgée de 80 ans et plus, femmes ( % de la population féminine)</t>
  </si>
  <si>
    <t>Population âgée de 80 ans et plus, hommes ( % de la population masculine)</t>
  </si>
  <si>
    <t>Densité de population (personnes par kilomètre carré de superficie)</t>
  </si>
  <si>
    <t>Croissance démographique ( % annuel)</t>
  </si>
  <si>
    <t>Population dans la plus grande ville</t>
  </si>
  <si>
    <t>Population de la plus grande ville ( % de la population urbaine)</t>
  </si>
  <si>
    <t>Population dans les agglomérations urbaines de plus de 1 million d'habitants</t>
  </si>
  <si>
    <t>Population dans les agglomérations urbaines de plus de 1 million d'habitants (en % de la population totale)</t>
  </si>
  <si>
    <t>Population vivant dans des zones où l'altitude est inférieure à 5 mètres ( % de la population totale)</t>
  </si>
  <si>
    <t>Population vivant dans des bidonvilles (en % de la population urbaine)</t>
  </si>
  <si>
    <t>Population, femmes</t>
  </si>
  <si>
    <t>Population, femmes ( % de la population totale)</t>
  </si>
  <si>
    <t>Population, hommes</t>
  </si>
  <si>
    <t>Population, hommes ( % de la population totale)</t>
  </si>
  <si>
    <t>Actions de portefeuille, entrées nettes (BoP, $ US courants)</t>
  </si>
  <si>
    <t>Investissement de portefeuille, obligations (PPG + PNG) (NFL, $ US courants)</t>
  </si>
  <si>
    <t>Investissements de portefeuille, nets ($ US courants, BdP)</t>
  </si>
  <si>
    <t>Écart de pauvreté à 3,00 $ par jour (PPA 2021) ( %)</t>
  </si>
  <si>
    <t>Écart de pauvreté à 4,20 dollars par jour (PPA 2021) ( %)</t>
  </si>
  <si>
    <t>Écart de pauvreté à 8,30 dollars par jour (PPA 2021) ( %)</t>
  </si>
  <si>
    <t>Taux de pauvreté : 3,00 dollars par jour (PPA 2021) ( % de la population)</t>
  </si>
  <si>
    <t>Taux de pauvreté à 4,00 $ par jour (PPA 2021) ( % de la population)</t>
  </si>
  <si>
    <t>Taux de pauvreté : 8,30 dollars par jour (PPA 2021) ( % de la population)</t>
  </si>
  <si>
    <t>Taux de pauvreté aux seuils de pauvreté nationaux (en % de la population)</t>
  </si>
  <si>
    <t>Taux de pauvreté au seuil de pauvreté sociétale ( % de la population)</t>
  </si>
  <si>
    <t>PPG, obligations (NFL, $ US courants)</t>
  </si>
  <si>
    <t>PPG, banques commerciales (NFL, $ US courants)</t>
  </si>
  <si>
    <t>PPG, BIRD (DoD, $ US courants)</t>
  </si>
  <si>
    <t>PPG, IDA (DoD, $ US courants)</t>
  </si>
  <si>
    <t>PPG, créanciers officiels (NFL, $ US courants)</t>
  </si>
  <si>
    <t>PPG, autres créanciers privés (NFL, $ US courants)</t>
  </si>
  <si>
    <t>PPG, créanciers privés (NFL, $ US courants)</t>
  </si>
  <si>
    <t>Facteur de conversion en PPA, PIB (UCL par dollar international)</t>
  </si>
  <si>
    <t>Facteur de conversion PPA, consommation privée (UCL par dollar international)</t>
  </si>
  <si>
    <t>Femmes enceintes recevant des soins prénatals ( %)</t>
  </si>
  <si>
    <t>Enseignement préprimaire, durée (années)</t>
  </si>
  <si>
    <t>Valeur actuelle de la dette extérieure (en % des exportations de biens, de services et de revenus)</t>
  </si>
  <si>
    <t>Valeur actuelle de la dette extérieure ( % du RNB)</t>
  </si>
  <si>
    <t>Valeur actuelle de la dette extérieure (en dollars américains courants)</t>
  </si>
  <si>
    <t>Prévalence de l'anémie chez les enfants ( % des enfants âgés de 6 à 59 mois)</t>
  </si>
  <si>
    <t>Prévalence de l'anémie chez les femmes non enceintes ( % des femmes âgées de 15 à 49 ans)</t>
  </si>
  <si>
    <t>Prévalence de l'anémie chez les femmes enceintes ( %)</t>
  </si>
  <si>
    <t>Prévalence de l'anémie chez les femmes en âge de procréer ( % des femmes âgées de 15 à 49 ans)</t>
  </si>
  <si>
    <t>Prévalence de l'usage actuel du tabac ( % des adultes)</t>
  </si>
  <si>
    <t>Prévalence de l'usage actuel du tabac, femmes ( % des femmes adultes)</t>
  </si>
  <si>
    <t>Prévalence de l'usage actuel du tabac, hommes ( % des hommes adultes)</t>
  </si>
  <si>
    <t>Prévalence du VIH, femmes ( % 15-24 ans)</t>
  </si>
  <si>
    <t>Prévalence du VIH, hommes ( % 15-24 ans)</t>
  </si>
  <si>
    <t>Prévalence du VIH, total ( % de la population âgée de 15 à 49 ans)</t>
  </si>
  <si>
    <t>Prévalence de l'insécurité alimentaire modérée ou grave dans la population ( %)</t>
  </si>
  <si>
    <t>Prévalence du surpoids, rapport poids/taille ( % des enfants de moins de 5 ans)</t>
  </si>
  <si>
    <t>Prévalence du surpoids (estimation modélisée, % des enfants de moins de 5 ans)</t>
  </si>
  <si>
    <t>Prévalence du surpoids, poids par rapport à la taille, femmes ( % des enfants de moins de 5 ans)</t>
  </si>
  <si>
    <t>Prévalence du surpoids chez les femmes (estimation modélisée, % d'enfants de moins de 5 ans)</t>
  </si>
  <si>
    <t>Prévalence du surpoids, rapport poids/taille, hommes ( % d'enfants de moins de 5 ans)</t>
  </si>
  <si>
    <t>Prévalence du surpoids chez les hommes (estimation modélisée, % d'enfants de moins de 5 ans)</t>
  </si>
  <si>
    <t>Prévalence de l'insécurité alimentaire sévère dans la population ( %)</t>
  </si>
  <si>
    <t>Prévalence de l'émaciation sévère, rapport poids/taille ( % des enfants de moins de 5 ans)</t>
  </si>
  <si>
    <t>Prévalence de l'émaciation sévère, poids par rapport à la taille, femmes ( % d'enfants de moins de 5 ans)</t>
  </si>
  <si>
    <t>Prévalence de l'émaciation sévère, rapport poids/taille, hommes ( % des enfants de moins de 5 ans)</t>
  </si>
  <si>
    <t>Prévalence du retard de croissance, taille par rapport à l'âge ( % d'enfants de moins de 5 ans)</t>
  </si>
  <si>
    <t>Prévalence du retard de croissance, taille par rapport à l'âge (estimation modélisée, % d'enfants de moins de 5 ans)</t>
  </si>
  <si>
    <t>Prévalence du retard de croissance, taille par rapport à l'âge, sexe féminin ( % d'enfants de moins de 5 ans)</t>
  </si>
  <si>
    <t>Prévalence du retard de croissance, taille par rapport à l'âge, sexe féminin (estimation modélisée, % d'enfants de moins de 5 ans)</t>
  </si>
  <si>
    <t>Prévalence du retard de croissance, taille par rapport à l'âge, hommes ( % d'enfants de moins de 5 ans)</t>
  </si>
  <si>
    <t>Prévalence du retard de croissance, taille par rapport à l'âge, hommes (estimation modélisée, % d'enfants de moins de 5 ans)</t>
  </si>
  <si>
    <t>Prévalence de la sous-alimentation ( % de la population)</t>
  </si>
  <si>
    <t>Prévalence de l'insuffisance pondérale, poids par rapport à l'âge ( % des enfants de moins de 5 ans)</t>
  </si>
  <si>
    <t>Prévalence de l'insuffisance pondérale, poids par rapport à l'âge, femmes ( % d'enfants de moins de 5 ans)</t>
  </si>
  <si>
    <t>Prévalence de l'insuffisance pondérale, poids par rapport à l'âge, hommes ( % des enfants de moins de 5 ans)</t>
  </si>
  <si>
    <t>Prévalence de l'émaciation, rapport poids/taille ( % des enfants de moins de 5 ans)</t>
  </si>
  <si>
    <t>Prévalence de l'émaciation, poids par rapport à la taille, femmes ( % d'enfants de moins de 5 ans)</t>
  </si>
  <si>
    <t>Prévalence de l'émaciation, poids par rapport à la taille, hommes ( % des enfants de moins de 5 ans)</t>
  </si>
  <si>
    <t>Rapport du taux de conversion (PIB) de la PPA au taux de change du marché</t>
  </si>
  <si>
    <t>Taux d'achèvement de l'enseignement primaire, femmes ( % de la tranche d'âge concernée)</t>
  </si>
  <si>
    <t>Taux d'achèvement de l'enseignement primaire, hommes ( % de la tranche d'âge concernée)</t>
  </si>
  <si>
    <t>Taux d'achèvement du primaire, total ( % de la tranche d'âge concernée)</t>
  </si>
  <si>
    <t>Enseignement primaire, durée (années)</t>
  </si>
  <si>
    <t>Enseignement primaire, élèves</t>
  </si>
  <si>
    <t>Enseignement primaire, élèves ( % de filles)</t>
  </si>
  <si>
    <t>Enseignement primaire, enseignants</t>
  </si>
  <si>
    <t>Enseignement primaire, enseignants ( % de femmes)</t>
  </si>
  <si>
    <t>Dépenses publiques primaires en proportion du budget initial approuvé ( %)</t>
  </si>
  <si>
    <t>Paiements de revenus primaires (BoP, $ US courants)</t>
  </si>
  <si>
    <t>Recettes des revenus primaires (BdP, $ US courants)</t>
  </si>
  <si>
    <t>Enfants en âge de fréquenter l'école primaire non scolarisés ( %)</t>
  </si>
  <si>
    <t>Âge d'entrée à l'école primaire (années)</t>
  </si>
  <si>
    <t>Probabilité de décès chez les adolescents âgés de 10 à 14 ans (pour 1 000)</t>
  </si>
  <si>
    <t>Probabilité de décès chez les adolescents âgés de 15 à 19 ans (pour 1 000)</t>
  </si>
  <si>
    <t>Probabilité de décès chez les enfants âgés de 5 à 9 ans (pour 1 000)</t>
  </si>
  <si>
    <t>Probabilité de décès chez les jeunes de 20 à 24 ans (pour 1 000)</t>
  </si>
  <si>
    <t>Progression vers l'enseignement secondaire ( %)</t>
  </si>
  <si>
    <t>Progression vers l'enseignement secondaire, filles ( %)</t>
  </si>
  <si>
    <t>Progression vers l'enseignement secondaire, garçons ( %)</t>
  </si>
  <si>
    <t>Proportion de personnes vivant en dessous de 50 % du revenu médian ( %)</t>
  </si>
  <si>
    <t>Proportion de la population poussée en dessous du seuil de pauvreté de 2,15 $ (PPA de 2017) par les dépenses de santé à la charge directe ( %)</t>
  </si>
  <si>
    <t>Proportion de la population poussée sous le seuil de pauvreté de 3,65 $ ($ PPA de 2017) par les dépenses de santé à la charge directe ( %)</t>
  </si>
  <si>
    <t>Proportion de la population poussée en dessous du seuil de pauvreté médian de consommation de 60 % par les dépenses de santé à la charge des patients ( %)</t>
  </si>
  <si>
    <t>Proportion de la population poussée encore plus en dessous du seuil de pauvreté de 2,15 $ (PPA de 2017 $) par les dépenses de santé à la charge directe ( %)</t>
  </si>
  <si>
    <t>Proportion de la population poussée plus loin sous le seuil de pauvreté de 3,65 $ ($ PPA 2017) par les dépenses de santé à la charge directe ( %)</t>
  </si>
  <si>
    <t>Proportion de la population poussée encore plus en dessous du seuil de pauvreté médian de 60 % de consommation par les dépenses de santé à la charge des patients ( %)</t>
  </si>
  <si>
    <t>Proportion de la population poussée ou poussée en dessous du seuil de pauvreté de 2,15 $ (PPA de 2017) par les dépenses de santé à la charge des patients ( %)</t>
  </si>
  <si>
    <t>Proportion de la population poussée ou poussée en dessous du seuil de pauvreté de 3,65 $ (PPA de 2017) par les dépenses de santé à la charge directe ( %)</t>
  </si>
  <si>
    <t>Proportion de la population poussée ou poussée plus loin en dessous du seuil médian de pauvreté de consommation de 60 % par les dépenses de santé à la charge des patients ( %)</t>
  </si>
  <si>
    <t>Proportion de la population consacrant plus de 10 % de la consommation ou du revenu du ménage aux dépenses de santé à la charge des patients ( %)</t>
  </si>
  <si>
    <t>Proportion de la population consacrant plus de 25 % de la consommation ou du revenu du ménage aux dépenses de santé directes ( %)</t>
  </si>
  <si>
    <t>Proportion de sièges occupés par des femmes dans les parlements nationaux ( %)</t>
  </si>
  <si>
    <t>Proportion de temps consacré au travail domestique et aux soins non rémunérés, femmes ( % de la journée de 24 heures)</t>
  </si>
  <si>
    <t>Proportion du temps consacré aux travaux domestiques et aux soins non rémunérés, hommes ( % de la journée de 24 heures)</t>
  </si>
  <si>
    <t>Proportion de femmes ayant subi des violences physiques et/ou sexuelles au cours des 12 derniers mois ( % de femmes âgées de 15 à 49 ans ayant déjà été en couple)</t>
  </si>
  <si>
    <t>Écart de prospérité (écart moyen par rapport à une norme de prospérité de 28 $ par jour)</t>
  </si>
  <si>
    <t>Service de la dette publique et garantie par l'État ( % des exportations de biens, de services et de revenus primaires)</t>
  </si>
  <si>
    <t>Service de la dette publique et garantie par l'État ( % du RNB)</t>
  </si>
  <si>
    <t>Partenariats public-privé : investissement dans l'énergie (en dollars américains courants)</t>
  </si>
  <si>
    <t>Investissements dans les TIC en partenariat public-privé (en dollars courants des États-Unis)</t>
  </si>
  <si>
    <t>Investissements dans les transports en dollars courants (dollars courants)</t>
  </si>
  <si>
    <t>Partenariats public-privé : investissement dans l'eau et l'assainissement (en dollars courants)</t>
  </si>
  <si>
    <t>Élèves ayant des compétences minimales en lecture à la fin du primaire ( %). Seuil GAML bas</t>
  </si>
  <si>
    <t>Ratio élèves-enseignant dans le premier cycle de l'enseignement secondaire</t>
  </si>
  <si>
    <t>Ratio élèves-enseignant pour le préprimaire</t>
  </si>
  <si>
    <t>Ratio élèves-enseignant dans l'enseignement primaire</t>
  </si>
  <si>
    <t>Ratio élèves-enseignant dans le secondaire</t>
  </si>
  <si>
    <t>Ratio élèves-enseignant dans l'enseignement supérieur</t>
  </si>
  <si>
    <t>Ratio élèves-enseignant dans le deuxième cycle de l'enseignement secondaire</t>
  </si>
  <si>
    <t>Lignes ferroviaires (nombre total de kilomètres parcourus)</t>
  </si>
  <si>
    <t>Chemins de fer, marchandises transportées (millions de tonnes-km)</t>
  </si>
  <si>
    <t>Chemins de fer, passagers transportés (millions de passagers-km)</t>
  </si>
  <si>
    <t>Taux d'activité des femmes par rapport aux hommes ( %) (estimation modélisée de l'OIT)</t>
  </si>
  <si>
    <t>Taux d'activité des femmes par rapport aux hommes ( %) (estimation nationale)</t>
  </si>
  <si>
    <t>Indice du taux de change effectif réel (2010 = 100)</t>
  </si>
  <si>
    <t>Taux d'intérêt réel ( %)</t>
  </si>
  <si>
    <t>Réfugiés relevant du mandat du HCR par pays ou territoire d'asile</t>
  </si>
  <si>
    <t>Réfugiés relevant du mandat du HCR par pays ou territoire d'origine</t>
  </si>
  <si>
    <t>Réfugiés relevant du mandat de l'UNRWA, par pays ou territoire d'asile</t>
  </si>
  <si>
    <t>Réfugiés relevant du mandat de l'UNRWA, par pays ou territoire d'origine</t>
  </si>
  <si>
    <t>Qualité réglementaire : estimation</t>
  </si>
  <si>
    <t>Qualité réglementaire : nombre de sources</t>
  </si>
  <si>
    <t>Qualité réglementaire : Rang centile</t>
  </si>
  <si>
    <t>Qualité réglementaire : rang centile, limite inférieure de l'intervalle de confiance à 90 %</t>
  </si>
  <si>
    <t>Qualité réglementaire : rang centile, limite supérieure de l'intervalle de confiance à 90 %</t>
  </si>
  <si>
    <t>Qualité réglementaire : Erreur-type</t>
  </si>
  <si>
    <t>Production d'électricité renouvelable ( % de la production totale d'électricité)</t>
  </si>
  <si>
    <t>Consommation d'énergie renouvelable ( % de la consommation totale d'énergie finale)</t>
  </si>
  <si>
    <t>Ressources internes renouvelables en eau douce par habitant (mètres cubes)</t>
  </si>
  <si>
    <t>Ressources internes renouvelables en eau douce, total (milliards de mètres cubes)</t>
  </si>
  <si>
    <t>Redoublantes, primaires, femmes ( % des inscriptions féminines)</t>
  </si>
  <si>
    <t>Redoublants, primaires, masculins ( % des inscriptions masculines)</t>
  </si>
  <si>
    <t>Redoublants, primaires, total ( % du total des inscriptions)</t>
  </si>
  <si>
    <t>Dépenses de recherche et développement (en % du PIB)</t>
  </si>
  <si>
    <t>Chercheurs en R&amp;D (par million d'habitants)</t>
  </si>
  <si>
    <t>Réserves et éléments connexes ($ US courants, balance des paiements)</t>
  </si>
  <si>
    <t>Recettes, hors dons ( % du PIB)</t>
  </si>
  <si>
    <t>Chiffre d'affaires, hors subventions (LCU courante)</t>
  </si>
  <si>
    <t>Risque de dépenses catastrophiques pour les soins chirurgicaux ( % des personnes à risque)</t>
  </si>
  <si>
    <t>Risque d'appauvrissement des dépenses pour les soins chirurgicaux ( % des personnes à risque)</t>
  </si>
  <si>
    <t>Prime de risque sur le prêt (taux débiteur moins taux des bons du Trésor, %)</t>
  </si>
  <si>
    <t>État de droit : estimation</t>
  </si>
  <si>
    <t>État de droit : nombre de sources</t>
  </si>
  <si>
    <t>État de droit : rang centile</t>
  </si>
  <si>
    <t>État de droit : rang centile, limite inférieure de l'intervalle de confiance à 90 %</t>
  </si>
  <si>
    <t>Règle de droit : rang centile, limite supérieure de l'intervalle de confiance à 90 %</t>
  </si>
  <si>
    <t>État de droit : erreur type</t>
  </si>
  <si>
    <t>Superficie rurale (km²)</t>
  </si>
  <si>
    <t>Superficie rurale dont l'altitude est inférieure à 5 mètres ( % de la superficie totale des terres)</t>
  </si>
  <si>
    <t>Zone rurale où l'altitude est inférieure à 5 mètres (km²)</t>
  </si>
  <si>
    <t>Population rurale</t>
  </si>
  <si>
    <t>Population rurale (en % de la population totale)</t>
  </si>
  <si>
    <t>Croissance de la population rurale ( % annuel)</t>
  </si>
  <si>
    <t>Population rurale vivant dans des zones où l'altitude est inférieure à 5 mètres ( % de la population totale)</t>
  </si>
  <si>
    <t>Indices S&amp;P Global Equity (variation annuelle en %)</t>
  </si>
  <si>
    <t>Inscriptions à l'école maternelle ( % brut)</t>
  </si>
  <si>
    <t>Scolarisation, préprimaire, femmes ( % brut)</t>
  </si>
  <si>
    <t>Inscriptions scolaires, préprimaire, hommes ( % brut)</t>
  </si>
  <si>
    <t>Inscriptions dans l'enseignement primaire ( % brut)</t>
  </si>
  <si>
    <t>Scolarisation, primaire ( % net)</t>
  </si>
  <si>
    <t>Scolarisation, primaire (brut), indice de parité hommes-femmes (IPS)</t>
  </si>
  <si>
    <t>Scolarisation, primaire et secondaire (brut), indice de parité hommes-femmes (IPS)</t>
  </si>
  <si>
    <t>Scolarisation, primaire, femmes ( % brut)</t>
  </si>
  <si>
    <t>Scolarisation, primaire, femmes ( % net)</t>
  </si>
  <si>
    <t>Scolarisation, primaire, hommes ( % brut)</t>
  </si>
  <si>
    <t>Scolarisation, primaire, garçons ( % net)</t>
  </si>
  <si>
    <t>Inscriptions dans les écoles, primaires, privées ( % du total des écoles primaires)</t>
  </si>
  <si>
    <t>Inscriptions dans le secondaire ( % brut)</t>
  </si>
  <si>
    <t>Inscriptions dans le secondaire ( % net)</t>
  </si>
  <si>
    <t>Scolarisation, secondaire (brut), indice de parité hommes-femmes (IPS)</t>
  </si>
  <si>
    <t>Scolarisation, secondaire, femmes ( % brut)</t>
  </si>
  <si>
    <t>Scolarisation, secondaire, femmes ( % net)</t>
  </si>
  <si>
    <t>Scolarisation, secondaire, hommes ( % brut)</t>
  </si>
  <si>
    <t>Scolarisation, secondaire, hommes ( % net)</t>
  </si>
  <si>
    <t>Inscriptions dans les écoles, secondaires, privées ( % du total des écoles secondaires)</t>
  </si>
  <si>
    <t>Inscriptions dans l'enseignement supérieur ( % brut)</t>
  </si>
  <si>
    <t>Scolarisation, enseignement supérieur (brut), indice de parité hommes-femmes (IPS)</t>
  </si>
  <si>
    <t>Scolarisation, enseignement supérieur, femmes ( % brut)</t>
  </si>
  <si>
    <t>Scolarisation, enseignement supérieur, hommes ( % brut)</t>
  </si>
  <si>
    <t>Articles de revues scientifiques et techniques</t>
  </si>
  <si>
    <t>Enseignement secondaire, durée (années)</t>
  </si>
  <si>
    <t>Enseignement secondaire, élèves généraux</t>
  </si>
  <si>
    <t>Enseignement secondaire, élèves du secteur général ( % de filles)</t>
  </si>
  <si>
    <t>Enseignement secondaire, élèves</t>
  </si>
  <si>
    <t>Enseignement secondaire, élèves ( % de filles)</t>
  </si>
  <si>
    <t>Enseignement secondaire, enseignants</t>
  </si>
  <si>
    <t>Enseignement secondaire, enseignants ( % de femmes)</t>
  </si>
  <si>
    <t>Enseignement secondaire, enseignants, femmes</t>
  </si>
  <si>
    <t>Enseignement secondaire, élèves de l'enseignement professionnel</t>
  </si>
  <si>
    <t>Enseignement secondaire, élèves de l'enseignement professionnel ( % de filles)</t>
  </si>
  <si>
    <t>Recettes des revenus secondaires (BdP, $ US courants)</t>
  </si>
  <si>
    <t>Revenu secondaire, autres secteurs, paiements (BdP, $ US courants)</t>
  </si>
  <si>
    <t>Serveurs Internet sécurisés</t>
  </si>
  <si>
    <t>Serveurs Internet sécurisés (pour 1 million de personnes)</t>
  </si>
  <si>
    <t>Travailleurs indépendants, femmes ( % de l'emploi féminin) (estimation modélisée de l'OIT)</t>
  </si>
  <si>
    <t>Travailleurs indépendants, hommes ( % de l'emploi masculin) (estimation modélisée de l'OIT)</t>
  </si>
  <si>
    <t>Travailleurs indépendants, total ( % de l'emploi total) (estimation modélisée de l'OIT)</t>
  </si>
  <si>
    <t>Exportations de services ($ US courants, BdP)</t>
  </si>
  <si>
    <t>Importations de services ($ US courants, BdP)</t>
  </si>
  <si>
    <t>Services, valeur ajoutée ( % du PIB)</t>
  </si>
  <si>
    <t>Services, valeur ajoutée (croissance annuelle en %)</t>
  </si>
  <si>
    <t>Services, valeur ajoutée (en dollars constants de 2015)</t>
  </si>
  <si>
    <t>Services, valeur ajoutée (UCT constantes)</t>
  </si>
  <si>
    <t>Services, valeur ajoutée (LCU actuelle)</t>
  </si>
  <si>
    <t>Services, valeur ajoutée (en dollars américains courants)</t>
  </si>
  <si>
    <t>Services, valeur ajoutée par travailleur (en dollars constants de 2015)</t>
  </si>
  <si>
    <t>Rapport de masculinité à la naissance (naissances masculines par naissances féminines)</t>
  </si>
  <si>
    <t>Proportion de femmes parmi les jeunes qui ne sont ni scolarisés, ni en emploi, ni en formation ( % de la population féminine jeune)</t>
  </si>
  <si>
    <t>Proportion de femmes parmi les jeunes qui ne sont ni scolarisés, ni en emploi, ni en formation ( % de la population féminine jeune) (estimation modélisée de l'OIT)</t>
  </si>
  <si>
    <t>Proportion de jeunes sans études, ni emploi, ni formation (en % de la population masculine)</t>
  </si>
  <si>
    <t>Proportion de jeunes non scolarisés, sans emploi ou en formation, hommes ( % de la population masculine) (estimation modélisée de l'OIT)</t>
  </si>
  <si>
    <t>Proportion de jeunes sans études, ni emploi, ni formation (en % de la population jeune)</t>
  </si>
  <si>
    <t>Part des jeunes qui ne sont ni scolarisés, ni en emploi, ni en formation (en % de la population jeune) (estimation modélisée de l'OIT)</t>
  </si>
  <si>
    <t>Dette à court terme ( % des exportations de biens, de services et de revenus primaires)</t>
  </si>
  <si>
    <t>Dette à court terme ( % de la dette extérieure totale)</t>
  </si>
  <si>
    <t>Dette à court terme ( % du total des réserves)</t>
  </si>
  <si>
    <t>Cotisations sociales ( % des recettes)</t>
  </si>
  <si>
    <t>Cotisations sociales (LCU actuelles)</t>
  </si>
  <si>
    <t>Main-d'œuvre chirurgicale spécialisée (pour 100 000 habitants)</t>
  </si>
  <si>
    <t>Indicateurs statistiques de performance (IPS) : Note globale (échelle de 0 à 100)</t>
  </si>
  <si>
    <t>Indicateurs statistiques de performance (IPS) : score d'utilisation des données du pilier 1 (échelle de 0 à 100)</t>
  </si>
  <si>
    <t>Indicateurs statistiques de performance (IPS) : score des services de données du pilier 2 (échelle de 0 à 100)</t>
  </si>
  <si>
    <t>Indicateurs statistiques de performance (IPS) : score des produits de données du pilier 3 (échelle de 0 à 100)</t>
  </si>
  <si>
    <t>Indicateurs statistiques de performance (IPS) : score des sources de données du pilier 4 (échelle de 0 à 100)</t>
  </si>
  <si>
    <t>Indicateurs statistiques de performance (IPS) : score de l'infrastructure de données du pilier 5 (échelle de 0 à 100)</t>
  </si>
  <si>
    <t>Actions échangées, valeur totale ( % du PIB)</t>
  </si>
  <si>
    <t>Actions négociées, valeur totale ($ US courants)</t>
  </si>
  <si>
    <t>Actions échangées, taux de rotation des actions nationales ( %)</t>
  </si>
  <si>
    <t>Subventions et autres transferts ( % de la dépense)</t>
  </si>
  <si>
    <t>Subventions et autres transferts (LCU courante)</t>
  </si>
  <si>
    <t>Taux de mortalité par suicide (pour 100 000 habitants)</t>
  </si>
  <si>
    <t>Taux de mortalité par suicide, femmes (pour 100 000 femmes)</t>
  </si>
  <si>
    <t>Taux de mortalité par suicide, hommes (pour 100 000 hommes)</t>
  </si>
  <si>
    <t>Superficie (km²)</t>
  </si>
  <si>
    <t>Consommation moyenne ou revenu par habitant de l'enquête, 40 % inférieurs de la population (2021 PPA $ par jour)</t>
  </si>
  <si>
    <t>Consommation moyenne ou revenu par habitant de l'enquête, population totale ($ PPA de 2021 par jour)</t>
  </si>
  <si>
    <t>Survie jusqu'à 65 ans, femmes ( % de la cohorte)</t>
  </si>
  <si>
    <t>Survie jusqu'à 65 ans, hommes ( % de la cohorte)</t>
  </si>
  <si>
    <t>Taux de droits appliqués, moyenne simple, tous les produits ( %)</t>
  </si>
  <si>
    <t>Taux de droits appliqués, moyenne simple, produits manufacturés ( %)</t>
  </si>
  <si>
    <t>Taux de droits appliqués, moyenne simple, produits primaires ( %)</t>
  </si>
  <si>
    <t>Taux de droits appliqués, moyenne pondérée, tous produits ( %)</t>
  </si>
  <si>
    <t>Taux de droits appliqués, moyenne pondérée, produits manufacturés ( %)</t>
  </si>
  <si>
    <t>Taux de droits appliqués, moyenne pondérée, produits primaires ( %)</t>
  </si>
  <si>
    <t>Taux de droits, nation la plus favorisée, moyenne simple, tous les produits ( %)</t>
  </si>
  <si>
    <t>Taux de droits, nation la plus favorisée, moyenne simple, produits manufacturés ( %)</t>
  </si>
  <si>
    <t>Taux de droits, nation la plus favorisée, moyenne simple, produits primaires ( %)</t>
  </si>
  <si>
    <t>Taux de droits, nation la plus favorisée, moyenne pondérée, tous les produits ( %)</t>
  </si>
  <si>
    <t>Taux de droits, nation la plus favorisée, moyenne pondérée, produits manufacturés ( %)</t>
  </si>
  <si>
    <t>Taux de droits, nation la plus favorisée, moyenne pondérée, produits primaires ( %)</t>
  </si>
  <si>
    <t>Recettes fiscales ( % du PIB)</t>
  </si>
  <si>
    <t>Recettes fiscales (LCU courante)</t>
  </si>
  <si>
    <t>Impôts moins subventions sur les produits (UCV constantes)</t>
  </si>
  <si>
    <t>Impôts moins subventions sur les produits (LCU actuelle)</t>
  </si>
  <si>
    <t>Impôts moins subventions sur les produits (en dollars américains courants)</t>
  </si>
  <si>
    <t>Impôts sur les exportations ( % des recettes fiscales)</t>
  </si>
  <si>
    <t>Impôts à l'exportation (LCU courante)</t>
  </si>
  <si>
    <t>Impôts sur les biens et services ( % du chiffre d'affaires)</t>
  </si>
  <si>
    <t>Impôts sur les biens et services (en % de la valeur ajoutée de l'industrie et des services)</t>
  </si>
  <si>
    <t>Impôts sur les biens et services (LCU actuelles)</t>
  </si>
  <si>
    <t>Impôts sur le revenu, les bénéfices et les plus-values ( % du chiffre d'affaires)</t>
  </si>
  <si>
    <t>Impôts sur le revenu, les bénéfices et les plus-values ( % du total des impôts)</t>
  </si>
  <si>
    <t>Impôts sur le revenu, les bénéfices et les plus-values (LCU actuelle)</t>
  </si>
  <si>
    <t>Impôts sur le commerce international ( % du chiffre d'affaires)</t>
  </si>
  <si>
    <t>Impôts sur le commerce international (LCU actuelles)</t>
  </si>
  <si>
    <t>Subventions de coopération technique (BoP, dollars américains courants)</t>
  </si>
  <si>
    <t>Techniciens en R&amp;D (par million de personnes)</t>
  </si>
  <si>
    <t>Mères adolescentes ( % des femmes âgées de 15 à 19 ans qui ont eu des enfants ou qui sont actuellement enceintes)</t>
  </si>
  <si>
    <t>Ajustement des termes de l'échange (UCT constante)</t>
  </si>
  <si>
    <t>Aires protégées terrestres et marines ( % de la superficie territoriale totale)</t>
  </si>
  <si>
    <t>Aires protégées terrestres ( % de la superficie terrestre)</t>
  </si>
  <si>
    <t>Enseignement supérieur, personnel universitaire ( % de femmes)</t>
  </si>
  <si>
    <t>Textiles et vêtements ( % de la valeur ajoutée dans l'industrie manufacturière)</t>
  </si>
  <si>
    <t>Temps nécessaire à l'obtention d'une licence d'exploitation (jours)</t>
  </si>
  <si>
    <t>Temps consacré à l'application des exigences de la réglementation gouvernementale ( % du temps de la haute direction)</t>
  </si>
  <si>
    <t>Temps d'obtention d'un raccordement électrique (jours)</t>
  </si>
  <si>
    <t>Consommation totale d'alcool par habitant (litres d'alcool pur, estimations prévues, 15 ans et +)</t>
  </si>
  <si>
    <t>Consommation totale d'alcool par habitant, femmes (litres d'alcool pur, estimations projetées, femmes de 15 ans et +)</t>
  </si>
  <si>
    <t>Consommation totale d'alcool par habitant, hommes (litres d'alcool pur, estimations projetées, hommes de 15 ans et +)</t>
  </si>
  <si>
    <t>Service total de la dette ( % des exportations de biens, de services et de revenus primaires)</t>
  </si>
  <si>
    <t>Service total de la dette ( % du RNB)</t>
  </si>
  <si>
    <t>Production totale de la pêche (en tonnes)</t>
  </si>
  <si>
    <t>Émissions totales de gaz à effet de serre à l'exclusion de l'UTCATF (variation en % par rapport à 1990)</t>
  </si>
  <si>
    <t>Émissions totales de gaz à effet de serre hors UTCATF (Mt d'équivalent CO2)</t>
  </si>
  <si>
    <t>Émissions totales de gaz à effet de serre par habitant, à l'exclusion de l'ATCATF (t CO2e/habitant)</t>
  </si>
  <si>
    <t>Émissions totales de gaz à effet de serre, y compris l'ATCATF (Mt d'équivalent CO2)</t>
  </si>
  <si>
    <t>Rentes totales des ressources naturelles ( % du PIB)</t>
  </si>
  <si>
    <t>Total des réserves (en % de la dette extérieure totale)</t>
  </si>
  <si>
    <t>Réserves totales, y compris l'or (en dollars américains courants)</t>
  </si>
  <si>
    <t>Réserves totales en mois d'importations</t>
  </si>
  <si>
    <t>Réserves totales, hors or (en dollars américains courants)</t>
  </si>
  <si>
    <t>Commerce ( % du PIB)</t>
  </si>
  <si>
    <t>Commerce des services (en % du PIB)</t>
  </si>
  <si>
    <t>Demandes d'enregistrement de marques de commerce, non-résidents, en nombre</t>
  </si>
  <si>
    <t>Demandes d'enregistrement de marques de commerce, résidents, par nombre</t>
  </si>
  <si>
    <t>Enseignants formés dans le premier cycle de l'enseignement secondaire (en % du nombre total d'enseignants)</t>
  </si>
  <si>
    <t>Enseignantes formées dans le premier cycle de l'enseignement secondaire, femmes ( % d'enseignantes)</t>
  </si>
  <si>
    <t>Enseignants formés dans le premier cycle de l'enseignement secondaire, hommes ( % d'enseignants masculins)</t>
  </si>
  <si>
    <t>Enseignants formés dans l'enseignement préprimaire ( % du nombre total d'enseignants)</t>
  </si>
  <si>
    <t>Enseignantes formées dans l'enseignement préprimaire, femmes ( % d'enseignantes)</t>
  </si>
  <si>
    <t>Enseignants formés dans l'enseignement préprimaire, hommes ( % d'enseignants masculins)</t>
  </si>
  <si>
    <t>Enseignants formés dans l'enseignement primaire ( % du nombre total d'enseignants)</t>
  </si>
  <si>
    <t>Enseignantes formées dans l'enseignement primaire, femmes ( % d'enseignantes)</t>
  </si>
  <si>
    <t>Enseignants formés dans l'enseignement primaire, hommes ( % d'enseignants masculins)</t>
  </si>
  <si>
    <t>Enseignants formés dans l'enseignement secondaire ( % du total des enseignants)</t>
  </si>
  <si>
    <t>Enseignants formés dans l'enseignement secondaire, femmes ( % d'enseignantes)</t>
  </si>
  <si>
    <t>Enseignants formés dans l'enseignement secondaire, hommes ( % d'enseignants masculins)</t>
  </si>
  <si>
    <t>Enseignants formés dans le deuxième cycle de l'enseignement secondaire (en % du nombre total d'enseignants)</t>
  </si>
  <si>
    <t>Enseignants formés dans le deuxième cycle de l'enseignement secondaire, femmes ( % d'enseignantes)</t>
  </si>
  <si>
    <t>Enseignants formés dans le deuxième cycle de l'enseignement secondaire, hommes ( % d'enseignants masculins)</t>
  </si>
  <si>
    <t>Services de transport ( % des exportations de services commerciaux)</t>
  </si>
  <si>
    <t>Services de transport ( % des importations de services commerciaux)</t>
  </si>
  <si>
    <t>Services de transport ( % des exportations de services, balance des charges)</t>
  </si>
  <si>
    <t>Services de transport ( % des importations de services, BoP)</t>
  </si>
  <si>
    <t>Services de voyage ( % des exportations de services commerciaux)</t>
  </si>
  <si>
    <t>Services de voyage ( % des importations de services commerciaux)</t>
  </si>
  <si>
    <t>Services de voyage ( % des exportations de services, BdP)</t>
  </si>
  <si>
    <t>Services de voyage ( % des importations de services, BdP)</t>
  </si>
  <si>
    <t>Taux de détection des cas de tuberculose ( %, toutes formes confondues)</t>
  </si>
  <si>
    <t>Taux de réussite du traitement de la tuberculose ( % des nouveaux cas)</t>
  </si>
  <si>
    <t>Indice de couverture des services de la CSU</t>
  </si>
  <si>
    <t>Chômage des diplômés de l'enseignement supérieur (en % de la population active totale ayant fait des études supérieures)</t>
  </si>
  <si>
    <t>Chômage des femmes ayant fait des études supérieures ( % de la main-d'œuvre féminine ayant fait des études supérieures)</t>
  </si>
  <si>
    <t>Chômage des hommes ayant fait des études supérieures ( % de la main-d'œuvre masculine ayant fait des études supérieures)</t>
  </si>
  <si>
    <t>Chômage avec l'éducation de base ( % de la population active totale avec l'éducation de base)</t>
  </si>
  <si>
    <t>Chômage des femmes dans l'enseignement de base ( % de la main-d'œuvre féminine dans l'enseignement de base)</t>
  </si>
  <si>
    <t>Chômage chez les hommes ( % de la main-d'œuvre masculine dans l'éducation de base)</t>
  </si>
  <si>
    <t>Chômage dans l'enseignement intermédiaire ( % de la population active totale dans l'enseignement intermédiaire)</t>
  </si>
  <si>
    <t>Chômage des femmes ayant un niveau d'éducation intermédiaire ( % de la main-d'œuvre féminine ayant un niveau d'éducation intermédiaire)</t>
  </si>
  <si>
    <t>Chômage des hommes ayant un niveau d'éducation intermédiaire ( % de la main-d'œuvre masculine ayant un niveau d'éducation intermédiaire)</t>
  </si>
  <si>
    <t>Chômage des femmes ( % de la population active féminine) (estimation modélisée de l'OIT)</t>
  </si>
  <si>
    <t>Chômage des femmes ( % de la population active féminine) (estimation nationale)</t>
  </si>
  <si>
    <t>Chômage masculin ( % de la population active masculine) (estimation modélisée de l'OIT)</t>
  </si>
  <si>
    <t>Chômage masculin ( % de la population active masculine) (estimation nationale)</t>
  </si>
  <si>
    <t>Chômage, total ( % de la population active totale) (estimation modélisée de l'OIT)</t>
  </si>
  <si>
    <t>Chômage, total ( % de la population active totale) (estimation nationale)</t>
  </si>
  <si>
    <t>Chômage, jeunes femmes ( % de la main-d'œuvre féminine âgée de 15 à 24 ans) (estimation modélisée de l'OIT)</t>
  </si>
  <si>
    <t>Chômage, jeunes femmes ( % de la population active féminine âgée de 15 à 24 ans) (estimation nationale)</t>
  </si>
  <si>
    <t>Chômage, jeunes hommes ( % de la population active masculine âgée de 15 à 24 ans) (estimation modélisée de l'OIT)</t>
  </si>
  <si>
    <t>Chômage, jeunes hommes ( % de la population active masculine âgée de 15 à 24 ans) (estimation nationale)</t>
  </si>
  <si>
    <t>Chômage, total des jeunes ( % de la population active totale âgée de 15 à 24 ans) (estimation modélisée de l'OIT)</t>
  </si>
  <si>
    <t>Chômage, total des jeunes ( % de la population active totale âgée de 15 à 24 ans) (estimation nationale)</t>
  </si>
  <si>
    <t>Besoins non satisfaits en matière de contraception ( % des femmes mariées âgées de 15 à 49 ans)</t>
  </si>
  <si>
    <t>Superficie des terres urbaines (km²)</t>
  </si>
  <si>
    <t>Superficie urbaine dont l'altitude est inférieure à 5 mètres ( % de la superficie totale du terrain)</t>
  </si>
  <si>
    <t>Superficie urbaine dont l'altitude est inférieure à 5 mètres (km²)</t>
  </si>
  <si>
    <t>Population urbaine</t>
  </si>
  <si>
    <t>Population urbaine ( % de la population totale)</t>
  </si>
  <si>
    <t>Croissance de la population urbaine ( % annuel)</t>
  </si>
  <si>
    <t>Population urbaine vivant dans des zones où l'altitude est inférieure à 5 mètres ( % de la population totale)</t>
  </si>
  <si>
    <t>Utilisation du crédit du FMI (DOD, dollars américains courants)</t>
  </si>
  <si>
    <t>Utilisation de moustiquaires imprégnées d'insecticide ( % de la population de moins de 5 ans)</t>
  </si>
  <si>
    <t>Valeur perdue en raison de pannes d'électricité ( % du chiffre d'affaires des entreprises touchées)</t>
  </si>
  <si>
    <t>Taux de couverture de la supplémentation en vitamine A ( % des enfants âgés de 6 à 59 mois)</t>
  </si>
  <si>
    <t>Voix et responsabilité : estimation</t>
  </si>
  <si>
    <t>Voix et responsabilité : nombre de sources</t>
  </si>
  <si>
    <t>Voix et responsabilité : rang centile</t>
  </si>
  <si>
    <t>Voix et responsabilité : rang centile, limite inférieure de l'intervalle de confiance à 90 %</t>
  </si>
  <si>
    <t>Voix et responsabilité : rang centile, limite supérieure de l'intervalle de confiance à 90 %</t>
  </si>
  <si>
    <t>Voix et responsabilité : l'erreur type</t>
  </si>
  <si>
    <t>Emploi vulnérable, femmes ( % de l'emploi féminin) (estimation modélisée de l'OIT)</t>
  </si>
  <si>
    <t>Emploi vulnérable, hommes ( % de l'emploi masculin) (estimation modélisée de l'OIT)</t>
  </si>
  <si>
    <t>Emploi vulnérable, total ( % de l'emploi total) (estimation modélisée de l'OIT)</t>
  </si>
  <si>
    <t>Salariés, femmes ( % de l'emploi féminin) (estimation modélisée de l'OIT)</t>
  </si>
  <si>
    <t>Salariés masculins ( % de l'emploi masculin) (estimation modélisée de l'OIT)</t>
  </si>
  <si>
    <t>Salariés (en % de l'emploi total) (estimation modélisée de l'OIT)</t>
  </si>
  <si>
    <t>Taux de fécondité souhaité (naissances par femme)</t>
  </si>
  <si>
    <t>Productivité de l'eau, totale (PIB en dollars américains constants de 2015 par mètre cube de prélèvement total d'eau douce)</t>
  </si>
  <si>
    <t>Indice des prix de gros (2010 = 100)</t>
  </si>
  <si>
    <t>Indice des femmes d'affaires et du droit (échelle de 1 à 100)</t>
  </si>
  <si>
    <t>Femmes prenant leurs propres décisions éclairées concernant les relations sexuelles, l'utilisation de contraceptifs et les soins de santé reproductive ( % de femmes âgées de 15 à 49 ans)</t>
  </si>
  <si>
    <t>Les femmes participent aux trois décisions (soins de santé propres, achats importants du ménage et visites à la famille) ( % des femmes âgées de 15 à 49 ans)</t>
  </si>
  <si>
    <t>Femmes qui croient qu'un mari a raison de battre sa femme (l'une des cinq raisons) ( %)</t>
  </si>
  <si>
    <t>Femmes qui croient qu'un mari a raison de battre sa femme lorsqu'elle se dispute avec lui ( %)</t>
  </si>
  <si>
    <t>Femmes qui pensent qu'un mari a raison de battre sa femme lorsqu'elle brûle la nourriture ( %)</t>
  </si>
  <si>
    <t>Femmes qui croient qu'un mari a raison de battre sa femme lorsqu'elle sort sans le lui dire ( %)</t>
  </si>
  <si>
    <t>Femmes qui pensent qu'un mari a raison de battre sa femme lorsqu'elle néglige les enfants ( %)</t>
  </si>
  <si>
    <t>Femmes qui pensent qu'un mari a raison de battre sa femme lorsqu'elle refuse d'avoir des rapports sexuels avec lui ( %)</t>
  </si>
  <si>
    <t>Femmes mariées pour la première fois à l'âge de 15 ans ( % des femmes âgées de 20 à 24 ans)</t>
  </si>
  <si>
    <t>Femmes mariées pour la première fois à l'âge de 18 ans ( % des femmes âgées de 20 à 24 ans)</t>
  </si>
  <si>
    <t>Part des femmes dans la population âgée de 15 ans et + vivant avec le VIH ( %)</t>
  </si>
  <si>
    <t>Jeunes (âgés de 15 à 24 ans) nouvellement infectés par le VIH</t>
  </si>
  <si>
    <t>Indicateur</t>
  </si>
  <si>
    <t>Liens</t>
  </si>
  <si>
    <t>https://donnees.banquemondiale.org/indicateur/EG.CFT.ACCS.ZS?locations=CI</t>
  </si>
  <si>
    <t>https://donnees.banquemondiale.org/indicateur/EG.CFT.ACCS.RU.ZS?locations=CI</t>
  </si>
  <si>
    <t>https://donnees.banquemondiale.org/indicateur/EG.CFT.ACCS.UR.ZS?locations=CI</t>
  </si>
  <si>
    <t>https://donnees.banquemondiale.org/indicateur/EG.ELC.ACCS.ZS?locations=CI</t>
  </si>
  <si>
    <t>https://donnees.banquemondiale.org/indicateur/EG.ELC.ACCS.RU.ZS?locations=CI</t>
  </si>
  <si>
    <t>https://donnees.banquemondiale.org/indicateur/EG.ELC.ACCS.UR.ZS?locations=CI</t>
  </si>
  <si>
    <t>https://donnees.banquemondiale.org/indicateur/FX.OWN.TOTL.ZS?locations=CI</t>
  </si>
  <si>
    <t>https://donnees.banquemondiale.org/indicateur/FX.OWN.TOTL.FE.ZS?locations=CI</t>
  </si>
  <si>
    <t>https://donnees.banquemondiale.org/indicateur/FX.OWN.TOTL.MA.ZS?locations=CI</t>
  </si>
  <si>
    <t>https://donnees.banquemondiale.org/indicateur/FX.OWN.TOTL.OL.ZS?locations=CI</t>
  </si>
  <si>
    <t>https://donnees.banquemondiale.org/indicateur/FX.OWN.TOTL.40.ZS?locations=CI</t>
  </si>
  <si>
    <t>https://donnees.banquemondiale.org/indicateur/FX.OWN.TOTL.PL.ZS?locations=CI</t>
  </si>
  <si>
    <t>https://donnees.banquemondiale.org/indicateur/FX.OWN.TOTL.60.ZS?locations=CI</t>
  </si>
  <si>
    <t>https://donnees.banquemondiale.org/indicateur/FX.OWN.TOTL.SO.ZS?locations=CI</t>
  </si>
  <si>
    <t>https://donnees.banquemondiale.org/indicateur/FX.OWN.TOTL.YG.ZS?locations=CI</t>
  </si>
  <si>
    <t>https://donnees.banquemondiale.org/indicateur/per_si_allsi.adq_pop_tot?locations=CI</t>
  </si>
  <si>
    <t>https://donnees.banquemondiale.org/indicateur/per_allsp.adq_pop_tot?locations=CI</t>
  </si>
  <si>
    <t>https://donnees.banquemondiale.org/indicateur/per_sa_allsa.adq_pop_tot?locations=CI</t>
  </si>
  <si>
    <t>https://donnees.banquemondiale.org/indicateur/per_lm_alllm.adq_pop_tot?locations=CI</t>
  </si>
  <si>
    <t>https://donnees.banquemondiale.org/indicateur/SE.PRM.TENR?locations=CI</t>
  </si>
  <si>
    <t>https://donnees.banquemondiale.org/indicateur/SE.PRM.TENR.FE?locations=CI</t>
  </si>
  <si>
    <t>https://donnees.banquemondiale.org/indicateur/SE.PRM.TENR.MA?locations=CI</t>
  </si>
  <si>
    <t>https://donnees.banquemondiale.org/indicateur/NY.ADJ.NNTY.KD.ZG?locations=CI</t>
  </si>
  <si>
    <t>https://donnees.banquemondiale.org/indicateur/NY.ADJ.NNTY.KD?locations=CI</t>
  </si>
  <si>
    <t>https://donnees.banquemondiale.org/indicateur/NY.ADJ.NNTY.CD?locations=CI</t>
  </si>
  <si>
    <t>https://donnees.banquemondiale.org/indicateur/NY.ADJ.NNTY.PC.KD.ZG?locations=CI</t>
  </si>
  <si>
    <t>https://donnees.banquemondiale.org/indicateur/NY.ADJ.NNTY.PC.KD?locations=CI</t>
  </si>
  <si>
    <t>https://donnees.banquemondiale.org/indicateur/NY.ADJ.NNTY.PC.CD?locations=CI</t>
  </si>
  <si>
    <t>https://donnees.banquemondiale.org/indicateur/NY.ADJ.SVNX.GN.ZS?locations=CI</t>
  </si>
  <si>
    <t>https://donnees.banquemondiale.org/indicateur/NY.ADJ.SVNX.CD?locations=CI</t>
  </si>
  <si>
    <t>https://donnees.banquemondiale.org/indicateur/NY.ADJ.SVNG.GN.ZS?locations=CI</t>
  </si>
  <si>
    <t>https://donnees.banquemondiale.org/indicateur/NY.ADJ.SVNG.CD?locations=CI</t>
  </si>
  <si>
    <t>https://donnees.banquemondiale.org/indicateur/NY.ADJ.DCO2.GN.ZS?locations=CI</t>
  </si>
  <si>
    <t>https://donnees.banquemondiale.org/indicateur/NY.ADJ.DCO2.CD?locations=CI</t>
  </si>
  <si>
    <t>https://donnees.banquemondiale.org/indicateur/NY.ADJ.DKAP.GN.ZS?locations=CI</t>
  </si>
  <si>
    <t>https://donnees.banquemondiale.org/indicateur/NY.ADJ.DKAP.CD?locations=CI</t>
  </si>
  <si>
    <t>https://donnees.banquemondiale.org/indicateur/NY.ADJ.AEDU.GN.ZS?locations=CI</t>
  </si>
  <si>
    <t>https://donnees.banquemondiale.org/indicateur/NY.ADJ.AEDU.CD?locations=CI</t>
  </si>
  <si>
    <t>https://donnees.banquemondiale.org/indicateur/NY.ADJ.DNGY.GN.ZS?locations=CI</t>
  </si>
  <si>
    <t>https://donnees.banquemondiale.org/indicateur/NY.ADJ.DNGY.CD?locations=CI</t>
  </si>
  <si>
    <t>https://donnees.banquemondiale.org/indicateur/NY.ADJ.ICTR.GN.ZS?locations=CI</t>
  </si>
  <si>
    <t>https://donnees.banquemondiale.org/indicateur/NY.ADJ.DMIN.GN.ZS?locations=CI</t>
  </si>
  <si>
    <t>https://donnees.banquemondiale.org/indicateur/NY.ADJ.DMIN.CD?locations=CI</t>
  </si>
  <si>
    <t>https://donnees.banquemondiale.org/indicateur/NY.ADJ.DRES.GN.ZS?locations=CI</t>
  </si>
  <si>
    <t>https://donnees.banquemondiale.org/indicateur/NY.ADJ.DFOR.GN.ZS?locations=CI</t>
  </si>
  <si>
    <t>https://donnees.banquemondiale.org/indicateur/NY.ADJ.DFOR.CD?locations=CI</t>
  </si>
  <si>
    <t>https://donnees.banquemondiale.org/indicateur/NY.ADJ.NNAT.GN.ZS?locations=CI</t>
  </si>
  <si>
    <t>https://donnees.banquemondiale.org/indicateur/NY.ADJ.NNAT.CD?locations=CI</t>
  </si>
  <si>
    <t>https://donnees.banquemondiale.org/indicateur/NY.ADJ.DPEM.GN.ZS?locations=CI</t>
  </si>
  <si>
    <t>https://donnees.banquemondiale.org/indicateur/NY.ADJ.DPEM.CD?locations=CI</t>
  </si>
  <si>
    <t>https://donnees.banquemondiale.org/indicateur/SP.ADO.TFRT?locations=CI</t>
  </si>
  <si>
    <t>https://donnees.banquemondiale.org/indicateur/SE.SEC.UNER.LO.ZS?locations=CI</t>
  </si>
  <si>
    <t>https://donnees.banquemondiale.org/indicateur/SE.SEC.UNER.LO.FE.ZS?locations=CI</t>
  </si>
  <si>
    <t>https://donnees.banquemondiale.org/indicateur/SE.SEC.UNER.LO.MA.ZS?locations=CI</t>
  </si>
  <si>
    <t>https://donnees.banquemondiale.org/indicateur/SH.HIV.INCD.TL?locations=CI</t>
  </si>
  <si>
    <t>https://donnees.banquemondiale.org/indicateur/SH.HIV.INCD?locations=CI</t>
  </si>
  <si>
    <t>https://donnees.banquemondiale.org/indicateur/SP.POP.DPND?locations=CI</t>
  </si>
  <si>
    <t>https://donnees.banquemondiale.org/indicateur/SP.POP.DPND.OL?locations=CI</t>
  </si>
  <si>
    <t>https://donnees.banquemondiale.org/indicateur/SP.POP.DPND.YG?locations=CI</t>
  </si>
  <si>
    <t>https://donnees.banquemondiale.org/indicateur/AG.LND.IRIG.AG.ZS?locations=CI</t>
  </si>
  <si>
    <t>https://donnees.banquemondiale.org/indicateur/AG.LND.AGRI.ZS?locations=CI</t>
  </si>
  <si>
    <t>https://donnees.banquemondiale.org/indicateur/AG.LND.AGRI.K2?locations=CI</t>
  </si>
  <si>
    <t>https://donnees.banquemondiale.org/indicateur/TX.VAL.AGRI.ZS.UN?locations=CI</t>
  </si>
  <si>
    <t>https://donnees.banquemondiale.org/indicateur/TM.VAL.AGRI.ZS.UN?locations=CI</t>
  </si>
  <si>
    <t>https://donnees.banquemondiale.org/indicateur/NV.AGR.TOTL.ZS?locations=CI</t>
  </si>
  <si>
    <t>https://donnees.banquemondiale.org/indicateur/NV.AGR.TOTL.KD.ZG?locations=CI</t>
  </si>
  <si>
    <t>https://donnees.banquemondiale.org/indicateur/NV.AGR.TOTL.KD?locations=CI</t>
  </si>
  <si>
    <t>https://donnees.banquemondiale.org/indicateur/NV.AGR.TOTL.KN?locations=CI</t>
  </si>
  <si>
    <t>https://donnees.banquemondiale.org/indicateur/NV.AGR.TOTL.CN?locations=CI</t>
  </si>
  <si>
    <t>https://donnees.banquemondiale.org/indicateur/NV.AGR.TOTL.CD?locations=CI</t>
  </si>
  <si>
    <t>https://donnees.banquemondiale.org/indicateur/NV.AGR.EMPL.KD?locations=CI</t>
  </si>
  <si>
    <t>https://donnees.banquemondiale.org/indicateur/IS.AIR.GOOD.MT.K1?locations=CI</t>
  </si>
  <si>
    <t>https://donnees.banquemondiale.org/indicateur/IS.AIR.PSGR?locations=CI</t>
  </si>
  <si>
    <t>https://donnees.banquemondiale.org/indicateur/IS.AIR.DPRT?locations=CI</t>
  </si>
  <si>
    <t>https://donnees.banquemondiale.org/indicateur/EG.USE.COMM.CL.ZS?locations=CI</t>
  </si>
  <si>
    <t>https://donnees.banquemondiale.org/indicateur/ER.H2O.FWAG.ZS?locations=CI</t>
  </si>
  <si>
    <t>https://donnees.banquemondiale.org/indicateur/ER.H2O.FWDM.ZS?locations=CI</t>
  </si>
  <si>
    <t>https://donnees.banquemondiale.org/indicateur/ER.H2O.FWIN.ZS?locations=CI</t>
  </si>
  <si>
    <t>https://donnees.banquemondiale.org/indicateur/ER.H2O.FWTL.ZS?locations=CI</t>
  </si>
  <si>
    <t>https://donnees.banquemondiale.org/indicateur/ER.H2O.FWTL.K3?locations=CI</t>
  </si>
  <si>
    <t>https://donnees.banquemondiale.org/indicateur/SI.SPR.PC40.ZG?locations=CI</t>
  </si>
  <si>
    <t>https://donnees.banquemondiale.org/indicateur/SI.SPR.PCAP.ZG?locations=CI</t>
  </si>
  <si>
    <t>https://donnees.banquemondiale.org/indicateur/SH.HIV.ARTC.ZS?locations=CI</t>
  </si>
  <si>
    <t>https://donnees.banquemondiale.org/indicateur/SH.HIV.PMTC.ZS?locations=CI</t>
  </si>
  <si>
    <t>https://donnees.banquemondiale.org/indicateur/ER.FSH.AQUA.MT?locations=CI</t>
  </si>
  <si>
    <t>https://donnees.banquemondiale.org/indicateur/AG.LND.ARBL.ZS?locations=CI</t>
  </si>
  <si>
    <t>https://donnees.banquemondiale.org/indicateur/AG.LND.ARBL.HA.PC?locations=CI</t>
  </si>
  <si>
    <t>https://donnees.banquemondiale.org/indicateur/AG.LND.ARBL.HA?locations=CI</t>
  </si>
  <si>
    <t>https://donnees.banquemondiale.org/indicateur/SH.STA.ARIC.ZS?locations=CI</t>
  </si>
  <si>
    <t>https://donnees.banquemondiale.org/indicateur/MS.MIL.TOTL.TF.ZS?locations=CI</t>
  </si>
  <si>
    <t>https://donnees.banquemondiale.org/indicateur/MS.MIL.TOTL.P1?locations=CI</t>
  </si>
  <si>
    <t>https://donnees.banquemondiale.org/indicateur/MS.MIL.XPRT.KD?locations=CI</t>
  </si>
  <si>
    <t>https://donnees.banquemondiale.org/indicateur/MS.MIL.MPRT.KD?locations=CI</t>
  </si>
  <si>
    <t>https://donnees.banquemondiale.org/indicateur/SM.POP.ASYS.EA?locations=CI</t>
  </si>
  <si>
    <t>https://donnees.banquemondiale.org/indicateur/SM.POP.ASYS.EO?locations=CI</t>
  </si>
  <si>
    <t>https://donnees.banquemondiale.org/indicateur/FB.ATM.TOTL.P5?locations=CI</t>
  </si>
  <si>
    <t>https://donnees.banquemondiale.org/indicateur/AG.LND.PRCP.MM?locations=CI</t>
  </si>
  <si>
    <t>https://donnees.banquemondiale.org/indicateur/IC.CUS.DURS.EX?locations=CI</t>
  </si>
  <si>
    <t>https://donnees.banquemondiale.org/indicateur/IC.CUS.DURS.IM?locations=CI</t>
  </si>
  <si>
    <t>https://donnees.banquemondiale.org/indicateur/SI.RMT.COST.OB.ZS?locations=CI</t>
  </si>
  <si>
    <t>https://donnees.banquemondiale.org/indicateur/SI.RMT.COST.IB.ZS?locations=CI</t>
  </si>
  <si>
    <t>https://donnees.banquemondiale.org/indicateur/SL.TLF.0714.SW.TM?locations=CI</t>
  </si>
  <si>
    <t>https://donnees.banquemondiale.org/indicateur/SL.TLF.0714.SW.FE.TM?locations=CI</t>
  </si>
  <si>
    <t>https://donnees.banquemondiale.org/indicateur/SL.TLF.0714.SW.MA.TM?locations=CI</t>
  </si>
  <si>
    <t>https://donnees.banquemondiale.org/indicateur/SL.TLF.0714.WK.TM?locations=CI</t>
  </si>
  <si>
    <t>https://donnees.banquemondiale.org/indicateur/SL.TLF.0714.WK.FE.TM?locations=CI</t>
  </si>
  <si>
    <t>https://donnees.banquemondiale.org/indicateur/SL.TLF.0714.WK.MA.TM?locations=CI</t>
  </si>
  <si>
    <t>https://donnees.banquemondiale.org/indicateur/FB.BNK.CAPA.ZS?locations=CI</t>
  </si>
  <si>
    <t>https://donnees.banquemondiale.org/indicateur/FD.RES.LIQU.AS.ZS?locations=CI</t>
  </si>
  <si>
    <t>https://donnees.banquemondiale.org/indicateur/FB.AST.NPER.ZS?locations=CI</t>
  </si>
  <si>
    <t>https://donnees.banquemondiale.org/indicateur/VC.BTL.DETH?locations=CI</t>
  </si>
  <si>
    <t>https://donnees.banquemondiale.org/indicateur/per_si_allsi.ben_q1_tot?locations=CI</t>
  </si>
  <si>
    <t>https://donnees.banquemondiale.org/indicateur/per_allsp.ben_q1_tot?locations=CI</t>
  </si>
  <si>
    <t>https://donnees.banquemondiale.org/indicateur/per_sa_allsa.ben_q1_tot?locations=CI</t>
  </si>
  <si>
    <t>https://donnees.banquemondiale.org/indicateur/per_lm_alllm.ben_q1_tot?locations=CI</t>
  </si>
  <si>
    <t>https://donnees.banquemondiale.org/indicateur/TM.TAX.MRCH.BC.ZS?locations=CI</t>
  </si>
  <si>
    <t>https://donnees.banquemondiale.org/indicateur/TM.TAX.MANF.BC.ZS?locations=CI</t>
  </si>
  <si>
    <t>https://donnees.banquemondiale.org/indicateur/TM.TAX.TCOM.BC.ZS?locations=CI</t>
  </si>
  <si>
    <t>https://donnees.banquemondiale.org/indicateur/EN.BIR.THRD.NO?locations=CI</t>
  </si>
  <si>
    <t>https://donnees.banquemondiale.org/indicateur/SP.DYN.CBRT.IN?locations=CI</t>
  </si>
  <si>
    <t>https://donnees.banquemondiale.org/indicateur/SH.STA.BRTC.ZS?locations=CI</t>
  </si>
  <si>
    <t>https://donnees.banquemondiale.org/indicateur/FB.CBK.BRWR.P3?locations=CI</t>
  </si>
  <si>
    <t>https://donnees.banquemondiale.org/indicateur/TM.TAX.MRCH.BR.ZS?locations=CI</t>
  </si>
  <si>
    <t>https://donnees.banquemondiale.org/indicateur/TM.TAX.MANF.BR.ZS?locations=CI</t>
  </si>
  <si>
    <t>https://donnees.banquemondiale.org/indicateur/TM.TAX.TCOM.BR.ZS?locations=CI</t>
  </si>
  <si>
    <t>https://donnees.banquemondiale.org/indicateur/IC.BRE.BE.P1?locations=CI</t>
  </si>
  <si>
    <t>https://donnees.banquemondiale.org/indicateur/IC.BRE.BE.P2?locations=CI</t>
  </si>
  <si>
    <t>https://donnees.banquemondiale.org/indicateur/IC.BRE.BE.P3?locations=CI</t>
  </si>
  <si>
    <t>https://donnees.banquemondiale.org/indicateur/IC.BRE.BE.OS?locations=CI</t>
  </si>
  <si>
    <t>https://donnees.banquemondiale.org/indicateur/IC.BRE.BI.P1?locations=CI</t>
  </si>
  <si>
    <t>https://donnees.banquemondiale.org/indicateur/IC.BRE.BI.P2?locations=CI</t>
  </si>
  <si>
    <t>https://donnees.banquemondiale.org/indicateur/IC.BRE.BI.P3?locations=CI</t>
  </si>
  <si>
    <t>https://donnees.banquemondiale.org/indicateur/IC.BRE.BI.OS?locations=CI</t>
  </si>
  <si>
    <t>https://donnees.banquemondiale.org/indicateur/IC.BRE.BL.P1?locations=CI</t>
  </si>
  <si>
    <t>https://donnees.banquemondiale.org/indicateur/IC.BRE.BL.P2?locations=CI</t>
  </si>
  <si>
    <t>https://donnees.banquemondiale.org/indicateur/IC.BRE.BL.P3?locations=CI</t>
  </si>
  <si>
    <t>https://donnees.banquemondiale.org/indicateur/IC.BRE.BL.OS?locations=CI</t>
  </si>
  <si>
    <t>https://donnees.banquemondiale.org/indicateur/IC.BRE.DR.P1?locations=CI</t>
  </si>
  <si>
    <t>https://donnees.banquemondiale.org/indicateur/IC.BRE.DR.P2?locations=CI</t>
  </si>
  <si>
    <t>https://donnees.banquemondiale.org/indicateur/IC.BRE.DR.P3?locations=CI</t>
  </si>
  <si>
    <t>https://donnees.banquemondiale.org/indicateur/IC.BRE.DR.OS?locations=CI</t>
  </si>
  <si>
    <t>https://donnees.banquemondiale.org/indicateur/IC.BRE.FS.P1?locations=CI</t>
  </si>
  <si>
    <t>https://donnees.banquemondiale.org/indicateur/IC.BRE.FS.P2?locations=CI</t>
  </si>
  <si>
    <t>https://donnees.banquemondiale.org/indicateur/IC.BRE.FS.P3?locations=CI</t>
  </si>
  <si>
    <t>https://donnees.banquemondiale.org/indicateur/IC.BRE.FS.OS?locations=CI</t>
  </si>
  <si>
    <t>https://donnees.banquemondiale.org/indicateur/IC.BRE.IT.P1?locations=CI</t>
  </si>
  <si>
    <t>https://donnees.banquemondiale.org/indicateur/IC.BRE.IT.P2?locations=CI</t>
  </si>
  <si>
    <t>https://donnees.banquemondiale.org/indicateur/IC.BRE.IT.P3?locations=CI</t>
  </si>
  <si>
    <t>https://donnees.banquemondiale.org/indicateur/IC.BRE.IT.OS?locations=CI</t>
  </si>
  <si>
    <t>https://donnees.banquemondiale.org/indicateur/IC.BRE.LB.P1?locations=CI</t>
  </si>
  <si>
    <t>https://donnees.banquemondiale.org/indicateur/IC.BRE.LB.P2?locations=CI</t>
  </si>
  <si>
    <t>https://donnees.banquemondiale.org/indicateur/IC.BRE.LB.P3?locations=CI</t>
  </si>
  <si>
    <t>https://donnees.banquemondiale.org/indicateur/IC.BRE.LB.OS?locations=CI</t>
  </si>
  <si>
    <t>https://donnees.banquemondiale.org/indicateur/IC.BRE.MC.P1?locations=CI</t>
  </si>
  <si>
    <t>https://donnees.banquemondiale.org/indicateur/IC.BRE.MC.P2?locations=CI</t>
  </si>
  <si>
    <t>https://donnees.banquemondiale.org/indicateur/IC.BRE.MC.P3?locations=CI</t>
  </si>
  <si>
    <t>https://donnees.banquemondiale.org/indicateur/IC.BRE.MC.OS?locations=CI</t>
  </si>
  <si>
    <t>https://donnees.banquemondiale.org/indicateur/IC.BRE.P1.RF?locations=CI</t>
  </si>
  <si>
    <t>https://donnees.banquemondiale.org/indicateur/IC.BRE.P2.PS?locations=CI</t>
  </si>
  <si>
    <t>https://donnees.banquemondiale.org/indicateur/IC.BRE.P3.OE?locations=CI</t>
  </si>
  <si>
    <t>https://donnees.banquemondiale.org/indicateur/IC.BRE.TX.P1?locations=CI</t>
  </si>
  <si>
    <t>https://donnees.banquemondiale.org/indicateur/IC.BRE.TX.P2?locations=CI</t>
  </si>
  <si>
    <t>https://donnees.banquemondiale.org/indicateur/IC.BRE.TX.P3?locations=CI</t>
  </si>
  <si>
    <t>https://donnees.banquemondiale.org/indicateur/IC.BRE.TX.OS?locations=CI</t>
  </si>
  <si>
    <t>https://donnees.banquemondiale.org/indicateur/IC.BRE.US.P1?locations=CI</t>
  </si>
  <si>
    <t>https://donnees.banquemondiale.org/indicateur/IC.BRE.US.P2?locations=CI</t>
  </si>
  <si>
    <t>https://donnees.banquemondiale.org/indicateur/IC.BRE.US.P3?locations=CI</t>
  </si>
  <si>
    <t>https://donnees.banquemondiale.org/indicateur/IC.BRE.US.OS?locations=CI</t>
  </si>
  <si>
    <t>https://donnees.banquemondiale.org/indicateur/IC.FRM.BRIB.ZS?locations=CI</t>
  </si>
  <si>
    <t>https://donnees.banquemondiale.org/indicateur/FM.LBL.BMNY.GD.ZS?locations=CI</t>
  </si>
  <si>
    <t>https://donnees.banquemondiale.org/indicateur/FM.LBL.BMNY.CN?locations=CI</t>
  </si>
  <si>
    <t>https://donnees.banquemondiale.org/indicateur/FM.LBL.BMNY.ZG?locations=CI</t>
  </si>
  <si>
    <t>https://donnees.banquemondiale.org/indicateur/FM.LBL.BMNY.IR.ZS?locations=CI</t>
  </si>
  <si>
    <t>https://donnees.banquemondiale.org/indicateur/ER.FSH.CAPT.MT?locations=CI</t>
  </si>
  <si>
    <t>https://donnees.banquemondiale.org/indicateur/EN.GHG.CO2.ZG.AR5?locations=CI</t>
  </si>
  <si>
    <t>https://donnees.banquemondiale.org/indicateur/EN.GHG.CO2.MT.CE.AR5?locations=CI</t>
  </si>
  <si>
    <t>https://donnees.banquemondiale.org/indicateur/EN.GHG.CO2.PC.CE.AR5?locations=CI</t>
  </si>
  <si>
    <t>https://donnees.banquemondiale.org/indicateur/EN.GHG.CO2.AG.MT.CE.AR5?locations=CI</t>
  </si>
  <si>
    <t>https://donnees.banquemondiale.org/indicateur/EN.GHG.CO2.BU.MT.CE.AR5?locations=CI</t>
  </si>
  <si>
    <t>https://donnees.banquemondiale.org/indicateur/EN.GHG.CO2.FE.MT.CE.AR5?locations=CI</t>
  </si>
  <si>
    <t>https://donnees.banquemondiale.org/indicateur/EN.GHG.CO2.IC.MT.CE.AR5?locations=CI</t>
  </si>
  <si>
    <t>https://donnees.banquemondiale.org/indicateur/EN.GHG.CO2.IP.MT.CE.AR5?locations=CI</t>
  </si>
  <si>
    <t>https://donnees.banquemondiale.org/indicateur/EN.GHG.CO2.PI.MT.CE.AR5?locations=CI</t>
  </si>
  <si>
    <t>https://donnees.banquemondiale.org/indicateur/EN.GHG.CO2.TR.MT.CE.AR5?locations=CI</t>
  </si>
  <si>
    <t>https://donnees.banquemondiale.org/indicateur/EN.GHG.CO2.WA.MT.CE.AR5?locations=CI</t>
  </si>
  <si>
    <t>https://donnees.banquemondiale.org/indicateur/EN.GHG.CO2.LU.DF.MT.CE.AR5?locations=CI</t>
  </si>
  <si>
    <t>https://donnees.banquemondiale.org/indicateur/EN.GHG.CO2.LU.FL.MT.CE.AR5?locations=CI</t>
  </si>
  <si>
    <t>https://donnees.banquemondiale.org/indicateur/EN.GHG.CO2.LU.OS.MT.CE.AR5?locations=CI</t>
  </si>
  <si>
    <t>https://donnees.banquemondiale.org/indicateur/EN.GHG.CO2.LU.OL.MT.CE.AR5?locations=CI</t>
  </si>
  <si>
    <t>https://donnees.banquemondiale.org/indicateur/EN.GHG.CO2.LU.MT.CE.AR5?locations=CI</t>
  </si>
  <si>
    <t>https://donnees.banquemondiale.org/indicateur/EN.GHG.CO2.RT.GDP.PP.KD?locations=CI</t>
  </si>
  <si>
    <t>https://donnees.banquemondiale.org/indicateur/EN.GHG.CO2.RT.GDP.KD?locations=CI</t>
  </si>
  <si>
    <t>https://donnees.banquemondiale.org/indicateur/SH.DTH.COMM.ZS?locations=CI</t>
  </si>
  <si>
    <t>https://donnees.banquemondiale.org/indicateur/SH.DTH.INJR.ZS?locations=CI</t>
  </si>
  <si>
    <t>https://donnees.banquemondiale.org/indicateur/SH.DTH.NCOM.ZS?locations=CI</t>
  </si>
  <si>
    <t>https://donnees.banquemondiale.org/indicateur/GC.DOD.TOTL.GD.ZS?locations=CI</t>
  </si>
  <si>
    <t>https://donnees.banquemondiale.org/indicateur/GC.DOD.TOTL.CN?locations=CI</t>
  </si>
  <si>
    <t>https://donnees.banquemondiale.org/indicateur/AG.PRD.CREL.MT?locations=CI</t>
  </si>
  <si>
    <t>https://donnees.banquemondiale.org/indicateur/AG.YLD.CREL.KG?locations=CI</t>
  </si>
  <si>
    <t>https://donnees.banquemondiale.org/indicateur/NE.GDI.STKB.KN?locations=CI</t>
  </si>
  <si>
    <t>https://donnees.banquemondiale.org/indicateur/NE.GDI.STKB.CN?locations=CI</t>
  </si>
  <si>
    <t>https://donnees.banquemondiale.org/indicateur/NE.GDI.STKB.CD?locations=CI</t>
  </si>
  <si>
    <t>https://donnees.banquemondiale.org/indicateur/BM.GSR.ROYL.CD?locations=CI</t>
  </si>
  <si>
    <t>https://donnees.banquemondiale.org/indicateur/BX.GSR.ROYL.CD?locations=CI</t>
  </si>
  <si>
    <t>https://donnees.banquemondiale.org/indicateur/NV.MNF.CHEM.ZS.UN?locations=CI</t>
  </si>
  <si>
    <t>https://donnees.banquemondiale.org/indicateur/SL.AGR.0714.ZS?locations=CI</t>
  </si>
  <si>
    <t>https://donnees.banquemondiale.org/indicateur/SL.AGR.0714.FE.ZS?locations=CI</t>
  </si>
  <si>
    <t>https://donnees.banquemondiale.org/indicateur/SL.AGR.0714.MA.ZS?locations=CI</t>
  </si>
  <si>
    <t>https://donnees.banquemondiale.org/indicateur/SL.MNF.0714.ZS?locations=CI</t>
  </si>
  <si>
    <t>https://donnees.banquemondiale.org/indicateur/SL.MNF.0714.FE.ZS?locations=CI</t>
  </si>
  <si>
    <t>https://donnees.banquemondiale.org/indicateur/SL.MNF.0714.MA.ZS?locations=CI</t>
  </si>
  <si>
    <t>https://donnees.banquemondiale.org/indicateur/SL.SRV.0714.ZS?locations=CI</t>
  </si>
  <si>
    <t>https://donnees.banquemondiale.org/indicateur/SL.SRV.0714.FE.ZS?locations=CI</t>
  </si>
  <si>
    <t>https://donnees.banquemondiale.org/indicateur/SL.SRV.0714.MA.ZS?locations=CI</t>
  </si>
  <si>
    <t>https://donnees.banquemondiale.org/indicateur/SH.HIV.0014?locations=CI</t>
  </si>
  <si>
    <t>https://donnees.banquemondiale.org/indicateur/SH.HIV.INCD.14?locations=CI</t>
  </si>
  <si>
    <t>https://donnees.banquemondiale.org/indicateur/SL.TLF.0714.FE.ZS?locations=CI</t>
  </si>
  <si>
    <t>https://donnees.banquemondiale.org/indicateur/SL.TLF.0714.MA.ZS?locations=CI</t>
  </si>
  <si>
    <t>https://donnees.banquemondiale.org/indicateur/SL.SLF.0714.ZS?locations=CI</t>
  </si>
  <si>
    <t>https://donnees.banquemondiale.org/indicateur/SL.SLF.0714.FE.ZS?locations=CI</t>
  </si>
  <si>
    <t>https://donnees.banquemondiale.org/indicateur/SL.SLF.0714.MA.ZS?locations=CI</t>
  </si>
  <si>
    <t>https://donnees.banquemondiale.org/indicateur/SL.TLF.0714.SW.ZS?locations=CI</t>
  </si>
  <si>
    <t>https://donnees.banquemondiale.org/indicateur/SL.TLF.0714.SW.FE.ZS?locations=CI</t>
  </si>
  <si>
    <t>https://donnees.banquemondiale.org/indicateur/SL.TLF.0714.SW.MA.ZS?locations=CI</t>
  </si>
  <si>
    <t>https://donnees.banquemondiale.org/indicateur/SL.TLF.0714.ZS?locations=CI</t>
  </si>
  <si>
    <t>https://donnees.banquemondiale.org/indicateur/SL.FAM.0714.ZS?locations=CI</t>
  </si>
  <si>
    <t>https://donnees.banquemondiale.org/indicateur/SL.FAM.0714.FE.ZS?locations=CI</t>
  </si>
  <si>
    <t>https://donnees.banquemondiale.org/indicateur/SL.FAM.0714.MA.ZS?locations=CI</t>
  </si>
  <si>
    <t>https://donnees.banquemondiale.org/indicateur/SL.WAG.0714.ZS?locations=CI</t>
  </si>
  <si>
    <t>https://donnees.banquemondiale.org/indicateur/SL.WAG.0714.FE.ZS?locations=CI</t>
  </si>
  <si>
    <t>https://donnees.banquemondiale.org/indicateur/SL.WAG.0714.MA.ZS?locations=CI</t>
  </si>
  <si>
    <t>https://donnees.banquemondiale.org/indicateur/SL.TLF.0714.WK.ZS?locations=CI</t>
  </si>
  <si>
    <t>https://donnees.banquemondiale.org/indicateur/SL.TLF.0714.WK.FE.ZS?locations=CI</t>
  </si>
  <si>
    <t>https://donnees.banquemondiale.org/indicateur/SL.TLF.0714.WK.MA.ZS?locations=CI</t>
  </si>
  <si>
    <t>https://donnees.banquemondiale.org/indicateur/SE.PRM.UNER.ZS?locations=CI</t>
  </si>
  <si>
    <t>https://donnees.banquemondiale.org/indicateur/SE.PRM.UNER.FE.ZS?locations=CI</t>
  </si>
  <si>
    <t>https://donnees.banquemondiale.org/indicateur/SE.PRM.UNER.MA.ZS?locations=CI</t>
  </si>
  <si>
    <t>https://donnees.banquemondiale.org/indicateur/SE.PRM.UNER?locations=CI</t>
  </si>
  <si>
    <t>https://donnees.banquemondiale.org/indicateur/SE.PRM.UNER.FE?locations=CI</t>
  </si>
  <si>
    <t>https://donnees.banquemondiale.org/indicateur/SE.PRM.UNER.MA?locations=CI</t>
  </si>
  <si>
    <t>https://donnees.banquemondiale.org/indicateur/SH.MLR.TRET.ZS?locations=CI</t>
  </si>
  <si>
    <t>https://donnees.banquemondiale.org/indicateur/FM.AST.CGOV.ZG.M3?locations=CI</t>
  </si>
  <si>
    <t>https://donnees.banquemondiale.org/indicateur/FS.AST.CGOV.GD.ZS?locations=CI</t>
  </si>
  <si>
    <t>https://donnees.banquemondiale.org/indicateur/FS.AST.DOMO.GD.ZS?locations=CI</t>
  </si>
  <si>
    <t>https://donnees.banquemondiale.org/indicateur/FM.AST.DOMO.ZG.M3?locations=CI</t>
  </si>
  <si>
    <t>https://donnees.banquemondiale.org/indicateur/FM.AST.PRVT.ZG.M3?locations=CI</t>
  </si>
  <si>
    <t>https://donnees.banquemondiale.org/indicateur/NY.GDP.COAL.RT.ZS?locations=CI</t>
  </si>
  <si>
    <t>https://donnees.banquemondiale.org/indicateur/EG.USE.CRNW.ZS?locations=CI</t>
  </si>
  <si>
    <t>https://donnees.banquemondiale.org/indicateur/FB.CBK.BRCH.P5?locations=CI</t>
  </si>
  <si>
    <t>https://donnees.banquemondiale.org/indicateur/DT.NFL.PCBO.CD?locations=CI</t>
  </si>
  <si>
    <t>https://donnees.banquemondiale.org/indicateur/TX.VAL.SERV.CD.WT?locations=CI</t>
  </si>
  <si>
    <t>https://donnees.banquemondiale.org/indicateur/TM.VAL.SERV.CD.WT?locations=CI</t>
  </si>
  <si>
    <t>https://donnees.banquemondiale.org/indicateur/BX.GSR.CMCP.ZS?locations=CI</t>
  </si>
  <si>
    <t>https://donnees.banquemondiale.org/indicateur/BM.GSR.CMCP.ZS?locations=CI</t>
  </si>
  <si>
    <t>https://donnees.banquemondiale.org/indicateur/SH.MED.CMHW.P3?locations=CI</t>
  </si>
  <si>
    <t>https://donnees.banquemondiale.org/indicateur/GC.XPN.COMP.ZS?locations=CI</t>
  </si>
  <si>
    <t>https://donnees.banquemondiale.org/indicateur/GC.XPN.COMP.CN?locations=CI</t>
  </si>
  <si>
    <t>https://donnees.banquemondiale.org/indicateur/SP.REG.BRTH.ZS?locations=CI</t>
  </si>
  <si>
    <t>https://donnees.banquemondiale.org/indicateur/SP.REG.BRTH.FE.ZS?locations=CI</t>
  </si>
  <si>
    <t>https://donnees.banquemondiale.org/indicateur/SP.REG.BRTH.MA.ZS?locations=CI</t>
  </si>
  <si>
    <t>https://donnees.banquemondiale.org/indicateur/SP.REG.BRTH.RU.ZS?locations=CI</t>
  </si>
  <si>
    <t>https://donnees.banquemondiale.org/indicateur/SP.REG.BRTH.UR.ZS?locations=CI</t>
  </si>
  <si>
    <t>https://donnees.banquemondiale.org/indicateur/SP.REG.DTHS.ZS?locations=CI</t>
  </si>
  <si>
    <t>https://donnees.banquemondiale.org/indicateur/SE.COM.DURS?locations=CI</t>
  </si>
  <si>
    <t>https://donnees.banquemondiale.org/indicateur/TX.VAL.OTHR.ZS.WT?locations=CI</t>
  </si>
  <si>
    <t>https://donnees.banquemondiale.org/indicateur/TM.VAL.OTHR.ZS.WT?locations=CI</t>
  </si>
  <si>
    <t>https://donnees.banquemondiale.org/indicateur/SH.CON.1524.FE.ZS?locations=CI</t>
  </si>
  <si>
    <t>https://donnees.banquemondiale.org/indicateur/SH.CON.1524.MA.ZS?locations=CI</t>
  </si>
  <si>
    <t>https://donnees.banquemondiale.org/indicateur/FP.CPI.TOTL?locations=CI</t>
  </si>
  <si>
    <t>https://donnees.banquemondiale.org/indicateur/SN.ITK.SALT.ZS?locations=CI</t>
  </si>
  <si>
    <t>https://donnees.banquemondiale.org/indicateur/IS.SHP.GOOD.TU?locations=CI</t>
  </si>
  <si>
    <t>https://donnees.banquemondiale.org/indicateur/SP.DYN.CONU.ZS?locations=CI</t>
  </si>
  <si>
    <t>https://donnees.banquemondiale.org/indicateur/SP.DYN.CONM.ZS?locations=CI</t>
  </si>
  <si>
    <t>https://donnees.banquemondiale.org/indicateur/SL.FAM.WORK.FE.ZS?locations=CI</t>
  </si>
  <si>
    <t>https://donnees.banquemondiale.org/indicateur/SL.FAM.WORK.MA.ZS?locations=CI</t>
  </si>
  <si>
    <t>https://donnees.banquemondiale.org/indicateur/SL.FAM.WORK.ZS?locations=CI</t>
  </si>
  <si>
    <t>https://donnees.banquemondiale.org/indicateur/CC.EST?locations=CI</t>
  </si>
  <si>
    <t>https://donnees.banquemondiale.org/indicateur/CC.NO.SRC?locations=CI</t>
  </si>
  <si>
    <t>https://donnees.banquemondiale.org/indicateur/CC.PER.RNK?locations=CI</t>
  </si>
  <si>
    <t>https://donnees.banquemondiale.org/indicateur/CC.PER.RNK.LOWER?locations=CI</t>
  </si>
  <si>
    <t>https://donnees.banquemondiale.org/indicateur/CC.PER.RNK.UPPER?locations=CI</t>
  </si>
  <si>
    <t>https://donnees.banquemondiale.org/indicateur/CC.STD.ERR?locations=CI</t>
  </si>
  <si>
    <t>https://donnees.banquemondiale.org/indicateur/per_si_allsi.cov_pop_tot?locations=CI</t>
  </si>
  <si>
    <t>https://donnees.banquemondiale.org/indicateur/per_si_allsi.cov_q2_tot?locations=CI</t>
  </si>
  <si>
    <t>https://donnees.banquemondiale.org/indicateur/per_si_allsi.cov_q3_tot?locations=CI</t>
  </si>
  <si>
    <t>https://donnees.banquemondiale.org/indicateur/per_si_allsi.cov_q4_tot?locations=CI</t>
  </si>
  <si>
    <t>https://donnees.banquemondiale.org/indicateur/per_si_allsi.cov_q1_tot?locations=CI</t>
  </si>
  <si>
    <t>https://donnees.banquemondiale.org/indicateur/per_si_allsi.cov_q5_tot?locations=CI</t>
  </si>
  <si>
    <t>https://donnees.banquemondiale.org/indicateur/per_allsp.cov_pop_tot?locations=CI</t>
  </si>
  <si>
    <t>https://donnees.banquemondiale.org/indicateur/per_sa_allsa.cov_pop_tot?locations=CI</t>
  </si>
  <si>
    <t>https://donnees.banquemondiale.org/indicateur/per_sa_allsa.cov_q2_tot?locations=CI</t>
  </si>
  <si>
    <t>https://donnees.banquemondiale.org/indicateur/per_sa_allsa.cov_q3_tot?locations=CI</t>
  </si>
  <si>
    <t>https://donnees.banquemondiale.org/indicateur/per_sa_allsa.cov_q4_tot?locations=CI</t>
  </si>
  <si>
    <t>https://donnees.banquemondiale.org/indicateur/per_sa_allsa.cov_q1_tot?locations=CI</t>
  </si>
  <si>
    <t>https://donnees.banquemondiale.org/indicateur/per_sa_allsa.cov_q5_tot?locations=CI</t>
  </si>
  <si>
    <t>https://donnees.banquemondiale.org/indicateur/per_lm_alllm.cov_pop_tot?locations=CI</t>
  </si>
  <si>
    <t>https://donnees.banquemondiale.org/indicateur/per_lm_alllm.cov_q2_tot?locations=CI</t>
  </si>
  <si>
    <t>https://donnees.banquemondiale.org/indicateur/per_lm_alllm.cov_q3_tot?locations=CI</t>
  </si>
  <si>
    <t>https://donnees.banquemondiale.org/indicateur/per_lm_alllm.cov_q4_tot?locations=CI</t>
  </si>
  <si>
    <t>https://donnees.banquemondiale.org/indicateur/per_lm_alllm.cov_q1_tot?locations=CI</t>
  </si>
  <si>
    <t>https://donnees.banquemondiale.org/indicateur/per_lm_alllm.cov_q5_tot?locations=CI</t>
  </si>
  <si>
    <t>https://donnees.banquemondiale.org/indicateur/IQ.CPA.HRES.XQ?locations=CI</t>
  </si>
  <si>
    <t>https://donnees.banquemondiale.org/indicateur/IQ.CPA.BREG.XQ?locations=CI</t>
  </si>
  <si>
    <t>https://donnees.banquemondiale.org/indicateur/IQ.CPA.DEBT.XQ?locations=CI</t>
  </si>
  <si>
    <t>https://donnees.banquemondiale.org/indicateur/IQ.CPA.ECON.XQ?locations=CI</t>
  </si>
  <si>
    <t>https://donnees.banquemondiale.org/indicateur/IQ.CPA.REVN.XQ?locations=CI</t>
  </si>
  <si>
    <t>https://donnees.banquemondiale.org/indicateur/IQ.CPA.PRES.XQ?locations=CI</t>
  </si>
  <si>
    <t>https://donnees.banquemondiale.org/indicateur/IQ.CPA.FINS.XQ?locations=CI</t>
  </si>
  <si>
    <t>https://donnees.banquemondiale.org/indicateur/IQ.CPA.FISP.XQ?locations=CI</t>
  </si>
  <si>
    <t>https://donnees.banquemondiale.org/indicateur/IQ.CPA.GNDR.XQ?locations=CI</t>
  </si>
  <si>
    <t>https://donnees.banquemondiale.org/indicateur/IQ.CPA.MACR.XQ?locations=CI</t>
  </si>
  <si>
    <t>https://donnees.banquemondiale.org/indicateur/IQ.CPA.SOCI.XQ?locations=CI</t>
  </si>
  <si>
    <t>https://donnees.banquemondiale.org/indicateur/IQ.CPA.ENVR.XQ?locations=CI</t>
  </si>
  <si>
    <t>https://donnees.banquemondiale.org/indicateur/IQ.CPA.PROP.XQ?locations=CI</t>
  </si>
  <si>
    <t>https://donnees.banquemondiale.org/indicateur/IQ.CPA.PUBS.XQ?locations=CI</t>
  </si>
  <si>
    <t>https://donnees.banquemondiale.org/indicateur/IQ.CPA.FINQ.XQ?locations=CI</t>
  </si>
  <si>
    <t>https://donnees.banquemondiale.org/indicateur/IQ.CPA.PADM.XQ?locations=CI</t>
  </si>
  <si>
    <t>https://donnees.banquemondiale.org/indicateur/IQ.CPA.PROT.XQ?locations=CI</t>
  </si>
  <si>
    <t>https://donnees.banquemondiale.org/indicateur/IQ.CPA.STRC.XQ?locations=CI</t>
  </si>
  <si>
    <t>https://donnees.banquemondiale.org/indicateur/IQ.CPA.TRAD.XQ?locations=CI</t>
  </si>
  <si>
    <t>https://donnees.banquemondiale.org/indicateur/IQ.CPA.TRAN.XQ?locations=CI</t>
  </si>
  <si>
    <t>https://donnees.banquemondiale.org/indicateur/AG.PRD.CROP.XD?locations=CI</t>
  </si>
  <si>
    <t>https://donnees.banquemondiale.org/indicateur/BN.CAB.XOKA.GD.ZS?locations=CI</t>
  </si>
  <si>
    <t>https://donnees.banquemondiale.org/indicateur/BN.CAB.XOKA.CD?locations=CI</t>
  </si>
  <si>
    <t>https://donnees.banquemondiale.org/indicateur/SE.XPD.CPRM.ZS?locations=CI</t>
  </si>
  <si>
    <t>https://donnees.banquemondiale.org/indicateur/SE.XPD.CSEC.ZS?locations=CI</t>
  </si>
  <si>
    <t>https://donnees.banquemondiale.org/indicateur/SE.XPD.CTER.ZS?locations=CI</t>
  </si>
  <si>
    <t>https://donnees.banquemondiale.org/indicateur/SE.XPD.CTOT.ZS?locations=CI</t>
  </si>
  <si>
    <t>https://donnees.banquemondiale.org/indicateur/SH.XPD.CHEX.GD.ZS?locations=CI</t>
  </si>
  <si>
    <t>https://donnees.banquemondiale.org/indicateur/SH.XPD.CHEX.PC.CD?locations=CI</t>
  </si>
  <si>
    <t>https://donnees.banquemondiale.org/indicateur/SH.XPD.CHEX.PP.CD?locations=CI</t>
  </si>
  <si>
    <t>https://donnees.banquemondiale.org/indicateur/GC.TAX.IMPT.ZS?locations=CI</t>
  </si>
  <si>
    <t>https://donnees.banquemondiale.org/indicateur/GC.TAX.IMPT.CN?locations=CI</t>
  </si>
  <si>
    <t>https://donnees.banquemondiale.org/indicateur/SP.DYN.CDRT.IN?locations=CI</t>
  </si>
  <si>
    <t>https://donnees.banquemondiale.org/indicateur/DT.TDS.DPPF.XP.ZS?locations=CI</t>
  </si>
  <si>
    <t>https://donnees.banquemondiale.org/indicateur/DT.TDS.DPPG.CD?locations=CI</t>
  </si>
  <si>
    <t>https://donnees.banquemondiale.org/indicateur/DT.TDS.DECT.CD?locations=CI</t>
  </si>
  <si>
    <t>https://donnees.banquemondiale.org/indicateur/PA.NUS.ATLS?locations=CI</t>
  </si>
  <si>
    <t>https://donnees.banquemondiale.org/indicateur/SH.FPL.SATM.ZS?locations=CI</t>
  </si>
  <si>
    <t>https://donnees.banquemondiale.org/indicateur/FR.INR.DPST?locations=CI</t>
  </si>
  <si>
    <t>https://donnees.banquemondiale.org/indicateur/FB.CBK.DPTR.P3?locations=CI</t>
  </si>
  <si>
    <t>https://donnees.banquemondiale.org/indicateur/SH.STA.DIAB.ZS?locations=CI</t>
  </si>
  <si>
    <t>https://donnees.banquemondiale.org/indicateur/SH.STA.ORCF.ZS?locations=CI</t>
  </si>
  <si>
    <t>https://donnees.banquemondiale.org/indicateur/SH.STA.ORTH?locations=CI</t>
  </si>
  <si>
    <t>https://donnees.banquemondiale.org/indicateur/EN.CLC.DRSK.XQ?locations=CI</t>
  </si>
  <si>
    <t>https://donnees.banquemondiale.org/indicateur/NY.GDP.DISC.KN?locations=CI</t>
  </si>
  <si>
    <t>https://donnees.banquemondiale.org/indicateur/NY.GDP.DISC.CN?locations=CI</t>
  </si>
  <si>
    <t>https://donnees.banquemondiale.org/indicateur/FS.AST.DOMS.GD.ZS?locations=CI</t>
  </si>
  <si>
    <t>https://donnees.banquemondiale.org/indicateur/FS.AST.PRVT.GD.ZS?locations=CI</t>
  </si>
  <si>
    <t>https://donnees.banquemondiale.org/indicateur/FD.AST.PRVT.GD.ZS?locations=CI</t>
  </si>
  <si>
    <t>https://donnees.banquemondiale.org/indicateur/SH.XPD.GHED.CH.ZS?locations=CI</t>
  </si>
  <si>
    <t>https://donnees.banquemondiale.org/indicateur/SH.XPD.GHED.GD.ZS?locations=CI</t>
  </si>
  <si>
    <t>https://donnees.banquemondiale.org/indicateur/SH.XPD.GHED.GE.ZS?locations=CI</t>
  </si>
  <si>
    <t>https://donnees.banquemondiale.org/indicateur/SH.XPD.GHED.PC.CD?locations=CI</t>
  </si>
  <si>
    <t>https://donnees.banquemondiale.org/indicateur/SH.XPD.GHED.PP.CD?locations=CI</t>
  </si>
  <si>
    <t>https://donnees.banquemondiale.org/indicateur/SH.XPD.PVTD.CH.ZS?locations=CI</t>
  </si>
  <si>
    <t>https://donnees.banquemondiale.org/indicateur/SH.XPD.PVTD.PC.CD?locations=CI</t>
  </si>
  <si>
    <t>https://donnees.banquemondiale.org/indicateur/SH.XPD.PVTD.PP.CD?locations=CI</t>
  </si>
  <si>
    <t>https://donnees.banquemondiale.org/indicateur/EN.CLC.MDAT.ZS?locations=CI</t>
  </si>
  <si>
    <t>https://donnees.banquemondiale.org/indicateur/SE.TER.CUAT.BA.FE.ZS?locations=CI</t>
  </si>
  <si>
    <t>https://donnees.banquemondiale.org/indicateur/SE.TER.CUAT.BA.MA.ZS?locations=CI</t>
  </si>
  <si>
    <t>https://donnees.banquemondiale.org/indicateur/SE.TER.CUAT.BA.ZS?locations=CI</t>
  </si>
  <si>
    <t>https://donnees.banquemondiale.org/indicateur/SE.SEC.CUAT.LO.FE.ZS?locations=CI</t>
  </si>
  <si>
    <t>https://donnees.banquemondiale.org/indicateur/SE.SEC.CUAT.LO.MA.ZS?locations=CI</t>
  </si>
  <si>
    <t>https://donnees.banquemondiale.org/indicateur/SE.SEC.CUAT.LO.ZS?locations=CI</t>
  </si>
  <si>
    <t>https://donnees.banquemondiale.org/indicateur/SE.SEC.CUAT.PO.FE.ZS?locations=CI</t>
  </si>
  <si>
    <t>https://donnees.banquemondiale.org/indicateur/SE.SEC.CUAT.PO.MA.ZS?locations=CI</t>
  </si>
  <si>
    <t>https://donnees.banquemondiale.org/indicateur/SE.SEC.CUAT.PO.ZS?locations=CI</t>
  </si>
  <si>
    <t>https://donnees.banquemondiale.org/indicateur/SE.PRM.CUAT.FE.ZS?locations=CI</t>
  </si>
  <si>
    <t>https://donnees.banquemondiale.org/indicateur/SE.PRM.CUAT.MA.ZS?locations=CI</t>
  </si>
  <si>
    <t>https://donnees.banquemondiale.org/indicateur/SE.PRM.CUAT.ZS?locations=CI</t>
  </si>
  <si>
    <t>https://donnees.banquemondiale.org/indicateur/SE.TER.CUAT.ST.FE.ZS?locations=CI</t>
  </si>
  <si>
    <t>https://donnees.banquemondiale.org/indicateur/SE.TER.CUAT.ST.MA.ZS?locations=CI</t>
  </si>
  <si>
    <t>https://donnees.banquemondiale.org/indicateur/SE.TER.CUAT.ST.ZS?locations=CI</t>
  </si>
  <si>
    <t>https://donnees.banquemondiale.org/indicateur/SE.SEC.CUAT.UP.FE.ZS?locations=CI</t>
  </si>
  <si>
    <t>https://donnees.banquemondiale.org/indicateur/SE.SEC.CUAT.UP.MA.ZS?locations=CI</t>
  </si>
  <si>
    <t>https://donnees.banquemondiale.org/indicateur/SE.SEC.CUAT.UP.ZS?locations=CI</t>
  </si>
  <si>
    <t>https://donnees.banquemondiale.org/indicateur/SE.TER.CUAT.MS.FE.ZS?locations=CI</t>
  </si>
  <si>
    <t>https://donnees.banquemondiale.org/indicateur/SE.TER.CUAT.MS.MA.ZS?locations=CI</t>
  </si>
  <si>
    <t>https://donnees.banquemondiale.org/indicateur/SE.TER.CUAT.MS.ZS?locations=CI</t>
  </si>
  <si>
    <t>https://donnees.banquemondiale.org/indicateur/SE.TER.CUAT.DO.FE.ZS?locations=CI</t>
  </si>
  <si>
    <t>https://donnees.banquemondiale.org/indicateur/SE.TER.CUAT.DO.MA.ZS?locations=CI</t>
  </si>
  <si>
    <t>https://donnees.banquemondiale.org/indicateur/SE.TER.CUAT.DO.ZS?locations=CI</t>
  </si>
  <si>
    <t>https://donnees.banquemondiale.org/indicateur/EG.USE.ELEC.KH.PC?locations=CI</t>
  </si>
  <si>
    <t>https://donnees.banquemondiale.org/indicateur/EG.ELC.LOSS.ZS?locations=CI</t>
  </si>
  <si>
    <t>https://donnees.banquemondiale.org/indicateur/EG.ELC.COAL.ZS?locations=CI</t>
  </si>
  <si>
    <t>https://donnees.banquemondiale.org/indicateur/EG.ELC.HYRO.ZS?locations=CI</t>
  </si>
  <si>
    <t>https://donnees.banquemondiale.org/indicateur/EG.ELC.NGAS.ZS?locations=CI</t>
  </si>
  <si>
    <t>https://donnees.banquemondiale.org/indicateur/EG.ELC.NUCL.ZS?locations=CI</t>
  </si>
  <si>
    <t>https://donnees.banquemondiale.org/indicateur/EG.ELC.PETR.ZS?locations=CI</t>
  </si>
  <si>
    <t>https://donnees.banquemondiale.org/indicateur/EG.ELC.FOSL.ZS?locations=CI</t>
  </si>
  <si>
    <t>https://donnees.banquemondiale.org/indicateur/EG.ELC.RNWX.ZS?locations=CI</t>
  </si>
  <si>
    <t>https://donnees.banquemondiale.org/indicateur/EG.ELC.RNWX.KH?locations=CI</t>
  </si>
  <si>
    <t>https://donnees.banquemondiale.org/indicateur/SL.EMP.MPYR.FE.ZS?locations=CI</t>
  </si>
  <si>
    <t>https://donnees.banquemondiale.org/indicateur/SL.EMP.MPYR.MA.ZS?locations=CI</t>
  </si>
  <si>
    <t>https://donnees.banquemondiale.org/indicateur/SL.EMP.MPYR.ZS?locations=CI</t>
  </si>
  <si>
    <t>https://donnees.banquemondiale.org/indicateur/SL.AGR.EMPL.ZS?locations=CI</t>
  </si>
  <si>
    <t>https://donnees.banquemondiale.org/indicateur/SL.AGR.EMPL.FE.ZS?locations=CI</t>
  </si>
  <si>
    <t>https://donnees.banquemondiale.org/indicateur/SL.AGR.EMPL.MA.ZS?locations=CI</t>
  </si>
  <si>
    <t>https://donnees.banquemondiale.org/indicateur/SL.IND.EMPL.ZS?locations=CI</t>
  </si>
  <si>
    <t>https://donnees.banquemondiale.org/indicateur/SL.IND.EMPL.FE.ZS?locations=CI</t>
  </si>
  <si>
    <t>https://donnees.banquemondiale.org/indicateur/SL.IND.EMPL.MA.ZS?locations=CI</t>
  </si>
  <si>
    <t>https://donnees.banquemondiale.org/indicateur/SL.SRV.EMPL.ZS?locations=CI</t>
  </si>
  <si>
    <t>https://donnees.banquemondiale.org/indicateur/SL.SRV.EMPL.FE.ZS?locations=CI</t>
  </si>
  <si>
    <t>https://donnees.banquemondiale.org/indicateur/SL.SRV.EMPL.MA.ZS?locations=CI</t>
  </si>
  <si>
    <t>https://donnees.banquemondiale.org/indicateur/SL.EMP.TOTL.SP.FE.ZS?locations=CI</t>
  </si>
  <si>
    <t>https://donnees.banquemondiale.org/indicateur/SL.EMP.TOTL.SP.FE.NE.ZS?locations=CI</t>
  </si>
  <si>
    <t>https://donnees.banquemondiale.org/indicateur/SL.EMP.TOTL.SP.MA.ZS?locations=CI</t>
  </si>
  <si>
    <t>https://donnees.banquemondiale.org/indicateur/SL.EMP.TOTL.SP.MA.NE.ZS?locations=CI</t>
  </si>
  <si>
    <t>https://donnees.banquemondiale.org/indicateur/SL.EMP.TOTL.SP.ZS?locations=CI</t>
  </si>
  <si>
    <t>https://donnees.banquemondiale.org/indicateur/SL.EMP.TOTL.SP.NE.ZS?locations=CI</t>
  </si>
  <si>
    <t>https://donnees.banquemondiale.org/indicateur/SL.EMP.1524.SP.FE.ZS?locations=CI</t>
  </si>
  <si>
    <t>https://donnees.banquemondiale.org/indicateur/SL.EMP.1524.SP.FE.NE.ZS?locations=CI</t>
  </si>
  <si>
    <t>https://donnees.banquemondiale.org/indicateur/SL.EMP.1524.SP.MA.ZS?locations=CI</t>
  </si>
  <si>
    <t>https://donnees.banquemondiale.org/indicateur/SL.EMP.1524.SP.MA.NE.ZS?locations=CI</t>
  </si>
  <si>
    <t>https://donnees.banquemondiale.org/indicateur/SL.EMP.1524.SP.ZS?locations=CI</t>
  </si>
  <si>
    <t>https://donnees.banquemondiale.org/indicateur/SL.EMP.1524.SP.NE.ZS?locations=CI</t>
  </si>
  <si>
    <t>https://donnees.banquemondiale.org/indicateur/EG.IMP.CONS.ZS?locations=CI</t>
  </si>
  <si>
    <t>https://donnees.banquemondiale.org/indicateur/EG.EGY.PRIM.PP.KD?locations=CI</t>
  </si>
  <si>
    <t>https://donnees.banquemondiale.org/indicateur/EG.USE.PCAP.KG.OE?locations=CI</t>
  </si>
  <si>
    <t>https://donnees.banquemondiale.org/indicateur/EG.USE.COMM.GD.PP.KD?locations=CI</t>
  </si>
  <si>
    <t>https://donnees.banquemondiale.org/indicateur/SH.STA.BFED.ZS?locations=CI</t>
  </si>
  <si>
    <t>https://donnees.banquemondiale.org/indicateur/SE.XPD.PRIM.ZS?locations=CI</t>
  </si>
  <si>
    <t>https://donnees.banquemondiale.org/indicateur/SE.XPD.SECO.ZS?locations=CI</t>
  </si>
  <si>
    <t>https://donnees.banquemondiale.org/indicateur/SE.XPD.TERT.ZS?locations=CI</t>
  </si>
  <si>
    <t>https://donnees.banquemondiale.org/indicateur/GC.XPN.TOTL.GD.ZS?locations=CI</t>
  </si>
  <si>
    <t>https://donnees.banquemondiale.org/indicateur/GC.XPN.TOTL.CN?locations=CI</t>
  </si>
  <si>
    <t>https://donnees.banquemondiale.org/indicateur/TX.UVI.MRCH.XD.WD?locations=CI</t>
  </si>
  <si>
    <t>https://donnees.banquemondiale.org/indicateur/TX.VAL.MRCH.XD.WD?locations=CI</t>
  </si>
  <si>
    <t>https://donnees.banquemondiale.org/indicateur/TX.QTY.MRCH.XD.WD?locations=CI</t>
  </si>
  <si>
    <t>https://donnees.banquemondiale.org/indicateur/NY.EXP.CAPM.KN?locations=CI</t>
  </si>
  <si>
    <t>https://donnees.banquemondiale.org/indicateur/NE.EXP.GNFS.ZS?locations=CI</t>
  </si>
  <si>
    <t>https://donnees.banquemondiale.org/indicateur/NE.EXP.GNFS.KD.ZG?locations=CI</t>
  </si>
  <si>
    <t>https://donnees.banquemondiale.org/indicateur/BX.GSR.GNFS.CD?locations=CI</t>
  </si>
  <si>
    <t>https://donnees.banquemondiale.org/indicateur/NE.EXP.GNFS.KD?locations=CI</t>
  </si>
  <si>
    <t>https://donnees.banquemondiale.org/indicateur/NE.EXP.GNFS.KN?locations=CI</t>
  </si>
  <si>
    <t>https://donnees.banquemondiale.org/indicateur/NE.EXP.GNFS.CN?locations=CI</t>
  </si>
  <si>
    <t>https://donnees.banquemondiale.org/indicateur/NE.EXP.GNFS.CD?locations=CI</t>
  </si>
  <si>
    <t>https://donnees.banquemondiale.org/indicateur/BX.GSR.TOTL.CD?locations=CI</t>
  </si>
  <si>
    <t>https://donnees.banquemondiale.org/indicateur/NE.RSB.GNFS.ZS?locations=CI</t>
  </si>
  <si>
    <t>https://donnees.banquemondiale.org/indicateur/NE.RSB.GNFS.KN?locations=CI</t>
  </si>
  <si>
    <t>https://donnees.banquemondiale.org/indicateur/NE.RSB.GNFS.CN?locations=CI</t>
  </si>
  <si>
    <t>https://donnees.banquemondiale.org/indicateur/NE.RSB.GNFS.CD?locations=CI</t>
  </si>
  <si>
    <t>https://donnees.banquemondiale.org/indicateur/DT.DOD.DECT.GN.ZS?locations=CI</t>
  </si>
  <si>
    <t>https://donnees.banquemondiale.org/indicateur/DT.DOD.DLXF.CD?locations=CI</t>
  </si>
  <si>
    <t>https://donnees.banquemondiale.org/indicateur/DT.DOD.DPNG.CD?locations=CI</t>
  </si>
  <si>
    <t>https://donnees.banquemondiale.org/indicateur/DT.DOD.DPPG.CD?locations=CI</t>
  </si>
  <si>
    <t>https://donnees.banquemondiale.org/indicateur/DT.DOD.DSTC.CD?locations=CI</t>
  </si>
  <si>
    <t>https://donnees.banquemondiale.org/indicateur/DT.DOD.DECT.CD?locations=CI</t>
  </si>
  <si>
    <t>https://donnees.banquemondiale.org/indicateur/SH.XPD.EHEX.CH.ZS?locations=CI</t>
  </si>
  <si>
    <t>https://donnees.banquemondiale.org/indicateur/SH.XPD.EHEX.PC.CD?locations=CI</t>
  </si>
  <si>
    <t>https://donnees.banquemondiale.org/indicateur/SH.XPD.EHEX.PP.CD?locations=CI</t>
  </si>
  <si>
    <t>https://donnees.banquemondiale.org/indicateur/SH.STA.FGMS.ZS?locations=CI</t>
  </si>
  <si>
    <t>https://donnees.banquemondiale.org/indicateur/SP.HOU.FEMA.ZS?locations=CI</t>
  </si>
  <si>
    <t>https://donnees.banquemondiale.org/indicateur/SE.LPV.PRIM.SD.FE?locations=CI</t>
  </si>
  <si>
    <t>https://donnees.banquemondiale.org/indicateur/SE.LPV.PRIM.LD.FE?locations=CI</t>
  </si>
  <si>
    <t>https://donnees.banquemondiale.org/indicateur/SL.EMP.SMGT.FE.ZS?locations=CI</t>
  </si>
  <si>
    <t>https://donnees.banquemondiale.org/indicateur/SP.DYN.TFRT.IN?locations=CI</t>
  </si>
  <si>
    <t>https://donnees.banquemondiale.org/indicateur/AG.CON.FERT.PT.ZS?locations=CI</t>
  </si>
  <si>
    <t>https://donnees.banquemondiale.org/indicateur/AG.CON.FERT.ZS?locations=CI</t>
  </si>
  <si>
    <t>https://donnees.banquemondiale.org/indicateur/EN.GHG.FGAS.IP.MT.CE.AR5?locations=CI</t>
  </si>
  <si>
    <t>https://donnees.banquemondiale.org/indicateur/NE.CON.TOTL.ZS?locations=CI</t>
  </si>
  <si>
    <t>https://donnees.banquemondiale.org/indicateur/NE.CON.TOTL.KD.ZG?locations=CI</t>
  </si>
  <si>
    <t>https://donnees.banquemondiale.org/indicateur/NE.CON.TOTL.KD?locations=CI</t>
  </si>
  <si>
    <t>https://donnees.banquemondiale.org/indicateur/NE.CON.TOTL.KN?locations=CI</t>
  </si>
  <si>
    <t>https://donnees.banquemondiale.org/indicateur/NE.CON.TOTL.CN?locations=CI</t>
  </si>
  <si>
    <t>https://donnees.banquemondiale.org/indicateur/NE.CON.TOTL.CD?locations=CI</t>
  </si>
  <si>
    <t>https://donnees.banquemondiale.org/indicateur/NV.FSM.TOTL.KN?locations=CI</t>
  </si>
  <si>
    <t>https://donnees.banquemondiale.org/indicateur/NV.FSM.TOTL.CN?locations=CI</t>
  </si>
  <si>
    <t>https://donnees.banquemondiale.org/indicateur/IC.FRM.ENGM.ZS?locations=CI</t>
  </si>
  <si>
    <t>https://donnees.banquemondiale.org/indicateur/IC.FRM.CMPU.ZS?locations=CI</t>
  </si>
  <si>
    <t>https://donnees.banquemondiale.org/indicateur/IC.TAX.GIFT.ZS?locations=CI</t>
  </si>
  <si>
    <t>https://donnees.banquemondiale.org/indicateur/IC.ELC.OUTG.ZS?locations=CI</t>
  </si>
  <si>
    <t>https://donnees.banquemondiale.org/indicateur/IC.FRM.EXS.ZS?locations=CI</t>
  </si>
  <si>
    <t>https://donnees.banquemondiale.org/indicateur/IC.FRM.TAXE.ZS?locations=CI</t>
  </si>
  <si>
    <t>https://donnees.banquemondiale.org/indicateur/IC.FRM.FREG.ZS?locations=CI</t>
  </si>
  <si>
    <t>https://donnees.banquemondiale.org/indicateur/IC.FRM.CO2.ZS?locations=CI</t>
  </si>
  <si>
    <t>https://donnees.banquemondiale.org/indicateur/IC.FRM.TRNG.ZS?locations=CI</t>
  </si>
  <si>
    <t>https://donnees.banquemondiale.org/indicateur/IC.FRM.CRDC.FL.ZS?locations=CI</t>
  </si>
  <si>
    <t>https://donnees.banquemondiale.org/indicateur/IC.FRM.CRDC.PT.ZS?locations=CI</t>
  </si>
  <si>
    <t>https://donnees.banquemondiale.org/indicateur/IC.FRM.INFM.ZS?locations=CI</t>
  </si>
  <si>
    <t>https://donnees.banquemondiale.org/indicateur/IC.FRM.NPRD.ZS?locations=CI</t>
  </si>
  <si>
    <t>https://donnees.banquemondiale.org/indicateur/IC.FRM.CDP.ZS?locations=CI</t>
  </si>
  <si>
    <t>https://donnees.banquemondiale.org/indicateur/IC.FRM.BNKS.ZS?locations=CI</t>
  </si>
  <si>
    <t>https://donnees.banquemondiale.org/indicateur/IC.FRM.BKWC.ZS?locations=CI</t>
  </si>
  <si>
    <t>https://donnees.banquemondiale.org/indicateur/IC.FRM.METG.ZS?locations=CI</t>
  </si>
  <si>
    <t>https://donnees.banquemondiale.org/indicateur/IC.FRM.LOTM.ZS?locations=CI</t>
  </si>
  <si>
    <t>https://donnees.banquemondiale.org/indicateur/IC.FRM.BNKL.ZS?locations=CI</t>
  </si>
  <si>
    <t>https://donnees.banquemondiale.org/indicateur/IC.FRM.FO.ZS?locations=CI</t>
  </si>
  <si>
    <t>https://donnees.banquemondiale.org/indicateur/IC.FRM.FEMO.ZS?locations=CI</t>
  </si>
  <si>
    <t>https://donnees.banquemondiale.org/indicateur/IC.FRM.FEMM.ZS?locations=CI</t>
  </si>
  <si>
    <t>https://donnees.banquemondiale.org/indicateur/EN.FSH.THRD.NO?locations=CI</t>
  </si>
  <si>
    <t>https://donnees.banquemondiale.org/indicateur/IT.NET.BBND?locations=CI</t>
  </si>
  <si>
    <t>https://donnees.banquemondiale.org/indicateur/IT.NET.BBND.P2?locations=CI</t>
  </si>
  <si>
    <t>https://donnees.banquemondiale.org/indicateur/IT.MLT.MAIN?locations=CI</t>
  </si>
  <si>
    <t>https://donnees.banquemondiale.org/indicateur/IT.MLT.MAIN.P2?locations=CI</t>
  </si>
  <si>
    <t>https://donnees.banquemondiale.org/indicateur/TX.VAL.FOOD.ZS.UN?locations=CI</t>
  </si>
  <si>
    <t>https://donnees.banquemondiale.org/indicateur/TM.VAL.FOOD.ZS.UN?locations=CI</t>
  </si>
  <si>
    <t>https://donnees.banquemondiale.org/indicateur/AG.PRD.FOOD.XD?locations=CI</t>
  </si>
  <si>
    <t>https://donnees.banquemondiale.org/indicateur/NV.MNF.FBTO.ZS.UN?locations=CI</t>
  </si>
  <si>
    <t>https://donnees.banquemondiale.org/indicateur/SM.POP.FDIP?locations=CI</t>
  </si>
  <si>
    <t>https://donnees.banquemondiale.org/indicateur/BN.KLT.DINV.CD?locations=CI</t>
  </si>
  <si>
    <t>https://donnees.banquemondiale.org/indicateur/BX.KLT.DINV.WD.GD.ZS?locations=CI</t>
  </si>
  <si>
    <t>https://donnees.banquemondiale.org/indicateur/BX.KLT.DINV.CD.WD?locations=CI</t>
  </si>
  <si>
    <t>https://donnees.banquemondiale.org/indicateur/BM.KLT.DINV.WD.GD.ZS?locations=CI</t>
  </si>
  <si>
    <t>https://donnees.banquemondiale.org/indicateur/BM.KLT.DINV.CD.WD?locations=CI</t>
  </si>
  <si>
    <t>https://donnees.banquemondiale.org/indicateur/AG.LND.FRST.ZS?locations=CI</t>
  </si>
  <si>
    <t>https://donnees.banquemondiale.org/indicateur/AG.LND.FRST.K2?locations=CI</t>
  </si>
  <si>
    <t>https://donnees.banquemondiale.org/indicateur/NY.GDP.FRST.RT.ZS?locations=CI</t>
  </si>
  <si>
    <t>https://donnees.banquemondiale.org/indicateur/EG.USE.COMM.FO.ZS?locations=CI</t>
  </si>
  <si>
    <t>https://donnees.banquemondiale.org/indicateur/TX.VAL.FUEL.ZS.UN?locations=CI</t>
  </si>
  <si>
    <t>https://donnees.banquemondiale.org/indicateur/TM.VAL.FUEL.ZS.UN?locations=CI</t>
  </si>
  <si>
    <t>https://donnees.banquemondiale.org/indicateur/NY.GDP.MKTP.KD?locations=CI</t>
  </si>
  <si>
    <t>https://donnees.banquemondiale.org/indicateur/NY.GDP.MKTP.KN?locations=CI</t>
  </si>
  <si>
    <t>https://donnees.banquemondiale.org/indicateur/NY.GDP.MKTP.CN?locations=CI</t>
  </si>
  <si>
    <t>https://donnees.banquemondiale.org/indicateur/NY.GDP.MKTP.CD?locations=CI</t>
  </si>
  <si>
    <t>https://donnees.banquemondiale.org/indicateur/NY.GDP.DEFL.ZS?locations=CI</t>
  </si>
  <si>
    <t>https://donnees.banquemondiale.org/indicateur/NY.GDP.DEFL.ZS.AD?locations=CI</t>
  </si>
  <si>
    <t>https://donnees.banquemondiale.org/indicateur/NY.GDP.MKTP.KD.ZG?locations=CI</t>
  </si>
  <si>
    <t>https://donnees.banquemondiale.org/indicateur/NY.GDP.PCAP.KD?locations=CI</t>
  </si>
  <si>
    <t>https://donnees.banquemondiale.org/indicateur/NY.GDP.PCAP.KN?locations=CI</t>
  </si>
  <si>
    <t>https://donnees.banquemondiale.org/indicateur/NY.GDP.PCAP.CN?locations=CI</t>
  </si>
  <si>
    <t>https://donnees.banquemondiale.org/indicateur/NY.GDP.PCAP.CD?locations=CI</t>
  </si>
  <si>
    <t>https://donnees.banquemondiale.org/indicateur/NY.GDP.PCAP.KD.ZG?locations=CI</t>
  </si>
  <si>
    <t>https://donnees.banquemondiale.org/indicateur/NY.GDP.PCAP.PP.KD?locations=CI</t>
  </si>
  <si>
    <t>https://donnees.banquemondiale.org/indicateur/NY.GDP.PCAP.PP.CD?locations=CI</t>
  </si>
  <si>
    <t>https://donnees.banquemondiale.org/indicateur/SL.GDP.PCAP.EM.KD?locations=CI</t>
  </si>
  <si>
    <t>https://donnees.banquemondiale.org/indicateur/EG.GDP.PUSE.KO.PP.KD?locations=CI</t>
  </si>
  <si>
    <t>https://donnees.banquemondiale.org/indicateur/EG.GDP.PUSE.KO.PP?locations=CI</t>
  </si>
  <si>
    <t>https://donnees.banquemondiale.org/indicateur/NY.GDP.MKTP.PP.KD?locations=CI</t>
  </si>
  <si>
    <t>https://donnees.banquemondiale.org/indicateur/NY.GDP.MKTP.PP.CD?locations=CI</t>
  </si>
  <si>
    <t>https://donnees.banquemondiale.org/indicateur/NY.GDP.MKTP.CN.AD?locations=CI</t>
  </si>
  <si>
    <t>https://donnees.banquemondiale.org/indicateur/NE.CON.GOVT.ZS?locations=CI</t>
  </si>
  <si>
    <t>https://donnees.banquemondiale.org/indicateur/NE.CON.GOVT.KD.ZG?locations=CI</t>
  </si>
  <si>
    <t>https://donnees.banquemondiale.org/indicateur/NE.CON.GOVT.KD?locations=CI</t>
  </si>
  <si>
    <t>https://donnees.banquemondiale.org/indicateur/NE.CON.GOVT.KN?locations=CI</t>
  </si>
  <si>
    <t>https://donnees.banquemondiale.org/indicateur/NE.CON.GOVT.CN?locations=CI</t>
  </si>
  <si>
    <t>https://donnees.banquemondiale.org/indicateur/NE.CON.GOVT.CD?locations=CI</t>
  </si>
  <si>
    <t>https://donnees.banquemondiale.org/indicateur/SI.POV.GINI?locations=CI</t>
  </si>
  <si>
    <t>https://donnees.banquemondiale.org/indicateur/NY.GNP.MKTP.KD?locations=CI</t>
  </si>
  <si>
    <t>https://donnees.banquemondiale.org/indicateur/NY.GNP.MKTP.KN?locations=CI</t>
  </si>
  <si>
    <t>https://donnees.banquemondiale.org/indicateur/NY.GNP.MKTP.CN?locations=CI</t>
  </si>
  <si>
    <t>https://donnees.banquemondiale.org/indicateur/NY.GNP.MKTP.CD?locations=CI</t>
  </si>
  <si>
    <t>https://donnees.banquemondiale.org/indicateur/NY.GNP.MKTP.KD.ZG?locations=CI</t>
  </si>
  <si>
    <t>https://donnees.banquemondiale.org/indicateur/NY.GNP.PCAP.KD?locations=CI</t>
  </si>
  <si>
    <t>https://donnees.banquemondiale.org/indicateur/NY.GNP.PCAP.KN?locations=CI</t>
  </si>
  <si>
    <t>https://donnees.banquemondiale.org/indicateur/NY.GNP.PCAP.CN?locations=CI</t>
  </si>
  <si>
    <t>https://donnees.banquemondiale.org/indicateur/NY.GNP.PCAP.KD.ZG?locations=CI</t>
  </si>
  <si>
    <t>https://donnees.banquemondiale.org/indicateur/NY.GNP.PCAP.CD?locations=CI</t>
  </si>
  <si>
    <t>https://donnees.banquemondiale.org/indicateur/NY.GNP.PCAP.PP.KD?locations=CI</t>
  </si>
  <si>
    <t>https://donnees.banquemondiale.org/indicateur/NY.GNP.PCAP.PP.CD?locations=CI</t>
  </si>
  <si>
    <t>https://donnees.banquemondiale.org/indicateur/NY.GNP.ATLS.CD?locations=CI</t>
  </si>
  <si>
    <t>https://donnees.banquemondiale.org/indicateur/NY.GNP.MKTP.PP.KD?locations=CI</t>
  </si>
  <si>
    <t>https://donnees.banquemondiale.org/indicateur/NY.GNP.MKTP.PP.CD?locations=CI</t>
  </si>
  <si>
    <t>https://donnees.banquemondiale.org/indicateur/NY.GNP.MKTP.CN.AD?locations=CI</t>
  </si>
  <si>
    <t>https://donnees.banquemondiale.org/indicateur/GC.XPN.GSRV.ZS?locations=CI</t>
  </si>
  <si>
    <t>https://donnees.banquemondiale.org/indicateur/GC.XPN.GSRV.CN?locations=CI</t>
  </si>
  <si>
    <t>https://donnees.banquemondiale.org/indicateur/BX.GSR.MRCH.CD?locations=CI</t>
  </si>
  <si>
    <t>https://donnees.banquemondiale.org/indicateur/BM.GSR.MRCH.CD?locations=CI</t>
  </si>
  <si>
    <t>https://donnees.banquemondiale.org/indicateur/GE.EST?locations=CI</t>
  </si>
  <si>
    <t>https://donnees.banquemondiale.org/indicateur/GE.NO.SRC?locations=CI</t>
  </si>
  <si>
    <t>https://donnees.banquemondiale.org/indicateur/GE.PER.RNK?locations=CI</t>
  </si>
  <si>
    <t>https://donnees.banquemondiale.org/indicateur/GE.PER.RNK.LOWER?locations=CI</t>
  </si>
  <si>
    <t>https://donnees.banquemondiale.org/indicateur/GE.PER.RNK.UPPER?locations=CI</t>
  </si>
  <si>
    <t>https://donnees.banquemondiale.org/indicateur/GE.STD.ERR?locations=CI</t>
  </si>
  <si>
    <t>https://donnees.banquemondiale.org/indicateur/SE.XPD.TOTL.GD.ZS?locations=CI</t>
  </si>
  <si>
    <t>https://donnees.banquemondiale.org/indicateur/SE.XPD.TOTL.GB.ZS?locations=CI</t>
  </si>
  <si>
    <t>https://donnees.banquemondiale.org/indicateur/SE.XPD.PRIM.PC.ZS?locations=CI</t>
  </si>
  <si>
    <t>https://donnees.banquemondiale.org/indicateur/SE.XPD.SECO.PC.ZS?locations=CI</t>
  </si>
  <si>
    <t>https://donnees.banquemondiale.org/indicateur/SE.XPD.TERT.PC.ZS?locations=CI</t>
  </si>
  <si>
    <t>https://donnees.banquemondiale.org/indicateur/GC.REV.GOTR.ZS?locations=CI</t>
  </si>
  <si>
    <t>https://donnees.banquemondiale.org/indicateur/GC.REV.GOTR.CN?locations=CI</t>
  </si>
  <si>
    <t>https://donnees.banquemondiale.org/indicateur/BX.GRT.EXTA.CD.WD?locations=CI</t>
  </si>
  <si>
    <t>https://donnees.banquemondiale.org/indicateur/NE.GDI.TOTL.ZS?locations=CI</t>
  </si>
  <si>
    <t>https://donnees.banquemondiale.org/indicateur/NE.GDI.TOTL.KD.ZG?locations=CI</t>
  </si>
  <si>
    <t>https://donnees.banquemondiale.org/indicateur/NE.GDI.TOTL.KD?locations=CI</t>
  </si>
  <si>
    <t>https://donnees.banquemondiale.org/indicateur/NE.GDI.TOTL.KN?locations=CI</t>
  </si>
  <si>
    <t>https://donnees.banquemondiale.org/indicateur/NE.GDI.TOTL.CN?locations=CI</t>
  </si>
  <si>
    <t>https://donnees.banquemondiale.org/indicateur/NE.GDI.TOTL.CD?locations=CI</t>
  </si>
  <si>
    <t>https://donnees.banquemondiale.org/indicateur/NY.GDY.TOTL.KN?locations=CI</t>
  </si>
  <si>
    <t>https://donnees.banquemondiale.org/indicateur/NY.GDS.TOTL.ZS?locations=CI</t>
  </si>
  <si>
    <t>https://donnees.banquemondiale.org/indicateur/NY.GDS.TOTL.CN?locations=CI</t>
  </si>
  <si>
    <t>https://donnees.banquemondiale.org/indicateur/NY.GDS.TOTL.CD?locations=CI</t>
  </si>
  <si>
    <t>https://donnees.banquemondiale.org/indicateur/NE.GDI.FTOT.ZS?locations=CI</t>
  </si>
  <si>
    <t>https://donnees.banquemondiale.org/indicateur/NE.GDI.FTOT.KD.ZG?locations=CI</t>
  </si>
  <si>
    <t>https://donnees.banquemondiale.org/indicateur/NE.GDI.FTOT.KD?locations=CI</t>
  </si>
  <si>
    <t>https://donnees.banquemondiale.org/indicateur/NE.GDI.FTOT.KN?locations=CI</t>
  </si>
  <si>
    <t>https://donnees.banquemondiale.org/indicateur/NE.GDI.FTOT.CN?locations=CI</t>
  </si>
  <si>
    <t>https://donnees.banquemondiale.org/indicateur/NE.GDI.FTOT.CD?locations=CI</t>
  </si>
  <si>
    <t>https://donnees.banquemondiale.org/indicateur/NE.GDI.FPRV.ZS?locations=CI</t>
  </si>
  <si>
    <t>https://donnees.banquemondiale.org/indicateur/NE.GDI.FPRV.CN?locations=CI</t>
  </si>
  <si>
    <t>https://donnees.banquemondiale.org/indicateur/SE.PRM.GINT.FE.ZS?locations=CI</t>
  </si>
  <si>
    <t>https://donnees.banquemondiale.org/indicateur/SE.PRM.GINT.MA.ZS?locations=CI</t>
  </si>
  <si>
    <t>https://donnees.banquemondiale.org/indicateur/SE.PRM.GINT.ZS?locations=CI</t>
  </si>
  <si>
    <t>https://donnees.banquemondiale.org/indicateur/NE.DAB.TOTL.ZS?locations=CI</t>
  </si>
  <si>
    <t>https://donnees.banquemondiale.org/indicateur/NE.DAB.TOTL.KD?locations=CI</t>
  </si>
  <si>
    <t>https://donnees.banquemondiale.org/indicateur/NE.DAB.TOTL.KN?locations=CI</t>
  </si>
  <si>
    <t>https://donnees.banquemondiale.org/indicateur/NE.DAB.TOTL.CN?locations=CI</t>
  </si>
  <si>
    <t>https://donnees.banquemondiale.org/indicateur/NE.DAB.TOTL.CD?locations=CI</t>
  </si>
  <si>
    <t>https://donnees.banquemondiale.org/indicateur/NE.DAB.DEFL.ZS?locations=CI</t>
  </si>
  <si>
    <t>https://donnees.banquemondiale.org/indicateur/NY.GNS.ICTR.ZS?locations=CI</t>
  </si>
  <si>
    <t>https://donnees.banquemondiale.org/indicateur/NY.GNS.ICTR.GN.ZS?locations=CI</t>
  </si>
  <si>
    <t>https://donnees.banquemondiale.org/indicateur/NY.GNS.ICTR.CN?locations=CI</t>
  </si>
  <si>
    <t>https://donnees.banquemondiale.org/indicateur/NY.GNS.ICTR.CD?locations=CI</t>
  </si>
  <si>
    <t>https://donnees.banquemondiale.org/indicateur/NY.GDP.FCST.KD?locations=CI</t>
  </si>
  <si>
    <t>https://donnees.banquemondiale.org/indicateur/NY.GDP.FCST.KN?locations=CI</t>
  </si>
  <si>
    <t>https://donnees.banquemondiale.org/indicateur/NY.GDP.FCST.CN?locations=CI</t>
  </si>
  <si>
    <t>https://donnees.banquemondiale.org/indicateur/NY.GDP.FCST.CD?locations=CI</t>
  </si>
  <si>
    <t>https://donnees.banquemondiale.org/indicateur/TX.VAL.TECH.MF.ZS?locations=CI</t>
  </si>
  <si>
    <t>https://donnees.banquemondiale.org/indicateur/TX.VAL.TECH.CD?locations=CI</t>
  </si>
  <si>
    <t>https://donnees.banquemondiale.org/indicateur/SH.MED.BEDS.ZS?locations=CI</t>
  </si>
  <si>
    <t>https://donnees.banquemondiale.org/indicateur/NE.CON.PRVT.ZS?locations=CI</t>
  </si>
  <si>
    <t>https://donnees.banquemondiale.org/indicateur/NE.CON.PRVT.KD.ZG?locations=CI</t>
  </si>
  <si>
    <t>https://donnees.banquemondiale.org/indicateur/NE.CON.PRVT.KD?locations=CI</t>
  </si>
  <si>
    <t>https://donnees.banquemondiale.org/indicateur/NE.CON.PRVT.KN?locations=CI</t>
  </si>
  <si>
    <t>https://donnees.banquemondiale.org/indicateur/NE.CON.PRVT.CN?locations=CI</t>
  </si>
  <si>
    <t>https://donnees.banquemondiale.org/indicateur/NE.CON.PRVT.CD?locations=CI</t>
  </si>
  <si>
    <t>https://donnees.banquemondiale.org/indicateur/NE.CON.PRVT.PC.KD?locations=CI</t>
  </si>
  <si>
    <t>https://donnees.banquemondiale.org/indicateur/NE.CON.PRVT.PC.KD.ZG?locations=CI</t>
  </si>
  <si>
    <t>https://donnees.banquemondiale.org/indicateur/NE.CON.PRVT.PP.KD?locations=CI</t>
  </si>
  <si>
    <t>https://donnees.banquemondiale.org/indicateur/NE.CON.PRVT.PP.CD?locations=CI</t>
  </si>
  <si>
    <t>https://donnees.banquemondiale.org/indicateur/NE.CON.PRVT.CN.AD?locations=CI</t>
  </si>
  <si>
    <t>https://donnees.banquemondiale.org/indicateur/HD.HCI.OVRL?locations=CI</t>
  </si>
  <si>
    <t>https://donnees.banquemondiale.org/indicateur/HD.HCI.OVRL.FE?locations=CI</t>
  </si>
  <si>
    <t>https://donnees.banquemondiale.org/indicateur/HD.HCI.OVRL.LB.FE?locations=CI</t>
  </si>
  <si>
    <t>https://donnees.banquemondiale.org/indicateur/HD.HCI.OVRL.UB.FE?locations=CI</t>
  </si>
  <si>
    <t>https://donnees.banquemondiale.org/indicateur/HD.HCI.OVRL.LB?locations=CI</t>
  </si>
  <si>
    <t>https://donnees.banquemondiale.org/indicateur/HD.HCI.OVRL.MA?locations=CI</t>
  </si>
  <si>
    <t>https://donnees.banquemondiale.org/indicateur/HD.HCI.OVRL.LB.MA?locations=CI</t>
  </si>
  <si>
    <t>https://donnees.banquemondiale.org/indicateur/HD.HCI.OVRL.UB.MA?locations=CI</t>
  </si>
  <si>
    <t>https://donnees.banquemondiale.org/indicateur/HD.HCI.OVRL.UB?locations=CI</t>
  </si>
  <si>
    <t>https://donnees.banquemondiale.org/indicateur/DT.DOD.MWBG.CD?locations=CI</t>
  </si>
  <si>
    <t>https://donnees.banquemondiale.org/indicateur/TX.VAL.ICTG.ZS.UN?locations=CI</t>
  </si>
  <si>
    <t>https://donnees.banquemondiale.org/indicateur/TM.VAL.ICTG.ZS.UN?locations=CI</t>
  </si>
  <si>
    <t>https://donnees.banquemondiale.org/indicateur/BX.GSR.CCIS.ZS?locations=CI</t>
  </si>
  <si>
    <t>https://donnees.banquemondiale.org/indicateur/BX.GSR.CCIS.CD?locations=CI</t>
  </si>
  <si>
    <t>https://donnees.banquemondiale.org/indicateur/IQ.CPA.IRAI.XQ?locations=CI</t>
  </si>
  <si>
    <t>https://donnees.banquemondiale.org/indicateur/DT.NFL.NIFC.CD?locations=CI</t>
  </si>
  <si>
    <t>https://donnees.banquemondiale.org/indicateur/DT.TDS.DIMF.CD?locations=CI</t>
  </si>
  <si>
    <t>https://donnees.banquemondiale.org/indicateur/SH.IMM.IDPT?locations=CI</t>
  </si>
  <si>
    <t>https://donnees.banquemondiale.org/indicateur/SH.IMM.HEPB?locations=CI</t>
  </si>
  <si>
    <t>https://donnees.banquemondiale.org/indicateur/SH.IMM.MEAS?locations=CI</t>
  </si>
  <si>
    <t>https://donnees.banquemondiale.org/indicateur/TM.UVI.MRCH.XD.WD?locations=CI</t>
  </si>
  <si>
    <t>https://donnees.banquemondiale.org/indicateur/TM.VAL.MRCH.XD.WD?locations=CI</t>
  </si>
  <si>
    <t>https://donnees.banquemondiale.org/indicateur/TM.QTY.MRCH.XD.WD?locations=CI</t>
  </si>
  <si>
    <t>https://donnees.banquemondiale.org/indicateur/NE.IMP.GNFS.ZS?locations=CI</t>
  </si>
  <si>
    <t>https://donnees.banquemondiale.org/indicateur/NE.IMP.GNFS.KD.ZG?locations=CI</t>
  </si>
  <si>
    <t>https://donnees.banquemondiale.org/indicateur/BM.GSR.GNFS.CD?locations=CI</t>
  </si>
  <si>
    <t>https://donnees.banquemondiale.org/indicateur/NE.IMP.GNFS.KD?locations=CI</t>
  </si>
  <si>
    <t>https://donnees.banquemondiale.org/indicateur/NE.IMP.GNFS.KN?locations=CI</t>
  </si>
  <si>
    <t>https://donnees.banquemondiale.org/indicateur/NE.IMP.GNFS.CN?locations=CI</t>
  </si>
  <si>
    <t>https://donnees.banquemondiale.org/indicateur/NE.IMP.GNFS.CD?locations=CI</t>
  </si>
  <si>
    <t>https://donnees.banquemondiale.org/indicateur/BM.GSR.TOTL.CD?locations=CI</t>
  </si>
  <si>
    <t>https://donnees.banquemondiale.org/indicateur/SH.HIV.INCD.YG.P3?locations=CI</t>
  </si>
  <si>
    <t>https://donnees.banquemondiale.org/indicateur/SH.HIV.INCD.ZS?locations=CI</t>
  </si>
  <si>
    <t>https://donnees.banquemondiale.org/indicateur/SH.HIV.INCD.TL.P3?locations=CI</t>
  </si>
  <si>
    <t>https://donnees.banquemondiale.org/indicateur/SH.MLR.INCD.P3?locations=CI</t>
  </si>
  <si>
    <t>https://donnees.banquemondiale.org/indicateur/SH.TBS.INCD?locations=CI</t>
  </si>
  <si>
    <t>https://donnees.banquemondiale.org/indicateur/SI.DST.04TH.20?locations=CI</t>
  </si>
  <si>
    <t>https://donnees.banquemondiale.org/indicateur/SI.DST.10TH.10?locations=CI</t>
  </si>
  <si>
    <t>https://donnees.banquemondiale.org/indicateur/SI.DST.05TH.20?locations=CI</t>
  </si>
  <si>
    <t>https://donnees.banquemondiale.org/indicateur/SI.DST.FRST.10?locations=CI</t>
  </si>
  <si>
    <t>https://donnees.banquemondiale.org/indicateur/SI.DST.FRST.20?locations=CI</t>
  </si>
  <si>
    <t>https://donnees.banquemondiale.org/indicateur/SI.DST.02ND.20?locations=CI</t>
  </si>
  <si>
    <t>https://donnees.banquemondiale.org/indicateur/SI.DST.03RD.20?locations=CI</t>
  </si>
  <si>
    <t>https://donnees.banquemondiale.org/indicateur/IT.NET.USER.ZS?locations=CI</t>
  </si>
  <si>
    <t>https://donnees.banquemondiale.org/indicateur/IT.NET.USER.FE.ZS?locations=CI</t>
  </si>
  <si>
    <t>https://donnees.banquemondiale.org/indicateur/IT.NET.USER.MA.ZS?locations=CI</t>
  </si>
  <si>
    <t>https://donnees.banquemondiale.org/indicateur/IP.IDS.NRCT?locations=CI</t>
  </si>
  <si>
    <t>https://donnees.banquemondiale.org/indicateur/IP.IDS.RSCT?locations=CI</t>
  </si>
  <si>
    <t>https://donnees.banquemondiale.org/indicateur/NV.IND.TOTL.ZS?locations=CI</t>
  </si>
  <si>
    <t>https://donnees.banquemondiale.org/indicateur/NV.IND.TOTL.KD.ZG?locations=CI</t>
  </si>
  <si>
    <t>https://donnees.banquemondiale.org/indicateur/NV.IND.TOTL.KD?locations=CI</t>
  </si>
  <si>
    <t>https://donnees.banquemondiale.org/indicateur/NV.IND.TOTL.KN?locations=CI</t>
  </si>
  <si>
    <t>https://donnees.banquemondiale.org/indicateur/NV.IND.TOTL.CN?locations=CI</t>
  </si>
  <si>
    <t>https://donnees.banquemondiale.org/indicateur/NV.IND.TOTL.CD?locations=CI</t>
  </si>
  <si>
    <t>https://donnees.banquemondiale.org/indicateur/NV.IND.EMPL.KD?locations=CI</t>
  </si>
  <si>
    <t>https://donnees.banquemondiale.org/indicateur/FP.CPI.TOTL.ZG?locations=CI</t>
  </si>
  <si>
    <t>https://donnees.banquemondiale.org/indicateur/NY.GDP.DEFL.KD.ZG?locations=CI</t>
  </si>
  <si>
    <t>https://donnees.banquemondiale.org/indicateur/NY.GDP.DEFL.KD.ZG.AD?locations=CI</t>
  </si>
  <si>
    <t>https://donnees.banquemondiale.org/indicateur/IC.FRM.CORR.ZS?locations=CI</t>
  </si>
  <si>
    <t>https://donnees.banquemondiale.org/indicateur/TX.VAL.INSF.ZS.WT?locations=CI</t>
  </si>
  <si>
    <t>https://donnees.banquemondiale.org/indicateur/TM.VAL.INSF.ZS.WT?locations=CI</t>
  </si>
  <si>
    <t>https://donnees.banquemondiale.org/indicateur/BX.GSR.INSF.ZS?locations=CI</t>
  </si>
  <si>
    <t>https://donnees.banquemondiale.org/indicateur/BM.GSR.INSF.ZS?locations=CI</t>
  </si>
  <si>
    <t>https://donnees.banquemondiale.org/indicateur/VC.IHR.PSRC.P5?locations=CI</t>
  </si>
  <si>
    <t>https://donnees.banquemondiale.org/indicateur/VC.IHR.PSRC.FE.P5?locations=CI</t>
  </si>
  <si>
    <t>https://donnees.banquemondiale.org/indicateur/VC.IHR.PSRC.MA.P5?locations=CI</t>
  </si>
  <si>
    <t>https://donnees.banquemondiale.org/indicateur/GC.XPN.INTP.ZS?locations=CI</t>
  </si>
  <si>
    <t>https://donnees.banquemondiale.org/indicateur/GC.XPN.INTP.RV.ZS?locations=CI</t>
  </si>
  <si>
    <t>https://donnees.banquemondiale.org/indicateur/GC.XPN.INTP.CN?locations=CI</t>
  </si>
  <si>
    <t>https://donnees.banquemondiale.org/indicateur/FR.INR.LNDP?locations=CI</t>
  </si>
  <si>
    <t>https://donnees.banquemondiale.org/indicateur/SM.POP.IDPC?locations=CI</t>
  </si>
  <si>
    <t>https://donnees.banquemondiale.org/indicateur/VC.IDP.NWCV?locations=CI</t>
  </si>
  <si>
    <t>https://donnees.banquemondiale.org/indicateur/VC.IDP.NWDS?locations=CI</t>
  </si>
  <si>
    <t>https://donnees.banquemondiale.org/indicateur/SM.POP.TOTL.ZS?locations=CI</t>
  </si>
  <si>
    <t>https://donnees.banquemondiale.org/indicateur/SM.POP.TOTL?locations=CI</t>
  </si>
  <si>
    <t>https://donnees.banquemondiale.org/indicateur/ST.INT.XPND.MP.ZS?locations=CI</t>
  </si>
  <si>
    <t>https://donnees.banquemondiale.org/indicateur/ST.INT.XPND.CD?locations=CI</t>
  </si>
  <si>
    <t>https://donnees.banquemondiale.org/indicateur/ST.INT.TRNX.CD?locations=CI</t>
  </si>
  <si>
    <t>https://donnees.banquemondiale.org/indicateur/ST.INT.TVLX.CD?locations=CI</t>
  </si>
  <si>
    <t>https://donnees.banquemondiale.org/indicateur/ST.INT.ARVL?locations=CI</t>
  </si>
  <si>
    <t>https://donnees.banquemondiale.org/indicateur/ST.INT.DPRT?locations=CI</t>
  </si>
  <si>
    <t>https://donnees.banquemondiale.org/indicateur/ST.INT.RCPT.XP.ZS?locations=CI</t>
  </si>
  <si>
    <t>https://donnees.banquemondiale.org/indicateur/ST.INT.RCPT.CD?locations=CI</t>
  </si>
  <si>
    <t>https://donnees.banquemondiale.org/indicateur/ST.INT.TRNR.CD?locations=CI</t>
  </si>
  <si>
    <t>https://donnees.banquemondiale.org/indicateur/ST.INT.TVLR.CD?locations=CI</t>
  </si>
  <si>
    <t>https://donnees.banquemondiale.org/indicateur/IE.PPI.ENGY.CD?locations=CI</t>
  </si>
  <si>
    <t>https://donnees.banquemondiale.org/indicateur/IE.PPI.ICTI.CD?locations=CI</t>
  </si>
  <si>
    <t>https://donnees.banquemondiale.org/indicateur/IE.PPI.TRAN.CD?locations=CI</t>
  </si>
  <si>
    <t>https://donnees.banquemondiale.org/indicateur/IE.PPI.WATR.CD?locations=CI</t>
  </si>
  <si>
    <t>https://donnees.banquemondiale.org/indicateur/SL.TLF.ACTI.1524.FE.ZS?locations=CI</t>
  </si>
  <si>
    <t>https://donnees.banquemondiale.org/indicateur/SL.TLF.ACTI.1524.FE.NE.ZS?locations=CI</t>
  </si>
  <si>
    <t>https://donnees.banquemondiale.org/indicateur/SL.TLF.ACTI.1524.MA.ZS?locations=CI</t>
  </si>
  <si>
    <t>https://donnees.banquemondiale.org/indicateur/SL.TLF.ACTI.1524.MA.NE.ZS?locations=CI</t>
  </si>
  <si>
    <t>https://donnees.banquemondiale.org/indicateur/SL.TLF.ACTI.1524.ZS?locations=CI</t>
  </si>
  <si>
    <t>https://donnees.banquemondiale.org/indicateur/SL.TLF.ACTI.1524.NE.ZS?locations=CI</t>
  </si>
  <si>
    <t>https://donnees.banquemondiale.org/indicateur/SL.TLF.CACT.FE.ZS?locations=CI</t>
  </si>
  <si>
    <t>https://donnees.banquemondiale.org/indicateur/SL.TLF.CACT.FE.NE.ZS?locations=CI</t>
  </si>
  <si>
    <t>https://donnees.banquemondiale.org/indicateur/SL.TLF.ACTI.FE.ZS?locations=CI</t>
  </si>
  <si>
    <t>https://donnees.banquemondiale.org/indicateur/SL.TLF.CACT.MA.ZS?locations=CI</t>
  </si>
  <si>
    <t>https://donnees.banquemondiale.org/indicateur/SL.TLF.CACT.MA.NE.ZS?locations=CI</t>
  </si>
  <si>
    <t>https://donnees.banquemondiale.org/indicateur/SL.TLF.ACTI.MA.ZS?locations=CI</t>
  </si>
  <si>
    <t>https://donnees.banquemondiale.org/indicateur/SL.TLF.CACT.ZS?locations=CI</t>
  </si>
  <si>
    <t>https://donnees.banquemondiale.org/indicateur/SL.TLF.CACT.NE.ZS?locations=CI</t>
  </si>
  <si>
    <t>https://donnees.banquemondiale.org/indicateur/SL.TLF.ACTI.ZS?locations=CI</t>
  </si>
  <si>
    <t>https://donnees.banquemondiale.org/indicateur/SL.TLF.ADVN.ZS?locations=CI</t>
  </si>
  <si>
    <t>https://donnees.banquemondiale.org/indicateur/SL.TLF.ADVN.FE.ZS?locations=CI</t>
  </si>
  <si>
    <t>https://donnees.banquemondiale.org/indicateur/SL.TLF.ADVN.MA.ZS?locations=CI</t>
  </si>
  <si>
    <t>https://donnees.banquemondiale.org/indicateur/SL.TLF.BASC.ZS?locations=CI</t>
  </si>
  <si>
    <t>https://donnees.banquemondiale.org/indicateur/SL.TLF.BASC.FE.ZS?locations=CI</t>
  </si>
  <si>
    <t>https://donnees.banquemondiale.org/indicateur/SL.TLF.BASC.MA.ZS?locations=CI</t>
  </si>
  <si>
    <t>https://donnees.banquemondiale.org/indicateur/SL.TLF.INTM.ZS?locations=CI</t>
  </si>
  <si>
    <t>https://donnees.banquemondiale.org/indicateur/SL.TLF.INTM.FE.ZS?locations=CI</t>
  </si>
  <si>
    <t>https://donnees.banquemondiale.org/indicateur/SL.TLF.INTM.MA.ZS?locations=CI</t>
  </si>
  <si>
    <t>https://donnees.banquemondiale.org/indicateur/SL.TLF.TOTL.FE.ZS?locations=CI</t>
  </si>
  <si>
    <t>https://donnees.banquemondiale.org/indicateur/SL.TLF.TOTL.IN?locations=CI</t>
  </si>
  <si>
    <t>https://donnees.banquemondiale.org/indicateur/AG.LND.TOTL.K2?locations=CI</t>
  </si>
  <si>
    <t>https://donnees.banquemondiale.org/indicateur/AG.LND.EL5M.ZS?locations=CI</t>
  </si>
  <si>
    <t>https://donnees.banquemondiale.org/indicateur/AG.LND.CREL.HA?locations=CI</t>
  </si>
  <si>
    <t>https://donnees.banquemondiale.org/indicateur/LP.EXP.DURS.MD?locations=CI</t>
  </si>
  <si>
    <t>https://donnees.banquemondiale.org/indicateur/LP.IMP.DURS.MD?locations=CI</t>
  </si>
  <si>
    <t>https://donnees.banquemondiale.org/indicateur/SE.LPV.PRIM?locations=CI</t>
  </si>
  <si>
    <t>https://donnees.banquemondiale.org/indicateur/SE.LPV.PRIM.FE?locations=CI</t>
  </si>
  <si>
    <t>https://donnees.banquemondiale.org/indicateur/SE.LPV.PRIM.MA?locations=CI</t>
  </si>
  <si>
    <t>https://donnees.banquemondiale.org/indicateur/FR.INR.LEND?locations=CI</t>
  </si>
  <si>
    <t>https://donnees.banquemondiale.org/indicateur/ER.H2O.FWST.ZS?locations=CI</t>
  </si>
  <si>
    <t>https://donnees.banquemondiale.org/indicateur/SP.DYN.LE00.FE.IN?locations=CI</t>
  </si>
  <si>
    <t>https://donnees.banquemondiale.org/indicateur/SP.DYN.LE00.MA.IN?locations=CI</t>
  </si>
  <si>
    <t>https://donnees.banquemondiale.org/indicateur/SP.DYN.LE00.IN?locations=CI</t>
  </si>
  <si>
    <t>https://donnees.banquemondiale.org/indicateur/SH.MMR.RISK.ZS?locations=CI</t>
  </si>
  <si>
    <t>https://donnees.banquemondiale.org/indicateur/SH.MMR.RISK?locations=CI</t>
  </si>
  <si>
    <t>https://donnees.banquemondiale.org/indicateur/IS.SHP.GCNW.XQ?locations=CI</t>
  </si>
  <si>
    <t>https://donnees.banquemondiale.org/indicateur/CM.MKT.LDOM.NO?locations=CI</t>
  </si>
  <si>
    <t>https://donnees.banquemondiale.org/indicateur/SE.ADT.LITR.FE.ZS?locations=CI</t>
  </si>
  <si>
    <t>https://donnees.banquemondiale.org/indicateur/SE.ADT.LITR.MA.ZS?locations=CI</t>
  </si>
  <si>
    <t>https://donnees.banquemondiale.org/indicateur/SE.ADT.LITR.ZS?locations=CI</t>
  </si>
  <si>
    <t>https://donnees.banquemondiale.org/indicateur/SE.ADT.1524.LT.FM.ZS?locations=CI</t>
  </si>
  <si>
    <t>https://donnees.banquemondiale.org/indicateur/SE.ADT.1524.LT.FE.ZS?locations=CI</t>
  </si>
  <si>
    <t>https://donnees.banquemondiale.org/indicateur/SE.ADT.1524.LT.MA.ZS?locations=CI</t>
  </si>
  <si>
    <t>https://donnees.banquemondiale.org/indicateur/SE.ADT.1524.LT.ZS?locations=CI</t>
  </si>
  <si>
    <t>https://donnees.banquemondiale.org/indicateur/AG.PRD.LVSK.XD?locations=CI</t>
  </si>
  <si>
    <t>https://donnees.banquemondiale.org/indicateur/LP.LPI.TRAC.XQ?locations=CI</t>
  </si>
  <si>
    <t>https://donnees.banquemondiale.org/indicateur/LP.LPI.LOGS.XQ?locations=CI</t>
  </si>
  <si>
    <t>https://donnees.banquemondiale.org/indicateur/LP.LPI.ITRN.XQ?locations=CI</t>
  </si>
  <si>
    <t>https://donnees.banquemondiale.org/indicateur/LP.LPI.CUST.XQ?locations=CI</t>
  </si>
  <si>
    <t>https://donnees.banquemondiale.org/indicateur/LP.LPI.TIME.XQ?locations=CI</t>
  </si>
  <si>
    <t>https://donnees.banquemondiale.org/indicateur/LP.LPI.OVRL.XQ?locations=CI</t>
  </si>
  <si>
    <t>https://donnees.banquemondiale.org/indicateur/LP.LPI.INFR.XQ?locations=CI</t>
  </si>
  <si>
    <t>https://donnees.banquemondiale.org/indicateur/SH.STA.BRTW.ZS?locations=CI</t>
  </si>
  <si>
    <t>https://donnees.banquemondiale.org/indicateur/SE.SEC.CMPT.LO.FE.ZS?locations=CI</t>
  </si>
  <si>
    <t>https://donnees.banquemondiale.org/indicateur/SE.SEC.CMPT.LO.MA.ZS?locations=CI</t>
  </si>
  <si>
    <t>https://donnees.banquemondiale.org/indicateur/SE.SEC.CMPT.LO.ZS?locations=CI</t>
  </si>
  <si>
    <t>https://donnees.banquemondiale.org/indicateur/SE.SEC.AGES?locations=CI</t>
  </si>
  <si>
    <t>https://donnees.banquemondiale.org/indicateur/NV.MNF.MTRN.ZS.UN?locations=CI</t>
  </si>
  <si>
    <t>https://donnees.banquemondiale.org/indicateur/SE.LPV.PRIM.SD.MA?locations=CI</t>
  </si>
  <si>
    <t>https://donnees.banquemondiale.org/indicateur/SE.LPV.PRIM.LD.MA?locations=CI</t>
  </si>
  <si>
    <t>https://donnees.banquemondiale.org/indicateur/EN.MAM.THRD.NO?locations=CI</t>
  </si>
  <si>
    <t>https://donnees.banquemondiale.org/indicateur/IC.MNG.IND?locations=CI</t>
  </si>
  <si>
    <t>https://donnees.banquemondiale.org/indicateur/TX.VAL.MANF.ZS.UN?locations=CI</t>
  </si>
  <si>
    <t>https://donnees.banquemondiale.org/indicateur/TM.VAL.MANF.ZS.UN?locations=CI</t>
  </si>
  <si>
    <t>https://donnees.banquemondiale.org/indicateur/NV.IND.MANF.ZS?locations=CI</t>
  </si>
  <si>
    <t>https://donnees.banquemondiale.org/indicateur/NV.IND.MANF.KD.ZG?locations=CI</t>
  </si>
  <si>
    <t>https://donnees.banquemondiale.org/indicateur/NV.IND.MANF.KD?locations=CI</t>
  </si>
  <si>
    <t>https://donnees.banquemondiale.org/indicateur/NV.IND.MANF.KN?locations=CI</t>
  </si>
  <si>
    <t>https://donnees.banquemondiale.org/indicateur/NV.IND.MANF.CN?locations=CI</t>
  </si>
  <si>
    <t>https://donnees.banquemondiale.org/indicateur/NV.IND.MANF.CD?locations=CI</t>
  </si>
  <si>
    <t>https://donnees.banquemondiale.org/indicateur/ER.MRN.PTMR.ZS?locations=CI</t>
  </si>
  <si>
    <t>https://donnees.banquemondiale.org/indicateur/CM.MKT.LCAP.GD.ZS?locations=CI</t>
  </si>
  <si>
    <t>https://donnees.banquemondiale.org/indicateur/CM.MKT.LCAP.CD?locations=CI</t>
  </si>
  <si>
    <t>https://donnees.banquemondiale.org/indicateur/SH.STA.MMRT?locations=CI</t>
  </si>
  <si>
    <t>https://donnees.banquemondiale.org/indicateur/SH.STA.MMRT.NE?locations=CI</t>
  </si>
  <si>
    <t>https://donnees.banquemondiale.org/indicateur/TX.MNF.TECH.ZS.UN?locations=CI</t>
  </si>
  <si>
    <t>https://donnees.banquemondiale.org/indicateur/NV.MNF.TECH.ZS.UN?locations=CI</t>
  </si>
  <si>
    <t>https://donnees.banquemondiale.org/indicateur/TX.VAL.MRCH.CD.WT?locations=CI</t>
  </si>
  <si>
    <t>https://donnees.banquemondiale.org/indicateur/TX.VAL.MRCH.WL.CD?locations=CI</t>
  </si>
  <si>
    <t>https://donnees.banquemondiale.org/indicateur/TX.VAL.MRCH.RS.ZS?locations=CI</t>
  </si>
  <si>
    <t>https://donnees.banquemondiale.org/indicateur/TX.VAL.MRCH.AL.ZS?locations=CI</t>
  </si>
  <si>
    <t>https://donnees.banquemondiale.org/indicateur/TX.VAL.MRCH.HI.ZS?locations=CI</t>
  </si>
  <si>
    <t>https://donnees.banquemondiale.org/indicateur/TX.VAL.MRCH.R1.ZS?locations=CI</t>
  </si>
  <si>
    <t>https://donnees.banquemondiale.org/indicateur/TX.VAL.MRCH.R2.ZS?locations=CI</t>
  </si>
  <si>
    <t>https://donnees.banquemondiale.org/indicateur/TX.VAL.MRCH.R3.ZS?locations=CI</t>
  </si>
  <si>
    <t>https://donnees.banquemondiale.org/indicateur/TX.VAL.MRCH.R4.ZS?locations=CI</t>
  </si>
  <si>
    <t>https://donnees.banquemondiale.org/indicateur/TX.VAL.MRCH.R5.ZS?locations=CI</t>
  </si>
  <si>
    <t>https://donnees.banquemondiale.org/indicateur/TX.VAL.MRCH.R6.ZS?locations=CI</t>
  </si>
  <si>
    <t>https://donnees.banquemondiale.org/indicateur/TX.VAL.MRCH.OR.ZS?locations=CI</t>
  </si>
  <si>
    <t>https://donnees.banquemondiale.org/indicateur/TX.VAL.MRCH.WR.ZS?locations=CI</t>
  </si>
  <si>
    <t>https://donnees.banquemondiale.org/indicateur/TM.VAL.MRCH.CD.WT?locations=CI</t>
  </si>
  <si>
    <t>https://donnees.banquemondiale.org/indicateur/TM.VAL.MRCH.WL.CD?locations=CI</t>
  </si>
  <si>
    <t>https://donnees.banquemondiale.org/indicateur/TM.VAL.MRCH.RS.ZS?locations=CI</t>
  </si>
  <si>
    <t>https://donnees.banquemondiale.org/indicateur/TM.VAL.MRCH.AL.ZS?locations=CI</t>
  </si>
  <si>
    <t>https://donnees.banquemondiale.org/indicateur/TM.VAL.MRCH.HI.ZS?locations=CI</t>
  </si>
  <si>
    <t>https://donnees.banquemondiale.org/indicateur/TM.VAL.MRCH.R1.ZS?locations=CI</t>
  </si>
  <si>
    <t>https://donnees.banquemondiale.org/indicateur/TM.VAL.MRCH.R2.ZS?locations=CI</t>
  </si>
  <si>
    <t>https://donnees.banquemondiale.org/indicateur/TM.VAL.MRCH.R3.ZS?locations=CI</t>
  </si>
  <si>
    <t>https://donnees.banquemondiale.org/indicateur/TM.VAL.MRCH.R4.ZS?locations=CI</t>
  </si>
  <si>
    <t>https://donnees.banquemondiale.org/indicateur/TM.VAL.MRCH.R5.ZS?locations=CI</t>
  </si>
  <si>
    <t>https://donnees.banquemondiale.org/indicateur/TM.VAL.MRCH.R6.ZS?locations=CI</t>
  </si>
  <si>
    <t>https://donnees.banquemondiale.org/indicateur/TM.VAL.MRCH.OR.ZS?locations=CI</t>
  </si>
  <si>
    <t>https://donnees.banquemondiale.org/indicateur/TM.VAL.MRCH.WR.ZS?locations=CI</t>
  </si>
  <si>
    <t>https://donnees.banquemondiale.org/indicateur/TG.VAL.TOTL.GD.ZS?locations=CI</t>
  </si>
  <si>
    <t>https://donnees.banquemondiale.org/indicateur/EN.GHG.CH4.ZG.AR5?locations=CI</t>
  </si>
  <si>
    <t>https://donnees.banquemondiale.org/indicateur/EN.GHG.CH4.MT.CE.AR5?locations=CI</t>
  </si>
  <si>
    <t>https://donnees.banquemondiale.org/indicateur/EN.GHG.CH4.AG.MT.CE.AR5?locations=CI</t>
  </si>
  <si>
    <t>https://donnees.banquemondiale.org/indicateur/EN.GHG.CH4.BU.MT.CE.AR5?locations=CI</t>
  </si>
  <si>
    <t>https://donnees.banquemondiale.org/indicateur/EN.GHG.CH4.FE.MT.CE.AR5?locations=CI</t>
  </si>
  <si>
    <t>https://donnees.banquemondiale.org/indicateur/EN.GHG.CH4.IC.MT.CE.AR5?locations=CI</t>
  </si>
  <si>
    <t>https://donnees.banquemondiale.org/indicateur/EN.GHG.CH4.IP.MT.CE.AR5?locations=CI</t>
  </si>
  <si>
    <t>https://donnees.banquemondiale.org/indicateur/EN.GHG.CH4.PI.MT.CE.AR5?locations=CI</t>
  </si>
  <si>
    <t>https://donnees.banquemondiale.org/indicateur/EN.GHG.CH4.TR.MT.CE.AR5?locations=CI</t>
  </si>
  <si>
    <t>https://donnees.banquemondiale.org/indicateur/EN.GHG.CH4.WA.MT.CE.AR5?locations=CI</t>
  </si>
  <si>
    <t>https://donnees.banquemondiale.org/indicateur/MS.MIL.XPND.GD.ZS?locations=CI</t>
  </si>
  <si>
    <t>https://donnees.banquemondiale.org/indicateur/MS.MIL.XPND.ZS?locations=CI</t>
  </si>
  <si>
    <t>https://donnees.banquemondiale.org/indicateur/MS.MIL.XPND.CN?locations=CI</t>
  </si>
  <si>
    <t>https://donnees.banquemondiale.org/indicateur/MS.MIL.XPND.CD?locations=CI</t>
  </si>
  <si>
    <t>https://donnees.banquemondiale.org/indicateur/NY.GDP.MINR.RT.ZS?locations=CI</t>
  </si>
  <si>
    <t>https://donnees.banquemondiale.org/indicateur/IT.CEL.SETS?locations=CI</t>
  </si>
  <si>
    <t>https://donnees.banquemondiale.org/indicateur/IT.CEL.SETS.P2?locations=CI</t>
  </si>
  <si>
    <t>https://donnees.banquemondiale.org/indicateur/FM.AST.PRVT.GD.ZS?locations=CI</t>
  </si>
  <si>
    <t>https://donnees.banquemondiale.org/indicateur/SH.STA.TRAF.P5?locations=CI</t>
  </si>
  <si>
    <t>https://donnees.banquemondiale.org/indicateur/SH.DYN.NCOM.ZS?locations=CI</t>
  </si>
  <si>
    <t>https://donnees.banquemondiale.org/indicateur/SH.DYN.NCOM.FE.ZS?locations=CI</t>
  </si>
  <si>
    <t>https://donnees.banquemondiale.org/indicateur/SH.DYN.NCOM.MA.ZS?locations=CI</t>
  </si>
  <si>
    <t>https://donnees.banquemondiale.org/indicateur/SH.STA.AIRP.P5?locations=CI</t>
  </si>
  <si>
    <t>https://donnees.banquemondiale.org/indicateur/SH.STA.AIRP.FE.P5?locations=CI</t>
  </si>
  <si>
    <t>https://donnees.banquemondiale.org/indicateur/SH.STA.AIRP.MA.P5?locations=CI</t>
  </si>
  <si>
    <t>https://donnees.banquemondiale.org/indicateur/SH.STA.POIS.P5?locations=CI</t>
  </si>
  <si>
    <t>https://donnees.banquemondiale.org/indicateur/SH.STA.POIS.P5.FE?locations=CI</t>
  </si>
  <si>
    <t>https://donnees.banquemondiale.org/indicateur/SH.STA.POIS.P5.MA?locations=CI</t>
  </si>
  <si>
    <t>https://donnees.banquemondiale.org/indicateur/SH.STA.WASH.P5?locations=CI</t>
  </si>
  <si>
    <t>https://donnees.banquemondiale.org/indicateur/SP.DYN.AMRT.FE?locations=CI</t>
  </si>
  <si>
    <t>https://donnees.banquemondiale.org/indicateur/SP.DYN.AMRT.MA?locations=CI</t>
  </si>
  <si>
    <t>https://donnees.banquemondiale.org/indicateur/SP.DYN.IMRT.IN?locations=CI</t>
  </si>
  <si>
    <t>https://donnees.banquemondiale.org/indicateur/SP.DYN.IMRT.FE.IN?locations=CI</t>
  </si>
  <si>
    <t>https://donnees.banquemondiale.org/indicateur/SP.DYN.IMRT.MA.IN?locations=CI</t>
  </si>
  <si>
    <t>https://donnees.banquemondiale.org/indicateur/SH.DYN.NMRT?locations=CI</t>
  </si>
  <si>
    <t>https://donnees.banquemondiale.org/indicateur/SH.DYN.MORT?locations=CI</t>
  </si>
  <si>
    <t>https://donnees.banquemondiale.org/indicateur/SH.DYN.MORT.FE?locations=CI</t>
  </si>
  <si>
    <t>https://donnees.banquemondiale.org/indicateur/SH.DYN.MORT.MA?locations=CI</t>
  </si>
  <si>
    <t>https://donnees.banquemondiale.org/indicateur/SI.POV.MPUN?locations=CI</t>
  </si>
  <si>
    <t>https://donnees.banquemondiale.org/indicateur/SI.POV.MPWB?locations=CI</t>
  </si>
  <si>
    <t>https://donnees.banquemondiale.org/indicateur/DT.TDS.MLAT.PG.ZS?locations=CI</t>
  </si>
  <si>
    <t>https://donnees.banquemondiale.org/indicateur/DT.TDS.MLAT.CD?locations=CI</t>
  </si>
  <si>
    <t>https://donnees.banquemondiale.org/indicateur/NY.GDP.NGAS.RT.ZS?locations=CI</t>
  </si>
  <si>
    <t>https://donnees.banquemondiale.org/indicateur/GC.AST.TOTL.GD.ZS?locations=CI</t>
  </si>
  <si>
    <t>https://donnees.banquemondiale.org/indicateur/GC.AST.TOTL.CN?locations=CI</t>
  </si>
  <si>
    <t>https://donnees.banquemondiale.org/indicateur/TT.PRI.MRCH.XD.WD?locations=CI</t>
  </si>
  <si>
    <t>https://donnees.banquemondiale.org/indicateur/DC.DAC.AUSL.CD?locations=CI</t>
  </si>
  <si>
    <t>https://donnees.banquemondiale.org/indicateur/DC.DAC.AUTL.CD?locations=CI</t>
  </si>
  <si>
    <t>https://donnees.banquemondiale.org/indicateur/DC.DAC.BELL.CD?locations=CI</t>
  </si>
  <si>
    <t>https://donnees.banquemondiale.org/indicateur/DC.DAC.CANL.CD?locations=CI</t>
  </si>
  <si>
    <t>https://donnees.banquemondiale.org/indicateur/DC.DAC.CZEL.CD?locations=CI</t>
  </si>
  <si>
    <t>https://donnees.banquemondiale.org/indicateur/DC.DAC.DNKL.CD?locations=CI</t>
  </si>
  <si>
    <t>https://donnees.banquemondiale.org/indicateur/DC.DAC.ESTL.CD?locations=CI</t>
  </si>
  <si>
    <t>https://donnees.banquemondiale.org/indicateur/DC.DAC.CECL.CD?locations=CI</t>
  </si>
  <si>
    <t>https://donnees.banquemondiale.org/indicateur/DC.DAC.FINL.CD?locations=CI</t>
  </si>
  <si>
    <t>https://donnees.banquemondiale.org/indicateur/DC.DAC.FRAL.CD?locations=CI</t>
  </si>
  <si>
    <t>https://donnees.banquemondiale.org/indicateur/DC.DAC.DEUL.CD?locations=CI</t>
  </si>
  <si>
    <t>https://donnees.banquemondiale.org/indicateur/DC.DAC.GRCL.CD?locations=CI</t>
  </si>
  <si>
    <t>https://donnees.banquemondiale.org/indicateur/DC.DAC.HUNL.CD?locations=CI</t>
  </si>
  <si>
    <t>https://donnees.banquemondiale.org/indicateur/DC.DAC.ISLL.CD?locations=CI</t>
  </si>
  <si>
    <t>https://donnees.banquemondiale.org/indicateur/DC.DAC.IRLL.CD?locations=CI</t>
  </si>
  <si>
    <t>https://donnees.banquemondiale.org/indicateur/DC.DAC.ITAL.CD?locations=CI</t>
  </si>
  <si>
    <t>https://donnees.banquemondiale.org/indicateur/DC.DAC.JPNL.CD?locations=CI</t>
  </si>
  <si>
    <t>https://donnees.banquemondiale.org/indicateur/DC.DAC.KORL.CD?locations=CI</t>
  </si>
  <si>
    <t>https://donnees.banquemondiale.org/indicateur/DC.DAC.LTUL.CD?locations=CI</t>
  </si>
  <si>
    <t>https://donnees.banquemondiale.org/indicateur/DC.DAC.LUXL.CD?locations=CI</t>
  </si>
  <si>
    <t>https://donnees.banquemondiale.org/indicateur/DC.DAC.NLDL.CD?locations=CI</t>
  </si>
  <si>
    <t>https://donnees.banquemondiale.org/indicateur/DC.DAC.NZLL.CD?locations=CI</t>
  </si>
  <si>
    <t>https://donnees.banquemondiale.org/indicateur/DC.DAC.NORL.CD?locations=CI</t>
  </si>
  <si>
    <t>https://donnees.banquemondiale.org/indicateur/DC.DAC.POLL.CD?locations=CI</t>
  </si>
  <si>
    <t>https://donnees.banquemondiale.org/indicateur/DC.DAC.PRTL.CD?locations=CI</t>
  </si>
  <si>
    <t>https://donnees.banquemondiale.org/indicateur/DC.DAC.SVKL.CD?locations=CI</t>
  </si>
  <si>
    <t>https://donnees.banquemondiale.org/indicateur/DC.DAC.SVNL.CD?locations=CI</t>
  </si>
  <si>
    <t>https://donnees.banquemondiale.org/indicateur/DC.DAC.ESPL.CD?locations=CI</t>
  </si>
  <si>
    <t>https://donnees.banquemondiale.org/indicateur/DC.DAC.SWEL.CD?locations=CI</t>
  </si>
  <si>
    <t>https://donnees.banquemondiale.org/indicateur/DC.DAC.CHEL.CD?locations=CI</t>
  </si>
  <si>
    <t>https://donnees.banquemondiale.org/indicateur/DC.DAC.TOTL.CD?locations=CI</t>
  </si>
  <si>
    <t>https://donnees.banquemondiale.org/indicateur/DC.DAC.GBRL.CD?locations=CI</t>
  </si>
  <si>
    <t>https://donnees.banquemondiale.org/indicateur/DC.DAC.USAL.CD?locations=CI</t>
  </si>
  <si>
    <t>https://donnees.banquemondiale.org/indicateur/BN.TRF.KOGT.CD?locations=CI</t>
  </si>
  <si>
    <t>https://donnees.banquemondiale.org/indicateur/FM.AST.DOMS.CN?locations=CI</t>
  </si>
  <si>
    <t>https://donnees.banquemondiale.org/indicateur/BN.KAC.EOMS.CD?locations=CI</t>
  </si>
  <si>
    <t>https://donnees.banquemondiale.org/indicateur/BN.FIN.TOTL.CD?locations=CI</t>
  </si>
  <si>
    <t>https://donnees.banquemondiale.org/indicateur/DT.NFL.BLAT.CD?locations=CI</t>
  </si>
  <si>
    <t>https://donnees.banquemondiale.org/indicateur/DT.NFL.MIBR.CD?locations=CI</t>
  </si>
  <si>
    <t>https://donnees.banquemondiale.org/indicateur/DT.NFL.MIDA.CD?locations=CI</t>
  </si>
  <si>
    <t>https://donnees.banquemondiale.org/indicateur/DT.NFL.IMFC.CD?locations=CI</t>
  </si>
  <si>
    <t>https://donnees.banquemondiale.org/indicateur/DT.NFL.IMFN.CD?locations=CI</t>
  </si>
  <si>
    <t>https://donnees.banquemondiale.org/indicateur/DT.NFL.MLAT.CD?locations=CI</t>
  </si>
  <si>
    <t>https://donnees.banquemondiale.org/indicateur/DT.NFL.MOTH.CD?locations=CI</t>
  </si>
  <si>
    <t>https://donnees.banquemondiale.org/indicateur/DT.NFL.RDBC.CD?locations=CI</t>
  </si>
  <si>
    <t>https://donnees.banquemondiale.org/indicateur/DT.NFL.RDBN.CD?locations=CI</t>
  </si>
  <si>
    <t>https://donnees.banquemondiale.org/indicateur/DT.NFL.DPNG.CD?locations=CI</t>
  </si>
  <si>
    <t>https://donnees.banquemondiale.org/indicateur/FM.AST.NFRG.CN?locations=CI</t>
  </si>
  <si>
    <t>https://donnees.banquemondiale.org/indicateur/GC.LBL.TOTL.GD.ZS?locations=CI</t>
  </si>
  <si>
    <t>https://donnees.banquemondiale.org/indicateur/GC.LBL.TOTL.CN?locations=CI</t>
  </si>
  <si>
    <t>https://donnees.banquemondiale.org/indicateur/SE.PRM.NINT.ZS?locations=CI</t>
  </si>
  <si>
    <t>https://donnees.banquemondiale.org/indicateur/SE.PRM.NINT.FE.ZS?locations=CI</t>
  </si>
  <si>
    <t>https://donnees.banquemondiale.org/indicateur/SE.PRM.NINT.MA.ZS?locations=CI</t>
  </si>
  <si>
    <t>https://donnees.banquemondiale.org/indicateur/GC.NFN.TOTL.GD.ZS?locations=CI</t>
  </si>
  <si>
    <t>https://donnees.banquemondiale.org/indicateur/GC.NFN.TOTL.CN?locations=CI</t>
  </si>
  <si>
    <t>https://donnees.banquemondiale.org/indicateur/GC.NLD.TOTL.GD.ZS?locations=CI</t>
  </si>
  <si>
    <t>https://donnees.banquemondiale.org/indicateur/GC.NLD.TOTL.CN?locations=CI</t>
  </si>
  <si>
    <t>https://donnees.banquemondiale.org/indicateur/SM.POP.NETM?locations=CI</t>
  </si>
  <si>
    <t>https://donnees.banquemondiale.org/indicateur/DC.ODA.TLDC.GN.ZS?locations=CI</t>
  </si>
  <si>
    <t>https://donnees.banquemondiale.org/indicateur/DC.ODA.TLDC.CD?locations=CI</t>
  </si>
  <si>
    <t>https://donnees.banquemondiale.org/indicateur/DC.ODA.TOTL.GN.ZS?locations=CI</t>
  </si>
  <si>
    <t>https://donnees.banquemondiale.org/indicateur/DC.ODA.TOTL.KD?locations=CI</t>
  </si>
  <si>
    <t>https://donnees.banquemondiale.org/indicateur/DC.ODA.TOTL.CD?locations=CI</t>
  </si>
  <si>
    <t>https://donnees.banquemondiale.org/indicateur/DT.ODA.ODAT.XP.ZS?locations=CI</t>
  </si>
  <si>
    <t>https://donnees.banquemondiale.org/indicateur/DT.ODA.ODAT.GN.ZS?locations=CI</t>
  </si>
  <si>
    <t>https://donnees.banquemondiale.org/indicateur/DT.ODA.ODAT.GI.ZS?locations=CI</t>
  </si>
  <si>
    <t>https://donnees.banquemondiale.org/indicateur/DT.ODA.ODAT.MP.ZS?locations=CI</t>
  </si>
  <si>
    <t>https://donnees.banquemondiale.org/indicateur/DT.ODA.ODAT.PC.ZS?locations=CI</t>
  </si>
  <si>
    <t>https://donnees.banquemondiale.org/indicateur/DT.ODA.OATL.KD?locations=CI</t>
  </si>
  <si>
    <t>https://donnees.banquemondiale.org/indicateur/DT.ODA.OATL.CD?locations=CI</t>
  </si>
  <si>
    <t>https://donnees.banquemondiale.org/indicateur/DT.ODA.ALLD.KD?locations=CI</t>
  </si>
  <si>
    <t>https://donnees.banquemondiale.org/indicateur/DT.ODA.ALLD.CD?locations=CI</t>
  </si>
  <si>
    <t>https://donnees.banquemondiale.org/indicateur/DT.ODA.ODAT.KD?locations=CI</t>
  </si>
  <si>
    <t>https://donnees.banquemondiale.org/indicateur/DT.ODA.ODAT.CD?locations=CI</t>
  </si>
  <si>
    <t>https://donnees.banquemondiale.org/indicateur/DT.NFL.CERF.CD?locations=CI</t>
  </si>
  <si>
    <t>https://donnees.banquemondiale.org/indicateur/DT.NFL.FAOG.CD?locations=CI</t>
  </si>
  <si>
    <t>https://donnees.banquemondiale.org/indicateur/DT.NFL.IAEA.CD?locations=CI</t>
  </si>
  <si>
    <t>https://donnees.banquemondiale.org/indicateur/DT.NFL.IFAD.CD?locations=CI</t>
  </si>
  <si>
    <t>https://donnees.banquemondiale.org/indicateur/DT.NFL.ILOG.CD?locations=CI</t>
  </si>
  <si>
    <t>https://donnees.banquemondiale.org/indicateur/DT.NFL.SDGF.CD?locations=CI</t>
  </si>
  <si>
    <t>https://donnees.banquemondiale.org/indicateur/DT.NFL.SPRP.CD?locations=CI</t>
  </si>
  <si>
    <t>https://donnees.banquemondiale.org/indicateur/DT.NFL.UNAI.CD?locations=CI</t>
  </si>
  <si>
    <t>https://donnees.banquemondiale.org/indicateur/DT.NFL.UNCD.CD?locations=CI</t>
  </si>
  <si>
    <t>https://donnees.banquemondiale.org/indicateur/DT.NFL.UNCV.CD?locations=CI</t>
  </si>
  <si>
    <t>https://donnees.banquemondiale.org/indicateur/DT.NFL.UNCTAD.CD?locations=CI</t>
  </si>
  <si>
    <t>https://donnees.banquemondiale.org/indicateur/DT.NFL.UNDP.CD?locations=CI</t>
  </si>
  <si>
    <t>https://donnees.banquemondiale.org/indicateur/DT.NFL.UNEC.CD?locations=CI</t>
  </si>
  <si>
    <t>https://donnees.banquemondiale.org/indicateur/DT.NFL.UNEP.CD?locations=CI</t>
  </si>
  <si>
    <t>https://donnees.banquemondiale.org/indicateur/DT.NFL.UNFP.CD?locations=CI</t>
  </si>
  <si>
    <t>https://donnees.banquemondiale.org/indicateur/DT.NFL.UNCR.CD?locations=CI</t>
  </si>
  <si>
    <t>https://donnees.banquemondiale.org/indicateur/DT.NFL.UNCF.CD?locations=CI</t>
  </si>
  <si>
    <t>https://donnees.banquemondiale.org/indicateur/DT.NFL.UNID.CD?locations=CI</t>
  </si>
  <si>
    <t>https://donnees.banquemondiale.org/indicateur/DT.NFL.UNIDO.CD?locations=CI</t>
  </si>
  <si>
    <t>https://donnees.banquemondiale.org/indicateur/DT.NFL.UNPB.CD?locations=CI</t>
  </si>
  <si>
    <t>https://donnees.banquemondiale.org/indicateur/DT.NFL.UNRW.CD?locations=CI</t>
  </si>
  <si>
    <t>https://donnees.banquemondiale.org/indicateur/DT.NFL.UNTA.CD?locations=CI</t>
  </si>
  <si>
    <t>https://donnees.banquemondiale.org/indicateur/DT.NFL.UNWN.CD?locations=CI</t>
  </si>
  <si>
    <t>https://donnees.banquemondiale.org/indicateur/DT.NFL.UNWT.CD?locations=CI</t>
  </si>
  <si>
    <t>https://donnees.banquemondiale.org/indicateur/DT.NFL.WFPG.CD?locations=CI</t>
  </si>
  <si>
    <t>https://donnees.banquemondiale.org/indicateur/DT.NFL.WHOL.CD?locations=CI</t>
  </si>
  <si>
    <t>https://donnees.banquemondiale.org/indicateur/DT.NFL.WITC.CD?locations=CI</t>
  </si>
  <si>
    <t>https://donnees.banquemondiale.org/indicateur/BN.GSR.FCTY.CD?locations=CI</t>
  </si>
  <si>
    <t>https://donnees.banquemondiale.org/indicateur/NY.GSR.NFCY.KN?locations=CI</t>
  </si>
  <si>
    <t>https://donnees.banquemondiale.org/indicateur/NY.GSR.NFCY.CN?locations=CI</t>
  </si>
  <si>
    <t>https://donnees.banquemondiale.org/indicateur/NY.GSR.NFCY.CD?locations=CI</t>
  </si>
  <si>
    <t>https://donnees.banquemondiale.org/indicateur/BN.TRF.CURR.CD?locations=CI</t>
  </si>
  <si>
    <t>https://donnees.banquemondiale.org/indicateur/NY.TRF.NCTR.KN?locations=CI</t>
  </si>
  <si>
    <t>https://donnees.banquemondiale.org/indicateur/NY.TRF.NCTR.CN?locations=CI</t>
  </si>
  <si>
    <t>https://donnees.banquemondiale.org/indicateur/NY.TRF.NCTR.CD?locations=CI</t>
  </si>
  <si>
    <t>https://donnees.banquemondiale.org/indicateur/BN.GSR.MRCH.CD?locations=CI</t>
  </si>
  <si>
    <t>https://donnees.banquemondiale.org/indicateur/BN.GSR.GNFS.CD?locations=CI</t>
  </si>
  <si>
    <t>https://donnees.banquemondiale.org/indicateur/IC.BUS.NDNS.ZS?locations=CI</t>
  </si>
  <si>
    <t>https://donnees.banquemondiale.org/indicateur/IC.BUS.NREG?locations=CI</t>
  </si>
  <si>
    <t>https://donnees.banquemondiale.org/indicateur/SH.VAC.TTNS.ZS?locations=CI</t>
  </si>
  <si>
    <t>https://donnees.banquemondiale.org/indicateur/EN.GHG.N2O.ZG.AR5?locations=CI</t>
  </si>
  <si>
    <t>https://donnees.banquemondiale.org/indicateur/EN.GHG.N2O.MT.CE.AR5?locations=CI</t>
  </si>
  <si>
    <t>https://donnees.banquemondiale.org/indicateur/EN.GHG.N2O.AG.MT.CE.AR5?locations=CI</t>
  </si>
  <si>
    <t>https://donnees.banquemondiale.org/indicateur/EN.GHG.N2O.BU.MT.CE.AR5?locations=CI</t>
  </si>
  <si>
    <t>https://donnees.banquemondiale.org/indicateur/EN.GHG.N2O.FE.MT.CE.AR5?locations=CI</t>
  </si>
  <si>
    <t>https://donnees.banquemondiale.org/indicateur/EN.GHG.N2O.IC.MT.CE.AR5?locations=CI</t>
  </si>
  <si>
    <t>https://donnees.banquemondiale.org/indicateur/EN.GHG.N2O.IP.MT.CE.AR5?locations=CI</t>
  </si>
  <si>
    <t>https://donnees.banquemondiale.org/indicateur/EN.GHG.N2O.PI.MT.CE.AR5?locations=CI</t>
  </si>
  <si>
    <t>https://donnees.banquemondiale.org/indicateur/EN.GHG.N2O.TR.MT.CE.AR5?locations=CI</t>
  </si>
  <si>
    <t>https://donnees.banquemondiale.org/indicateur/EN.GHG.N2O.WA.MT.CE.AR5?locations=CI</t>
  </si>
  <si>
    <t>https://donnees.banquemondiale.org/indicateur/SH.DTH.1014?locations=CI</t>
  </si>
  <si>
    <t>https://donnees.banquemondiale.org/indicateur/SH.DTH.1519?locations=CI</t>
  </si>
  <si>
    <t>https://donnees.banquemondiale.org/indicateur/SH.DTH.2024?locations=CI</t>
  </si>
  <si>
    <t>https://donnees.banquemondiale.org/indicateur/SH.DTH.0509?locations=CI</t>
  </si>
  <si>
    <t>https://donnees.banquemondiale.org/indicateur/SH.DTH.IMRT?locations=CI</t>
  </si>
  <si>
    <t>https://donnees.banquemondiale.org/indicateur/SH.MMR.DTHS?locations=CI</t>
  </si>
  <si>
    <t>https://donnees.banquemondiale.org/indicateur/SH.DTH.NMRT?locations=CI</t>
  </si>
  <si>
    <t>https://donnees.banquemondiale.org/indicateur/SH.SGR.PROC.P5?locations=CI</t>
  </si>
  <si>
    <t>https://donnees.banquemondiale.org/indicateur/SH.DTH.MORT?locations=CI</t>
  </si>
  <si>
    <t>https://donnees.banquemondiale.org/indicateur/IC.TAX.METG?locations=CI</t>
  </si>
  <si>
    <t>https://donnees.banquemondiale.org/indicateur/SH.MED.NUMW.P3?locations=CI</t>
  </si>
  <si>
    <t>https://donnees.banquemondiale.org/indicateur/PA.NUS.FCRF?locations=CI</t>
  </si>
  <si>
    <t>https://donnees.banquemondiale.org/indicateur/NY.GDP.PETR.RT.ZS?locations=CI</t>
  </si>
  <si>
    <t>https://donnees.banquemondiale.org/indicateur/TX.VAL.MMTL.ZS.UN?locations=CI</t>
  </si>
  <si>
    <t>https://donnees.banquemondiale.org/indicateur/TM.VAL.MMTL.ZS.UN?locations=CI</t>
  </si>
  <si>
    <t>https://donnees.banquemondiale.org/indicateur/GC.XPN.OTHR.ZS?locations=CI</t>
  </si>
  <si>
    <t>https://donnees.banquemondiale.org/indicateur/GC.XPN.OTHR.CN?locations=CI</t>
  </si>
  <si>
    <t>https://donnees.banquemondiale.org/indicateur/NV.MNF.OTHR.ZS.UN?locations=CI</t>
  </si>
  <si>
    <t>https://donnees.banquemondiale.org/indicateur/SM.POP.OPIP.EA?locations=CI</t>
  </si>
  <si>
    <t>https://donnees.banquemondiale.org/indicateur/SM.POP.OPIP.EO?locations=CI</t>
  </si>
  <si>
    <t>https://donnees.banquemondiale.org/indicateur/GC.TAX.OTHR.RV.ZS?locations=CI</t>
  </si>
  <si>
    <t>https://donnees.banquemondiale.org/indicateur/GC.TAX.OTHR.CN?locations=CI</t>
  </si>
  <si>
    <t>https://donnees.banquemondiale.org/indicateur/SH.XPD.OOPC.CH.ZS?locations=CI</t>
  </si>
  <si>
    <t>https://donnees.banquemondiale.org/indicateur/SH.XPD.OOPC.PC.CD?locations=CI</t>
  </si>
  <si>
    <t>https://donnees.banquemondiale.org/indicateur/SH.XPD.OOPC.PP.CD?locations=CI</t>
  </si>
  <si>
    <t>https://donnees.banquemondiale.org/indicateur/SE.PRM.OENR.ZS?locations=CI</t>
  </si>
  <si>
    <t>https://donnees.banquemondiale.org/indicateur/SE.PRM.OENR.FE.ZS?locations=CI</t>
  </si>
  <si>
    <t>https://donnees.banquemondiale.org/indicateur/SE.PRM.OENR.MA.ZS?locations=CI</t>
  </si>
  <si>
    <t>https://donnees.banquemondiale.org/indicateur/SL.TLF.PART.FE.ZS?locations=CI</t>
  </si>
  <si>
    <t>https://donnees.banquemondiale.org/indicateur/SL.TLF.PART.MA.ZS?locations=CI</t>
  </si>
  <si>
    <t>https://donnees.banquemondiale.org/indicateur/SL.TLF.PART.ZS?locations=CI</t>
  </si>
  <si>
    <t>https://donnees.banquemondiale.org/indicateur/IP.PAT.NRES?locations=CI</t>
  </si>
  <si>
    <t>https://donnees.banquemondiale.org/indicateur/IP.PAT.RESD?locations=CI</t>
  </si>
  <si>
    <t>https://donnees.banquemondiale.org/indicateur/SH.STA.ODFC.ZS?locations=CI</t>
  </si>
  <si>
    <t>https://donnees.banquemondiale.org/indicateur/SH.STA.ODFC.RU.ZS?locations=CI</t>
  </si>
  <si>
    <t>https://donnees.banquemondiale.org/indicateur/SH.STA.ODFC.UR.ZS?locations=CI</t>
  </si>
  <si>
    <t>https://donnees.banquemondiale.org/indicateur/SH.H2O.BASW.ZS?locations=CI</t>
  </si>
  <si>
    <t>https://donnees.banquemondiale.org/indicateur/SH.H2O.BASW.RU.ZS?locations=CI</t>
  </si>
  <si>
    <t>https://donnees.banquemondiale.org/indicateur/SH.H2O.BASW.UR.ZS?locations=CI</t>
  </si>
  <si>
    <t>https://donnees.banquemondiale.org/indicateur/SH.STA.BASS.ZS?locations=CI</t>
  </si>
  <si>
    <t>https://donnees.banquemondiale.org/indicateur/SH.STA.BASS.RU.ZS?locations=CI</t>
  </si>
  <si>
    <t>https://donnees.banquemondiale.org/indicateur/SH.STA.BASS.UR.ZS?locations=CI</t>
  </si>
  <si>
    <t>https://donnees.banquemondiale.org/indicateur/SH.H2O.SMDW.ZS?locations=CI</t>
  </si>
  <si>
    <t>https://donnees.banquemondiale.org/indicateur/SH.H2O.SMDW.RU.ZS?locations=CI</t>
  </si>
  <si>
    <t>https://donnees.banquemondiale.org/indicateur/SH.H2O.SMDW.UR.ZS?locations=CI</t>
  </si>
  <si>
    <t>https://donnees.banquemondiale.org/indicateur/SH.STA.SMSS.ZS?locations=CI</t>
  </si>
  <si>
    <t>https://donnees.banquemondiale.org/indicateur/SH.STA.SMSS.RU.ZS?locations=CI</t>
  </si>
  <si>
    <t>https://donnees.banquemondiale.org/indicateur/SH.STA.SMSS.UR.ZS?locations=CI</t>
  </si>
  <si>
    <t>https://donnees.banquemondiale.org/indicateur/SH.STA.HYGN.ZS?locations=CI</t>
  </si>
  <si>
    <t>https://donnees.banquemondiale.org/indicateur/SH.STA.HYGN.RU.ZS?locations=CI</t>
  </si>
  <si>
    <t>https://donnees.banquemondiale.org/indicateur/SH.STA.HYGN.UR.ZS?locations=CI</t>
  </si>
  <si>
    <t>https://donnees.banquemondiale.org/indicateur/AG.LND.CROP.ZS?locations=CI</t>
  </si>
  <si>
    <t>https://donnees.banquemondiale.org/indicateur/SE.PRM.PRS5.FE.ZS?locations=CI</t>
  </si>
  <si>
    <t>https://donnees.banquemondiale.org/indicateur/SE.PRM.PRS5.MA.ZS?locations=CI</t>
  </si>
  <si>
    <t>https://donnees.banquemondiale.org/indicateur/SE.PRM.PRS5.ZS?locations=CI</t>
  </si>
  <si>
    <t>https://donnees.banquemondiale.org/indicateur/SE.PRM.PRSL.FE.ZS?locations=CI</t>
  </si>
  <si>
    <t>https://donnees.banquemondiale.org/indicateur/SE.PRM.PRSL.MA.ZS?locations=CI</t>
  </si>
  <si>
    <t>https://donnees.banquemondiale.org/indicateur/SE.PRM.PRSL.ZS?locations=CI</t>
  </si>
  <si>
    <t>https://donnees.banquemondiale.org/indicateur/BM.TRF.PWKR.CD.DT?locations=CI</t>
  </si>
  <si>
    <t>https://donnees.banquemondiale.org/indicateur/BX.TRF.PWKR.DT.GD.ZS?locations=CI</t>
  </si>
  <si>
    <t>https://donnees.banquemondiale.org/indicateur/BX.TRF.PWKR.CD.DT?locations=CI</t>
  </si>
  <si>
    <t>https://donnees.banquemondiale.org/indicateur/BX.TRF.PWKR.CD?locations=CI</t>
  </si>
  <si>
    <t>https://donnees.banquemondiale.org/indicateur/SH.MED.PHYS.ZS?locations=CI</t>
  </si>
  <si>
    <t>https://donnees.banquemondiale.org/indicateur/EN.HPT.THRD.NO?locations=CI</t>
  </si>
  <si>
    <t>https://donnees.banquemondiale.org/indicateur/EN.ATM.PM25.MC.M3?locations=CI</t>
  </si>
  <si>
    <t>https://donnees.banquemondiale.org/indicateur/EN.ATM.PM25.MC.ZS?locations=CI</t>
  </si>
  <si>
    <t>https://donnees.banquemondiale.org/indicateur/EN.ATM.PM25.MC.T1.ZS?locations=CI</t>
  </si>
  <si>
    <t>https://donnees.banquemondiale.org/indicateur/EN.ATM.PM25.MC.T2.ZS?locations=CI</t>
  </si>
  <si>
    <t>https://donnees.banquemondiale.org/indicateur/EN.ATM.PM25.MC.T3.ZS?locations=CI</t>
  </si>
  <si>
    <t>https://donnees.banquemondiale.org/indicateur/DT.NFL.PNGB.CD?locations=CI</t>
  </si>
  <si>
    <t>https://donnees.banquemondiale.org/indicateur/DT.NFL.PNGC.CD?locations=CI</t>
  </si>
  <si>
    <t>https://donnees.banquemondiale.org/indicateur/PV.EST?locations=CI</t>
  </si>
  <si>
    <t>https://donnees.banquemondiale.org/indicateur/PV.NO.SRC?locations=CI</t>
  </si>
  <si>
    <t>https://donnees.banquemondiale.org/indicateur/PV.PER.RNK?locations=CI</t>
  </si>
  <si>
    <t>https://donnees.banquemondiale.org/indicateur/PV.PER.RNK.LOWER?locations=CI</t>
  </si>
  <si>
    <t>https://donnees.banquemondiale.org/indicateur/PV.PER.RNK.UPPER?locations=CI</t>
  </si>
  <si>
    <t>https://donnees.banquemondiale.org/indicateur/PV.STD.ERR?locations=CI</t>
  </si>
  <si>
    <t>https://donnees.banquemondiale.org/indicateur/SP.POP.0004.FE.5Y?locations=CI</t>
  </si>
  <si>
    <t>https://donnees.banquemondiale.org/indicateur/SP.POP.0004.MA.5Y?locations=CI</t>
  </si>
  <si>
    <t>https://donnees.banquemondiale.org/indicateur/SP.POP.0014.TO.ZS?locations=CI</t>
  </si>
  <si>
    <t>https://donnees.banquemondiale.org/indicateur/SP.POP.0014.FE.IN?locations=CI</t>
  </si>
  <si>
    <t>https://donnees.banquemondiale.org/indicateur/SP.POP.0014.FE.ZS?locations=CI</t>
  </si>
  <si>
    <t>https://donnees.banquemondiale.org/indicateur/SP.POP.0014.MA.IN?locations=CI</t>
  </si>
  <si>
    <t>https://donnees.banquemondiale.org/indicateur/SP.POP.0014.MA.ZS?locations=CI</t>
  </si>
  <si>
    <t>https://donnees.banquemondiale.org/indicateur/SP.POP.0014.TO?locations=CI</t>
  </si>
  <si>
    <t>https://donnees.banquemondiale.org/indicateur/SP.POP.0509.FE.5Y?locations=CI</t>
  </si>
  <si>
    <t>https://donnees.banquemondiale.org/indicateur/SP.POP.0509.MA.5Y?locations=CI</t>
  </si>
  <si>
    <t>https://donnees.banquemondiale.org/indicateur/SP.POP.1014.FE.5Y?locations=CI</t>
  </si>
  <si>
    <t>https://donnees.banquemondiale.org/indicateur/SP.POP.1014.MA.5Y?locations=CI</t>
  </si>
  <si>
    <t>https://donnees.banquemondiale.org/indicateur/SP.POP.1519.FE.5Y?locations=CI</t>
  </si>
  <si>
    <t>https://donnees.banquemondiale.org/indicateur/SP.POP.1519.MA.5Y?locations=CI</t>
  </si>
  <si>
    <t>https://donnees.banquemondiale.org/indicateur/SP.POP.1564.TO.ZS?locations=CI</t>
  </si>
  <si>
    <t>https://donnees.banquemondiale.org/indicateur/SP.POP.1564.FE.IN?locations=CI</t>
  </si>
  <si>
    <t>https://donnees.banquemondiale.org/indicateur/SP.POP.1564.FE.ZS?locations=CI</t>
  </si>
  <si>
    <t>https://donnees.banquemondiale.org/indicateur/SP.POP.1564.MA.IN?locations=CI</t>
  </si>
  <si>
    <t>https://donnees.banquemondiale.org/indicateur/SP.POP.1564.MA.ZS?locations=CI</t>
  </si>
  <si>
    <t>https://donnees.banquemondiale.org/indicateur/SP.POP.1564.TO?locations=CI</t>
  </si>
  <si>
    <t>https://donnees.banquemondiale.org/indicateur/SP.POP.2024.FE.5Y?locations=CI</t>
  </si>
  <si>
    <t>https://donnees.banquemondiale.org/indicateur/SP.POP.2024.MA.5Y?locations=CI</t>
  </si>
  <si>
    <t>https://donnees.banquemondiale.org/indicateur/SP.POP.2529.FE.5Y?locations=CI</t>
  </si>
  <si>
    <t>https://donnees.banquemondiale.org/indicateur/SP.POP.2529.MA.5Y?locations=CI</t>
  </si>
  <si>
    <t>https://donnees.banquemondiale.org/indicateur/SP.POP.3034.FE.5Y?locations=CI</t>
  </si>
  <si>
    <t>https://donnees.banquemondiale.org/indicateur/SP.POP.3034.MA.5Y?locations=CI</t>
  </si>
  <si>
    <t>https://donnees.banquemondiale.org/indicateur/SP.POP.3539.FE.5Y?locations=CI</t>
  </si>
  <si>
    <t>https://donnees.banquemondiale.org/indicateur/SP.POP.3539.MA.5Y?locations=CI</t>
  </si>
  <si>
    <t>https://donnees.banquemondiale.org/indicateur/SP.POP.4044.FE.5Y?locations=CI</t>
  </si>
  <si>
    <t>https://donnees.banquemondiale.org/indicateur/SP.POP.4044.MA.5Y?locations=CI</t>
  </si>
  <si>
    <t>https://donnees.banquemondiale.org/indicateur/SP.POP.4549.FE.5Y?locations=CI</t>
  </si>
  <si>
    <t>https://donnees.banquemondiale.org/indicateur/SP.POP.4549.MA.5Y?locations=CI</t>
  </si>
  <si>
    <t>https://donnees.banquemondiale.org/indicateur/SP.POP.5054.FE.5Y?locations=CI</t>
  </si>
  <si>
    <t>https://donnees.banquemondiale.org/indicateur/SP.POP.5054.MA.5Y?locations=CI</t>
  </si>
  <si>
    <t>https://donnees.banquemondiale.org/indicateur/SP.POP.5559.FE.5Y?locations=CI</t>
  </si>
  <si>
    <t>https://donnees.banquemondiale.org/indicateur/SP.POP.5559.MA.5Y?locations=CI</t>
  </si>
  <si>
    <t>https://donnees.banquemondiale.org/indicateur/SP.POP.6064.FE.5Y?locations=CI</t>
  </si>
  <si>
    <t>https://donnees.banquemondiale.org/indicateur/SP.POP.6064.MA.5Y?locations=CI</t>
  </si>
  <si>
    <t>https://donnees.banquemondiale.org/indicateur/SP.POP.65UP.TO.ZS?locations=CI</t>
  </si>
  <si>
    <t>https://donnees.banquemondiale.org/indicateur/SP.POP.65UP.FE.IN?locations=CI</t>
  </si>
  <si>
    <t>https://donnees.banquemondiale.org/indicateur/SP.POP.65UP.FE.ZS?locations=CI</t>
  </si>
  <si>
    <t>https://donnees.banquemondiale.org/indicateur/SP.POP.65UP.MA.IN?locations=CI</t>
  </si>
  <si>
    <t>https://donnees.banquemondiale.org/indicateur/SP.POP.65UP.MA.ZS?locations=CI</t>
  </si>
  <si>
    <t>https://donnees.banquemondiale.org/indicateur/SP.POP.65UP.TO?locations=CI</t>
  </si>
  <si>
    <t>https://donnees.banquemondiale.org/indicateur/SP.POP.6569.FE.5Y?locations=CI</t>
  </si>
  <si>
    <t>https://donnees.banquemondiale.org/indicateur/SP.POP.6569.MA.5Y?locations=CI</t>
  </si>
  <si>
    <t>https://donnees.banquemondiale.org/indicateur/SP.POP.7074.FE.5Y?locations=CI</t>
  </si>
  <si>
    <t>https://donnees.banquemondiale.org/indicateur/SP.POP.7074.MA.5Y?locations=CI</t>
  </si>
  <si>
    <t>https://donnees.banquemondiale.org/indicateur/SP.POP.7579.FE.5Y?locations=CI</t>
  </si>
  <si>
    <t>https://donnees.banquemondiale.org/indicateur/SP.POP.7579.MA.5Y?locations=CI</t>
  </si>
  <si>
    <t>https://donnees.banquemondiale.org/indicateur/SP.POP.80UP.FE.5Y?locations=CI</t>
  </si>
  <si>
    <t>https://donnees.banquemondiale.org/indicateur/SP.POP.80UP.MA.5Y?locations=CI</t>
  </si>
  <si>
    <t>https://donnees.banquemondiale.org/indicateur/EN.POP.DNST?locations=CI</t>
  </si>
  <si>
    <t>https://donnees.banquemondiale.org/indicateur/SP.POP.GROW?locations=CI</t>
  </si>
  <si>
    <t>https://donnees.banquemondiale.org/indicateur/EN.URB.LCTY?locations=CI</t>
  </si>
  <si>
    <t>https://donnees.banquemondiale.org/indicateur/EN.URB.LCTY.UR.ZS?locations=CI</t>
  </si>
  <si>
    <t>https://donnees.banquemondiale.org/indicateur/EN.URB.MCTY?locations=CI</t>
  </si>
  <si>
    <t>https://donnees.banquemondiale.org/indicateur/EN.URB.MCTY.TL.ZS?locations=CI</t>
  </si>
  <si>
    <t>https://donnees.banquemondiale.org/indicateur/EN.POP.EL5M.ZS?locations=CI</t>
  </si>
  <si>
    <t>https://donnees.banquemondiale.org/indicateur/EN.POP.SLUM.UR.ZS?locations=CI</t>
  </si>
  <si>
    <t>https://donnees.banquemondiale.org/indicateur/SP.POP.TOTL.FE.IN?locations=CI</t>
  </si>
  <si>
    <t>https://donnees.banquemondiale.org/indicateur/SP.POP.TOTL.FE.ZS?locations=CI</t>
  </si>
  <si>
    <t>https://donnees.banquemondiale.org/indicateur/SP.POP.TOTL.MA.IN?locations=CI</t>
  </si>
  <si>
    <t>https://donnees.banquemondiale.org/indicateur/SP.POP.TOTL.MA.ZS?locations=CI</t>
  </si>
  <si>
    <t>https://donnees.banquemondiale.org/indicateur/SP.POP.TOTL?locations=CI</t>
  </si>
  <si>
    <t>https://donnees.banquemondiale.org/indicateur/BX.PEF.TOTL.CD.WD?locations=CI</t>
  </si>
  <si>
    <t>https://donnees.banquemondiale.org/indicateur/DT.NFL.BOND.CD?locations=CI</t>
  </si>
  <si>
    <t>https://donnees.banquemondiale.org/indicateur/BN.KLT.PTXL.CD?locations=CI</t>
  </si>
  <si>
    <t>https://donnees.banquemondiale.org/indicateur/SI.POV.GAPS?locations=CI</t>
  </si>
  <si>
    <t>https://donnees.banquemondiale.org/indicateur/SI.POV.LMIC.GP?locations=CI</t>
  </si>
  <si>
    <t>https://donnees.banquemondiale.org/indicateur/SI.POV.UMIC.GP?locations=CI</t>
  </si>
  <si>
    <t>https://donnees.banquemondiale.org/indicateur/SI.POV.DDAY?locations=CI</t>
  </si>
  <si>
    <t>https://donnees.banquemondiale.org/indicateur/SI.POV.LMIC?locations=CI</t>
  </si>
  <si>
    <t>https://donnees.banquemondiale.org/indicateur/SI.POV.UMIC?locations=CI</t>
  </si>
  <si>
    <t>https://donnees.banquemondiale.org/indicateur/SI.POV.NAHC?locations=CI</t>
  </si>
  <si>
    <t>https://donnees.banquemondiale.org/indicateur/SI.POV.SOPO?locations=CI</t>
  </si>
  <si>
    <t>https://donnees.banquemondiale.org/indicateur/DT.NFL.PBND.CD?locations=CI</t>
  </si>
  <si>
    <t>https://donnees.banquemondiale.org/indicateur/DT.NFL.PCBK.CD?locations=CI</t>
  </si>
  <si>
    <t>https://donnees.banquemondiale.org/indicateur/DT.DOD.MIBR.CD?locations=CI</t>
  </si>
  <si>
    <t>https://donnees.banquemondiale.org/indicateur/DT.DOD.MIDA.CD?locations=CI</t>
  </si>
  <si>
    <t>https://donnees.banquemondiale.org/indicateur/DT.NFL.OFFT.CD?locations=CI</t>
  </si>
  <si>
    <t>https://donnees.banquemondiale.org/indicateur/DT.NFL.PROP.CD?locations=CI</t>
  </si>
  <si>
    <t>https://donnees.banquemondiale.org/indicateur/DT.NFL.PRVT.CD?locations=CI</t>
  </si>
  <si>
    <t>https://donnees.banquemondiale.org/indicateur/PA.NUS.PPP?locations=CI</t>
  </si>
  <si>
    <t>https://donnees.banquemondiale.org/indicateur/PA.NUS.PRVT.PP?locations=CI</t>
  </si>
  <si>
    <t>https://donnees.banquemondiale.org/indicateur/SH.STA.ANVC.ZS?locations=CI</t>
  </si>
  <si>
    <t>https://donnees.banquemondiale.org/indicateur/SE.PRE.DURS?locations=CI</t>
  </si>
  <si>
    <t>https://donnees.banquemondiale.org/indicateur/DT.DOD.PVLX.EX.ZS?locations=CI</t>
  </si>
  <si>
    <t>https://donnees.banquemondiale.org/indicateur/DT.DOD.PVLX.GN.ZS?locations=CI</t>
  </si>
  <si>
    <t>https://donnees.banquemondiale.org/indicateur/DT.DOD.PVLX.CD?locations=CI</t>
  </si>
  <si>
    <t>https://donnees.banquemondiale.org/indicateur/SH.ANM.CHLD.ZS?locations=CI</t>
  </si>
  <si>
    <t>https://donnees.banquemondiale.org/indicateur/SH.ANM.NPRG.ZS?locations=CI</t>
  </si>
  <si>
    <t>https://donnees.banquemondiale.org/indicateur/SH.PRG.ANEM?locations=CI</t>
  </si>
  <si>
    <t>https://donnees.banquemondiale.org/indicateur/SH.ANM.ALLW.ZS?locations=CI</t>
  </si>
  <si>
    <t>https://donnees.banquemondiale.org/indicateur/SH.PRV.SMOK?locations=CI</t>
  </si>
  <si>
    <t>https://donnees.banquemondiale.org/indicateur/SH.PRV.SMOK.FE?locations=CI</t>
  </si>
  <si>
    <t>https://donnees.banquemondiale.org/indicateur/SH.PRV.SMOK.MA?locations=CI</t>
  </si>
  <si>
    <t>https://donnees.banquemondiale.org/indicateur/SH.HIV.1524.FE.ZS?locations=CI</t>
  </si>
  <si>
    <t>https://donnees.banquemondiale.org/indicateur/SH.HIV.1524.MA.ZS?locations=CI</t>
  </si>
  <si>
    <t>https://donnees.banquemondiale.org/indicateur/SH.DYN.AIDS.ZS?locations=CI</t>
  </si>
  <si>
    <t>https://donnees.banquemondiale.org/indicateur/SN.ITK.MSFI.ZS?locations=CI</t>
  </si>
  <si>
    <t>https://donnees.banquemondiale.org/indicateur/SH.STA.OWGH.ZS?locations=CI</t>
  </si>
  <si>
    <t>https://donnees.banquemondiale.org/indicateur/SH.STA.OWGH.ME.ZS?locations=CI</t>
  </si>
  <si>
    <t>https://donnees.banquemondiale.org/indicateur/SH.STA.OWGH.FE.ZS?locations=CI</t>
  </si>
  <si>
    <t>https://donnees.banquemondiale.org/indicateur/SH.STA.OWGH.ME.FE.ZS?locations=CI</t>
  </si>
  <si>
    <t>https://donnees.banquemondiale.org/indicateur/SH.STA.OWGH.MA.ZS?locations=CI</t>
  </si>
  <si>
    <t>https://donnees.banquemondiale.org/indicateur/SH.STA.OWGH.ME.MA.ZS?locations=CI</t>
  </si>
  <si>
    <t>https://donnees.banquemondiale.org/indicateur/SN.ITK.SVFI.ZS?locations=CI</t>
  </si>
  <si>
    <t>https://donnees.banquemondiale.org/indicateur/SH.SVR.WAST.ZS?locations=CI</t>
  </si>
  <si>
    <t>https://donnees.banquemondiale.org/indicateur/SH.SVR.WAST.FE.ZS?locations=CI</t>
  </si>
  <si>
    <t>https://donnees.banquemondiale.org/indicateur/SH.SVR.WAST.MA.ZS?locations=CI</t>
  </si>
  <si>
    <t>https://donnees.banquemondiale.org/indicateur/SH.STA.STNT.ZS?locations=CI</t>
  </si>
  <si>
    <t>https://donnees.banquemondiale.org/indicateur/SH.STA.STNT.ME.ZS?locations=CI</t>
  </si>
  <si>
    <t>https://donnees.banquemondiale.org/indicateur/SH.STA.STNT.FE.ZS?locations=CI</t>
  </si>
  <si>
    <t>https://donnees.banquemondiale.org/indicateur/SH.STA.STNT.ME.FE.ZS?locations=CI</t>
  </si>
  <si>
    <t>https://donnees.banquemondiale.org/indicateur/SH.STA.STNT.MA.ZS?locations=CI</t>
  </si>
  <si>
    <t>https://donnees.banquemondiale.org/indicateur/SH.STA.STNT.ME.MA.ZS?locations=CI</t>
  </si>
  <si>
    <t>https://donnees.banquemondiale.org/indicateur/SN.ITK.DEFC.ZS?locations=CI</t>
  </si>
  <si>
    <t>https://donnees.banquemondiale.org/indicateur/SH.STA.MALN.ZS?locations=CI</t>
  </si>
  <si>
    <t>https://donnees.banquemondiale.org/indicateur/SH.STA.MALN.FE.ZS?locations=CI</t>
  </si>
  <si>
    <t>https://donnees.banquemondiale.org/indicateur/SH.STA.MALN.MA.ZS?locations=CI</t>
  </si>
  <si>
    <t>https://donnees.banquemondiale.org/indicateur/SH.STA.WAST.ZS?locations=CI</t>
  </si>
  <si>
    <t>https://donnees.banquemondiale.org/indicateur/SH.STA.WAST.FE.ZS?locations=CI</t>
  </si>
  <si>
    <t>https://donnees.banquemondiale.org/indicateur/SH.STA.WAST.MA.ZS?locations=CI</t>
  </si>
  <si>
    <t>https://donnees.banquemondiale.org/indicateur/PA.NUS.PPPC.RF?locations=CI</t>
  </si>
  <si>
    <t>https://donnees.banquemondiale.org/indicateur/SE.PRM.CMPT.FE.ZS?locations=CI</t>
  </si>
  <si>
    <t>https://donnees.banquemondiale.org/indicateur/SE.PRM.CMPT.MA.ZS?locations=CI</t>
  </si>
  <si>
    <t>https://donnees.banquemondiale.org/indicateur/SE.PRM.CMPT.ZS?locations=CI</t>
  </si>
  <si>
    <t>https://donnees.banquemondiale.org/indicateur/SE.PRM.DURS?locations=CI</t>
  </si>
  <si>
    <t>https://donnees.banquemondiale.org/indicateur/SE.PRM.ENRL?locations=CI</t>
  </si>
  <si>
    <t>https://donnees.banquemondiale.org/indicateur/SE.PRM.ENRL.FE.ZS?locations=CI</t>
  </si>
  <si>
    <t>https://donnees.banquemondiale.org/indicateur/SE.PRM.TCHR?locations=CI</t>
  </si>
  <si>
    <t>https://donnees.banquemondiale.org/indicateur/SE.PRM.TCHR.FE.ZS?locations=CI</t>
  </si>
  <si>
    <t>https://donnees.banquemondiale.org/indicateur/GF.XPD.BUDG.ZS?locations=CI</t>
  </si>
  <si>
    <t>https://donnees.banquemondiale.org/indicateur/BM.GSR.FCTY.CD?locations=CI</t>
  </si>
  <si>
    <t>https://donnees.banquemondiale.org/indicateur/BX.GSR.FCTY.CD?locations=CI</t>
  </si>
  <si>
    <t>https://donnees.banquemondiale.org/indicateur/SE.LPV.PRIM.SD?locations=CI</t>
  </si>
  <si>
    <t>https://donnees.banquemondiale.org/indicateur/SE.PRM.AGES?locations=CI</t>
  </si>
  <si>
    <t>https://donnees.banquemondiale.org/indicateur/SH.DYN.1014?locations=CI</t>
  </si>
  <si>
    <t>https://donnees.banquemondiale.org/indicateur/SH.DYN.1519?locations=CI</t>
  </si>
  <si>
    <t>https://donnees.banquemondiale.org/indicateur/SH.DYN.0509?locations=CI</t>
  </si>
  <si>
    <t>https://donnees.banquemondiale.org/indicateur/SH.DYN.2024?locations=CI</t>
  </si>
  <si>
    <t>https://donnees.banquemondiale.org/indicateur/SE.SEC.PROG.ZS?locations=CI</t>
  </si>
  <si>
    <t>https://donnees.banquemondiale.org/indicateur/SE.SEC.PROG.FE.ZS?locations=CI</t>
  </si>
  <si>
    <t>https://donnees.banquemondiale.org/indicateur/SE.SEC.PROG.MA.ZS?locations=CI</t>
  </si>
  <si>
    <t>https://donnees.banquemondiale.org/indicateur/SI.DST.50MD?locations=CI</t>
  </si>
  <si>
    <t>https://donnees.banquemondiale.org/indicateur/SH.UHC.NOP1.ZS?locations=CI</t>
  </si>
  <si>
    <t>https://donnees.banquemondiale.org/indicateur/SH.UHC.NOP2.ZS?locations=CI</t>
  </si>
  <si>
    <t>https://donnees.banquemondiale.org/indicateur/SH.UHC.NOPR.ZS?locations=CI</t>
  </si>
  <si>
    <t>https://donnees.banquemondiale.org/indicateur/SH.UHC.FBP1.ZS?locations=CI</t>
  </si>
  <si>
    <t>https://donnees.banquemondiale.org/indicateur/SH.UHC.FBP2.ZS?locations=CI</t>
  </si>
  <si>
    <t>https://donnees.banquemondiale.org/indicateur/SH.UHC.FBPR.ZS?locations=CI</t>
  </si>
  <si>
    <t>https://donnees.banquemondiale.org/indicateur/SH.UHC.TOT1.ZS?locations=CI</t>
  </si>
  <si>
    <t>https://donnees.banquemondiale.org/indicateur/SH.UHC.TOT2.ZS?locations=CI</t>
  </si>
  <si>
    <t>https://donnees.banquemondiale.org/indicateur/SH.UHC.TOTR.ZS?locations=CI</t>
  </si>
  <si>
    <t>https://donnees.banquemondiale.org/indicateur/SH.UHC.OOPC.10.ZS?locations=CI</t>
  </si>
  <si>
    <t>https://donnees.banquemondiale.org/indicateur/SH.UHC.OOPC.25.ZS?locations=CI</t>
  </si>
  <si>
    <t>https://donnees.banquemondiale.org/indicateur/SG.GEN.PARL.ZS?locations=CI</t>
  </si>
  <si>
    <t>https://donnees.banquemondiale.org/indicateur/SG.TIM.UWRK.FE?locations=CI</t>
  </si>
  <si>
    <t>https://donnees.banquemondiale.org/indicateur/SG.TIM.UWRK.MA?locations=CI</t>
  </si>
  <si>
    <t>https://donnees.banquemondiale.org/indicateur/SG.VAW.1549.ZS?locations=CI</t>
  </si>
  <si>
    <t>https://donnees.banquemondiale.org/indicateur/SI.SPR.PGAP?locations=CI</t>
  </si>
  <si>
    <t>https://donnees.banquemondiale.org/indicateur/DT.TDS.DPPG.XP.ZS?locations=CI</t>
  </si>
  <si>
    <t>https://donnees.banquemondiale.org/indicateur/DT.TDS.DPPG.GN.ZS?locations=CI</t>
  </si>
  <si>
    <t>https://donnees.banquemondiale.org/indicateur/IE.PPN.ENGY.CD?locations=CI</t>
  </si>
  <si>
    <t>https://donnees.banquemondiale.org/indicateur/IE.PPN.ICTI.CD?locations=CI</t>
  </si>
  <si>
    <t>https://donnees.banquemondiale.org/indicateur/IE.PPN.TRAN.CD?locations=CI</t>
  </si>
  <si>
    <t>https://donnees.banquemondiale.org/indicateur/IE.PPN.WATR.CD?locations=CI</t>
  </si>
  <si>
    <t>https://donnees.banquemondiale.org/indicateur/SE.LPV.PRIM.LD?locations=CI</t>
  </si>
  <si>
    <t>https://donnees.banquemondiale.org/indicateur/SE.SEC.ENRL.LO.TC.ZS?locations=CI</t>
  </si>
  <si>
    <t>https://donnees.banquemondiale.org/indicateur/SE.PRE.ENRL.TC.ZS?locations=CI</t>
  </si>
  <si>
    <t>https://donnees.banquemondiale.org/indicateur/SE.PRM.ENRL.TC.ZS?locations=CI</t>
  </si>
  <si>
    <t>https://donnees.banquemondiale.org/indicateur/SE.SEC.ENRL.TC.ZS?locations=CI</t>
  </si>
  <si>
    <t>https://donnees.banquemondiale.org/indicateur/SE.TER.ENRL.TC.ZS?locations=CI</t>
  </si>
  <si>
    <t>https://donnees.banquemondiale.org/indicateur/SE.SEC.ENRL.UP.TC.ZS?locations=CI</t>
  </si>
  <si>
    <t>https://donnees.banquemondiale.org/indicateur/IS.RRS.TOTL.KM?locations=CI</t>
  </si>
  <si>
    <t>https://donnees.banquemondiale.org/indicateur/IS.RRS.GOOD.MT.K6?locations=CI</t>
  </si>
  <si>
    <t>https://donnees.banquemondiale.org/indicateur/IS.RRS.PASG.KM?locations=CI</t>
  </si>
  <si>
    <t>https://donnees.banquemondiale.org/indicateur/SL.TLF.CACT.FM.ZS?locations=CI</t>
  </si>
  <si>
    <t>https://donnees.banquemondiale.org/indicateur/SL.TLF.CACT.FM.NE.ZS?locations=CI</t>
  </si>
  <si>
    <t>https://donnees.banquemondiale.org/indicateur/PX.REX.REER?locations=CI</t>
  </si>
  <si>
    <t>https://donnees.banquemondiale.org/indicateur/FR.INR.RINR?locations=CI</t>
  </si>
  <si>
    <t>https://donnees.banquemondiale.org/indicateur/SM.POP.RHCR.EA?locations=CI</t>
  </si>
  <si>
    <t>https://donnees.banquemondiale.org/indicateur/SM.POP.RHCR.EO?locations=CI</t>
  </si>
  <si>
    <t>https://donnees.banquemondiale.org/indicateur/SM.POP.RRWA.EA?locations=CI</t>
  </si>
  <si>
    <t>https://donnees.banquemondiale.org/indicateur/SM.POP.RRWA.EO?locations=CI</t>
  </si>
  <si>
    <t>https://donnees.banquemondiale.org/indicateur/RQ.EST?locations=CI</t>
  </si>
  <si>
    <t>https://donnees.banquemondiale.org/indicateur/RQ.NO.SRC?locations=CI</t>
  </si>
  <si>
    <t>https://donnees.banquemondiale.org/indicateur/RQ.PER.RNK?locations=CI</t>
  </si>
  <si>
    <t>https://donnees.banquemondiale.org/indicateur/RQ.PER.RNK.LOWER?locations=CI</t>
  </si>
  <si>
    <t>https://donnees.banquemondiale.org/indicateur/RQ.PER.RNK.UPPER?locations=CI</t>
  </si>
  <si>
    <t>https://donnees.banquemondiale.org/indicateur/RQ.STD.ERR?locations=CI</t>
  </si>
  <si>
    <t>https://donnees.banquemondiale.org/indicateur/EG.ELC.RNEW.ZS?locations=CI</t>
  </si>
  <si>
    <t>https://donnees.banquemondiale.org/indicateur/EG.FEC.RNEW.ZS?locations=CI</t>
  </si>
  <si>
    <t>https://donnees.banquemondiale.org/indicateur/ER.H2O.INTR.PC?locations=CI</t>
  </si>
  <si>
    <t>https://donnees.banquemondiale.org/indicateur/ER.H2O.INTR.K3?locations=CI</t>
  </si>
  <si>
    <t>https://donnees.banquemondiale.org/indicateur/SE.PRM.REPT.FE.ZS?locations=CI</t>
  </si>
  <si>
    <t>https://donnees.banquemondiale.org/indicateur/SE.PRM.REPT.MA.ZS?locations=CI</t>
  </si>
  <si>
    <t>https://donnees.banquemondiale.org/indicateur/SE.PRM.REPT.ZS?locations=CI</t>
  </si>
  <si>
    <t>https://donnees.banquemondiale.org/indicateur/GB.XPD.RSDV.GD.ZS?locations=CI</t>
  </si>
  <si>
    <t>https://donnees.banquemondiale.org/indicateur/SP.POP.SCIE.RD.P6?locations=CI</t>
  </si>
  <si>
    <t>https://donnees.banquemondiale.org/indicateur/BN.RES.INCL.CD?locations=CI</t>
  </si>
  <si>
    <t>https://donnees.banquemondiale.org/indicateur/GC.REV.XGRT.GD.ZS?locations=CI</t>
  </si>
  <si>
    <t>https://donnees.banquemondiale.org/indicateur/GC.REV.XGRT.CN?locations=CI</t>
  </si>
  <si>
    <t>https://donnees.banquemondiale.org/indicateur/SH.SGR.CRSK.ZS?locations=CI</t>
  </si>
  <si>
    <t>https://donnees.banquemondiale.org/indicateur/SH.SGR.IRSK.ZS?locations=CI</t>
  </si>
  <si>
    <t>https://donnees.banquemondiale.org/indicateur/FR.INR.RISK?locations=CI</t>
  </si>
  <si>
    <t>https://donnees.banquemondiale.org/indicateur/RL.EST?locations=CI</t>
  </si>
  <si>
    <t>https://donnees.banquemondiale.org/indicateur/RL.NO.SRC?locations=CI</t>
  </si>
  <si>
    <t>https://donnees.banquemondiale.org/indicateur/RL.PER.RNK?locations=CI</t>
  </si>
  <si>
    <t>https://donnees.banquemondiale.org/indicateur/RL.PER.RNK.LOWER?locations=CI</t>
  </si>
  <si>
    <t>https://donnees.banquemondiale.org/indicateur/RL.PER.RNK.UPPER?locations=CI</t>
  </si>
  <si>
    <t>https://donnees.banquemondiale.org/indicateur/RL.STD.ERR?locations=CI</t>
  </si>
  <si>
    <t>https://donnees.banquemondiale.org/indicateur/AG.LND.TOTL.RU.K2?locations=CI</t>
  </si>
  <si>
    <t>https://donnees.banquemondiale.org/indicateur/AG.LND.EL5M.RU.ZS?locations=CI</t>
  </si>
  <si>
    <t>https://donnees.banquemondiale.org/indicateur/AG.LND.EL5M.RU.K2?locations=CI</t>
  </si>
  <si>
    <t>https://donnees.banquemondiale.org/indicateur/SP.RUR.TOTL?locations=CI</t>
  </si>
  <si>
    <t>https://donnees.banquemondiale.org/indicateur/SP.RUR.TOTL.ZS?locations=CI</t>
  </si>
  <si>
    <t>https://donnees.banquemondiale.org/indicateur/SP.RUR.TOTL.ZG?locations=CI</t>
  </si>
  <si>
    <t>https://donnees.banquemondiale.org/indicateur/EN.POP.EL5M.RU.ZS?locations=CI</t>
  </si>
  <si>
    <t>https://donnees.banquemondiale.org/indicateur/CM.MKT.INDX.ZG?locations=CI</t>
  </si>
  <si>
    <t>https://donnees.banquemondiale.org/indicateur/SE.PRE.ENRR?locations=CI</t>
  </si>
  <si>
    <t>https://donnees.banquemondiale.org/indicateur/SE.PRE.ENRR.FE?locations=CI</t>
  </si>
  <si>
    <t>https://donnees.banquemondiale.org/indicateur/SE.PRE.ENRR.MA?locations=CI</t>
  </si>
  <si>
    <t>https://donnees.banquemondiale.org/indicateur/SE.PRM.ENRR?locations=CI</t>
  </si>
  <si>
    <t>https://donnees.banquemondiale.org/indicateur/SE.PRM.NENR?locations=CI</t>
  </si>
  <si>
    <t>https://donnees.banquemondiale.org/indicateur/SE.ENR.PRIM.FM.ZS?locations=CI</t>
  </si>
  <si>
    <t>https://donnees.banquemondiale.org/indicateur/SE.ENR.PRSC.FM.ZS?locations=CI</t>
  </si>
  <si>
    <t>https://donnees.banquemondiale.org/indicateur/SE.PRM.ENRR.FE?locations=CI</t>
  </si>
  <si>
    <t>https://donnees.banquemondiale.org/indicateur/SE.PRM.NENR.FE?locations=CI</t>
  </si>
  <si>
    <t>https://donnees.banquemondiale.org/indicateur/SE.PRM.ENRR.MA?locations=CI</t>
  </si>
  <si>
    <t>https://donnees.banquemondiale.org/indicateur/SE.PRM.NENR.MA?locations=CI</t>
  </si>
  <si>
    <t>https://donnees.banquemondiale.org/indicateur/SE.PRM.PRIV.ZS?locations=CI</t>
  </si>
  <si>
    <t>https://donnees.banquemondiale.org/indicateur/SE.SEC.ENRR?locations=CI</t>
  </si>
  <si>
    <t>https://donnees.banquemondiale.org/indicateur/SE.SEC.NENR?locations=CI</t>
  </si>
  <si>
    <t>https://donnees.banquemondiale.org/indicateur/SE.ENR.SECO.FM.ZS?locations=CI</t>
  </si>
  <si>
    <t>https://donnees.banquemondiale.org/indicateur/SE.SEC.ENRR.FE?locations=CI</t>
  </si>
  <si>
    <t>https://donnees.banquemondiale.org/indicateur/SE.SEC.NENR.FE?locations=CI</t>
  </si>
  <si>
    <t>https://donnees.banquemondiale.org/indicateur/SE.SEC.ENRR.MA?locations=CI</t>
  </si>
  <si>
    <t>https://donnees.banquemondiale.org/indicateur/SE.SEC.NENR.MA?locations=CI</t>
  </si>
  <si>
    <t>https://donnees.banquemondiale.org/indicateur/SE.SEC.PRIV.ZS?locations=CI</t>
  </si>
  <si>
    <t>https://donnees.banquemondiale.org/indicateur/SE.TER.ENRR?locations=CI</t>
  </si>
  <si>
    <t>https://donnees.banquemondiale.org/indicateur/SE.ENR.TERT.FM.ZS?locations=CI</t>
  </si>
  <si>
    <t>https://donnees.banquemondiale.org/indicateur/SE.TER.ENRR.FE?locations=CI</t>
  </si>
  <si>
    <t>https://donnees.banquemondiale.org/indicateur/SE.TER.ENRR.MA?locations=CI</t>
  </si>
  <si>
    <t>https://donnees.banquemondiale.org/indicateur/IP.JRN.ARTC.SC?locations=CI</t>
  </si>
  <si>
    <t>https://donnees.banquemondiale.org/indicateur/SE.SEC.DURS?locations=CI</t>
  </si>
  <si>
    <t>https://donnees.banquemondiale.org/indicateur/SE.SEC.ENRL.GC?locations=CI</t>
  </si>
  <si>
    <t>https://donnees.banquemondiale.org/indicateur/SE.SEC.ENRL.GC.FE.ZS?locations=CI</t>
  </si>
  <si>
    <t>https://donnees.banquemondiale.org/indicateur/SE.SEC.ENRL?locations=CI</t>
  </si>
  <si>
    <t>https://donnees.banquemondiale.org/indicateur/SE.SEC.ENRL.FE.ZS?locations=CI</t>
  </si>
  <si>
    <t>https://donnees.banquemondiale.org/indicateur/SE.SEC.TCHR?locations=CI</t>
  </si>
  <si>
    <t>https://donnees.banquemondiale.org/indicateur/SE.SEC.TCHR.FE.ZS?locations=CI</t>
  </si>
  <si>
    <t>https://donnees.banquemondiale.org/indicateur/SE.SEC.TCHR.FE?locations=CI</t>
  </si>
  <si>
    <t>https://donnees.banquemondiale.org/indicateur/SE.SEC.ENRL.VO?locations=CI</t>
  </si>
  <si>
    <t>https://donnees.banquemondiale.org/indicateur/SE.SEC.ENRL.VO.FE.ZS?locations=CI</t>
  </si>
  <si>
    <t>https://donnees.banquemondiale.org/indicateur/BX.TRF.CURR.CD?locations=CI</t>
  </si>
  <si>
    <t>https://donnees.banquemondiale.org/indicateur/BM.TRF.PRVT.CD?locations=CI</t>
  </si>
  <si>
    <t>https://donnees.banquemondiale.org/indicateur/IT.NET.SECR?locations=CI</t>
  </si>
  <si>
    <t>https://donnees.banquemondiale.org/indicateur/IT.NET.SECR.P6?locations=CI</t>
  </si>
  <si>
    <t>https://donnees.banquemondiale.org/indicateur/SL.EMP.SELF.FE.ZS?locations=CI</t>
  </si>
  <si>
    <t>https://donnees.banquemondiale.org/indicateur/SL.EMP.SELF.MA.ZS?locations=CI</t>
  </si>
  <si>
    <t>https://donnees.banquemondiale.org/indicateur/SL.EMP.SELF.ZS?locations=CI</t>
  </si>
  <si>
    <t>https://donnees.banquemondiale.org/indicateur/BX.GSR.NFSV.CD?locations=CI</t>
  </si>
  <si>
    <t>https://donnees.banquemondiale.org/indicateur/BM.GSR.NFSV.CD?locations=CI</t>
  </si>
  <si>
    <t>https://donnees.banquemondiale.org/indicateur/NV.SRV.TOTL.ZS?locations=CI</t>
  </si>
  <si>
    <t>https://donnees.banquemondiale.org/indicateur/NV.SRV.TOTL.KD.ZG?locations=CI</t>
  </si>
  <si>
    <t>https://donnees.banquemondiale.org/indicateur/NV.SRV.TOTL.KD?locations=CI</t>
  </si>
  <si>
    <t>https://donnees.banquemondiale.org/indicateur/NV.SRV.TOTL.KN?locations=CI</t>
  </si>
  <si>
    <t>https://donnees.banquemondiale.org/indicateur/NV.SRV.TOTL.CN?locations=CI</t>
  </si>
  <si>
    <t>https://donnees.banquemondiale.org/indicateur/NV.SRV.TOTL.CD?locations=CI</t>
  </si>
  <si>
    <t>https://donnees.banquemondiale.org/indicateur/NV.SRV.EMPL.KD?locations=CI</t>
  </si>
  <si>
    <t>https://donnees.banquemondiale.org/indicateur/SP.POP.BRTH.MF?locations=CI</t>
  </si>
  <si>
    <t>https://donnees.banquemondiale.org/indicateur/SL.UEM.NEET.FE.ZS?locations=CI</t>
  </si>
  <si>
    <t>https://donnees.banquemondiale.org/indicateur/SL.UEM.NEET.FE.ME.ZS?locations=CI</t>
  </si>
  <si>
    <t>https://donnees.banquemondiale.org/indicateur/SL.UEM.NEET.MA.ZS?locations=CI</t>
  </si>
  <si>
    <t>https://donnees.banquemondiale.org/indicateur/SL.UEM.NEET.MA.ME.ZS?locations=CI</t>
  </si>
  <si>
    <t>https://donnees.banquemondiale.org/indicateur/SL.UEM.NEET.ZS?locations=CI</t>
  </si>
  <si>
    <t>https://donnees.banquemondiale.org/indicateur/SL.UEM.NEET.ME.ZS?locations=CI</t>
  </si>
  <si>
    <t>https://donnees.banquemondiale.org/indicateur/DT.DOD.DSTC.XP.ZS?locations=CI</t>
  </si>
  <si>
    <t>https://donnees.banquemondiale.org/indicateur/DT.DOD.DSTC.ZS?locations=CI</t>
  </si>
  <si>
    <t>https://donnees.banquemondiale.org/indicateur/DT.DOD.DSTC.IR.ZS?locations=CI</t>
  </si>
  <si>
    <t>https://donnees.banquemondiale.org/indicateur/GC.REV.SOCL.ZS?locations=CI</t>
  </si>
  <si>
    <t>https://donnees.banquemondiale.org/indicateur/GC.REV.SOCL.CN?locations=CI</t>
  </si>
  <si>
    <t>https://donnees.banquemondiale.org/indicateur/SH.MED.SAOP.P5?locations=CI</t>
  </si>
  <si>
    <t>https://donnees.banquemondiale.org/indicateur/IQ.SPI.OVRL?locations=CI</t>
  </si>
  <si>
    <t>https://donnees.banquemondiale.org/indicateur/IQ.SPI.PIL1?locations=CI</t>
  </si>
  <si>
    <t>https://donnees.banquemondiale.org/indicateur/IQ.SPI.PIL2?locations=CI</t>
  </si>
  <si>
    <t>https://donnees.banquemondiale.org/indicateur/IQ.SPI.PIL3?locations=CI</t>
  </si>
  <si>
    <t>https://donnees.banquemondiale.org/indicateur/IQ.SPI.PIL4?locations=CI</t>
  </si>
  <si>
    <t>https://donnees.banquemondiale.org/indicateur/IQ.SPI.PIL5?locations=CI</t>
  </si>
  <si>
    <t>https://donnees.banquemondiale.org/indicateur/CM.MKT.TRAD.GD.ZS?locations=CI</t>
  </si>
  <si>
    <t>https://donnees.banquemondiale.org/indicateur/CM.MKT.TRAD.CD?locations=CI</t>
  </si>
  <si>
    <t>https://donnees.banquemondiale.org/indicateur/CM.MKT.TRNR?locations=CI</t>
  </si>
  <si>
    <t>https://donnees.banquemondiale.org/indicateur/GC.XPN.TRFT.ZS?locations=CI</t>
  </si>
  <si>
    <t>https://donnees.banquemondiale.org/indicateur/GC.XPN.TRFT.CN?locations=CI</t>
  </si>
  <si>
    <t>https://donnees.banquemondiale.org/indicateur/SH.STA.SUIC.P5?locations=CI</t>
  </si>
  <si>
    <t>https://donnees.banquemondiale.org/indicateur/SH.STA.SUIC.FE.P5?locations=CI</t>
  </si>
  <si>
    <t>https://donnees.banquemondiale.org/indicateur/SH.STA.SUIC.MA.P5?locations=CI</t>
  </si>
  <si>
    <t>https://donnees.banquemondiale.org/indicateur/AG.SRF.TOTL.K2?locations=CI</t>
  </si>
  <si>
    <t>https://donnees.banquemondiale.org/indicateur/SI.SPR.PC40?locations=CI</t>
  </si>
  <si>
    <t>https://donnees.banquemondiale.org/indicateur/SI.SPR.PCAP?locations=CI</t>
  </si>
  <si>
    <t>https://donnees.banquemondiale.org/indicateur/SP.DYN.TO65.FE.ZS?locations=CI</t>
  </si>
  <si>
    <t>https://donnees.banquemondiale.org/indicateur/SP.DYN.TO65.MA.ZS?locations=CI</t>
  </si>
  <si>
    <t>https://donnees.banquemondiale.org/indicateur/TM.TAX.MRCH.SM.AR.ZS?locations=CI</t>
  </si>
  <si>
    <t>https://donnees.banquemondiale.org/indicateur/TM.TAX.MANF.SM.AR.ZS?locations=CI</t>
  </si>
  <si>
    <t>https://donnees.banquemondiale.org/indicateur/TM.TAX.TCOM.SM.AR.ZS?locations=CI</t>
  </si>
  <si>
    <t>https://donnees.banquemondiale.org/indicateur/TM.TAX.MRCH.WM.AR.ZS?locations=CI</t>
  </si>
  <si>
    <t>https://donnees.banquemondiale.org/indicateur/TM.TAX.MANF.WM.AR.ZS?locations=CI</t>
  </si>
  <si>
    <t>https://donnees.banquemondiale.org/indicateur/TM.TAX.TCOM.WM.AR.ZS?locations=CI</t>
  </si>
  <si>
    <t>https://donnees.banquemondiale.org/indicateur/TM.TAX.MRCH.SM.FN.ZS?locations=CI</t>
  </si>
  <si>
    <t>https://donnees.banquemondiale.org/indicateur/TM.TAX.MANF.SM.FN.ZS?locations=CI</t>
  </si>
  <si>
    <t>https://donnees.banquemondiale.org/indicateur/TM.TAX.TCOM.SM.FN.ZS?locations=CI</t>
  </si>
  <si>
    <t>https://donnees.banquemondiale.org/indicateur/TM.TAX.MRCH.WM.FN.ZS?locations=CI</t>
  </si>
  <si>
    <t>https://donnees.banquemondiale.org/indicateur/TM.TAX.MANF.WM.FN.ZS?locations=CI</t>
  </si>
  <si>
    <t>https://donnees.banquemondiale.org/indicateur/TM.TAX.TCOM.WM.FN.ZS?locations=CI</t>
  </si>
  <si>
    <t>https://donnees.banquemondiale.org/indicateur/GC.TAX.TOTL.GD.ZS?locations=CI</t>
  </si>
  <si>
    <t>https://donnees.banquemondiale.org/indicateur/GC.TAX.TOTL.CN?locations=CI</t>
  </si>
  <si>
    <t>https://donnees.banquemondiale.org/indicateur/NY.TAX.NIND.KN?locations=CI</t>
  </si>
  <si>
    <t>https://donnees.banquemondiale.org/indicateur/NY.TAX.NIND.CN?locations=CI</t>
  </si>
  <si>
    <t>https://donnees.banquemondiale.org/indicateur/NY.TAX.NIND.CD?locations=CI</t>
  </si>
  <si>
    <t>https://donnees.banquemondiale.org/indicateur/GC.TAX.EXPT.ZS?locations=CI</t>
  </si>
  <si>
    <t>https://donnees.banquemondiale.org/indicateur/GC.TAX.EXPT.CN?locations=CI</t>
  </si>
  <si>
    <t>https://donnees.banquemondiale.org/indicateur/GC.TAX.GSRV.RV.ZS?locations=CI</t>
  </si>
  <si>
    <t>https://donnees.banquemondiale.org/indicateur/GC.TAX.GSRV.VA.ZS?locations=CI</t>
  </si>
  <si>
    <t>https://donnees.banquemondiale.org/indicateur/GC.TAX.GSRV.CN?locations=CI</t>
  </si>
  <si>
    <t>https://donnees.banquemondiale.org/indicateur/GC.TAX.YPKG.RV.ZS?locations=CI</t>
  </si>
  <si>
    <t>https://donnees.banquemondiale.org/indicateur/GC.TAX.YPKG.ZS?locations=CI</t>
  </si>
  <si>
    <t>https://donnees.banquemondiale.org/indicateur/GC.TAX.YPKG.CN?locations=CI</t>
  </si>
  <si>
    <t>https://donnees.banquemondiale.org/indicateur/GC.TAX.INTT.RV.ZS?locations=CI</t>
  </si>
  <si>
    <t>https://donnees.banquemondiale.org/indicateur/GC.TAX.INTT.CN?locations=CI</t>
  </si>
  <si>
    <t>https://donnees.banquemondiale.org/indicateur/BX.GRT.TECH.CD.WD?locations=CI</t>
  </si>
  <si>
    <t>https://donnees.banquemondiale.org/indicateur/SP.POP.TECH.RD.P6?locations=CI</t>
  </si>
  <si>
    <t>https://donnees.banquemondiale.org/indicateur/SP.MTR.1519.ZS?locations=CI</t>
  </si>
  <si>
    <t>https://donnees.banquemondiale.org/indicateur/NY.TTF.GNFS.KN?locations=CI</t>
  </si>
  <si>
    <t>https://donnees.banquemondiale.org/indicateur/ER.PTD.TOTL.ZS?locations=CI</t>
  </si>
  <si>
    <t>https://donnees.banquemondiale.org/indicateur/ER.LND.PTLD.ZS?locations=CI</t>
  </si>
  <si>
    <t>https://donnees.banquemondiale.org/indicateur/SE.TER.TCHR.FE.ZS?locations=CI</t>
  </si>
  <si>
    <t>https://donnees.banquemondiale.org/indicateur/NV.MNF.TXTL.ZS.UN?locations=CI</t>
  </si>
  <si>
    <t>https://donnees.banquemondiale.org/indicateur/IC.FRM.DURS?locations=CI</t>
  </si>
  <si>
    <t>https://donnees.banquemondiale.org/indicateur/IC.GOV.DURS.ZS?locations=CI</t>
  </si>
  <si>
    <t>https://donnees.banquemondiale.org/indicateur/IC.ELC.DURS?locations=CI</t>
  </si>
  <si>
    <t>https://donnees.banquemondiale.org/indicateur/SH.ALC.PCAP.LI?locations=CI</t>
  </si>
  <si>
    <t>https://donnees.banquemondiale.org/indicateur/SH.ALC.PCAP.FE.LI?locations=CI</t>
  </si>
  <si>
    <t>https://donnees.banquemondiale.org/indicateur/SH.ALC.PCAP.MA.LI?locations=CI</t>
  </si>
  <si>
    <t>https://donnees.banquemondiale.org/indicateur/DT.TDS.DECT.EX.ZS?locations=CI</t>
  </si>
  <si>
    <t>https://donnees.banquemondiale.org/indicateur/DT.TDS.DECT.GN.ZS?locations=CI</t>
  </si>
  <si>
    <t>https://donnees.banquemondiale.org/indicateur/ER.FSH.PROD.MT?locations=CI</t>
  </si>
  <si>
    <t>https://donnees.banquemondiale.org/indicateur/EN.GHG.TOT.ZG.AR5?locations=CI</t>
  </si>
  <si>
    <t>https://donnees.banquemondiale.org/indicateur/EN.GHG.ALL.MT.CE.AR5?locations=CI</t>
  </si>
  <si>
    <t>https://donnees.banquemondiale.org/indicateur/EN.GHG.ALL.PC.CE.AR5?locations=CI</t>
  </si>
  <si>
    <t>https://donnees.banquemondiale.org/indicateur/EN.GHG.ALL.LU.MT.CE.AR5?locations=CI</t>
  </si>
  <si>
    <t>https://donnees.banquemondiale.org/indicateur/NY.GDP.TOTL.RT.ZS?locations=CI</t>
  </si>
  <si>
    <t>https://donnees.banquemondiale.org/indicateur/FI.RES.TOTL.DT.ZS?locations=CI</t>
  </si>
  <si>
    <t>https://donnees.banquemondiale.org/indicateur/FI.RES.TOTL.CD?locations=CI</t>
  </si>
  <si>
    <t>https://donnees.banquemondiale.org/indicateur/FI.RES.TOTL.MO?locations=CI</t>
  </si>
  <si>
    <t>https://donnees.banquemondiale.org/indicateur/FI.RES.XGLD.CD?locations=CI</t>
  </si>
  <si>
    <t>https://donnees.banquemondiale.org/indicateur/NE.TRD.GNFS.ZS?locations=CI</t>
  </si>
  <si>
    <t>https://donnees.banquemondiale.org/indicateur/BG.GSR.NFSV.GD.ZS?locations=CI</t>
  </si>
  <si>
    <t>https://donnees.banquemondiale.org/indicateur/IP.TMK.NRCT?locations=CI</t>
  </si>
  <si>
    <t>https://donnees.banquemondiale.org/indicateur/IP.TMK.RSCT?locations=CI</t>
  </si>
  <si>
    <t>https://donnees.banquemondiale.org/indicateur/SE.SEC.TCAQ.LO.ZS?locations=CI</t>
  </si>
  <si>
    <t>https://donnees.banquemondiale.org/indicateur/SE.SEC.TCAQ.LO.FE.ZS?locations=CI</t>
  </si>
  <si>
    <t>https://donnees.banquemondiale.org/indicateur/SE.SEC.TCAQ.LO.MA.ZS?locations=CI</t>
  </si>
  <si>
    <t>https://donnees.banquemondiale.org/indicateur/SE.PRE.TCAQ.ZS?locations=CI</t>
  </si>
  <si>
    <t>https://donnees.banquemondiale.org/indicateur/SE.PRE.TCAQ.FE.ZS?locations=CI</t>
  </si>
  <si>
    <t>https://donnees.banquemondiale.org/indicateur/SE.PRE.TCAQ.MA.ZS?locations=CI</t>
  </si>
  <si>
    <t>https://donnees.banquemondiale.org/indicateur/SE.PRM.TCAQ.ZS?locations=CI</t>
  </si>
  <si>
    <t>https://donnees.banquemondiale.org/indicateur/SE.PRM.TCAQ.FE.ZS?locations=CI</t>
  </si>
  <si>
    <t>https://donnees.banquemondiale.org/indicateur/SE.PRM.TCAQ.MA.ZS?locations=CI</t>
  </si>
  <si>
    <t>https://donnees.banquemondiale.org/indicateur/SE.SEC.TCAQ.ZS?locations=CI</t>
  </si>
  <si>
    <t>https://donnees.banquemondiale.org/indicateur/SE.SEC.TCAQ.FE.ZS?locations=CI</t>
  </si>
  <si>
    <t>https://donnees.banquemondiale.org/indicateur/SE.SEC.TCAQ.MA.ZS?locations=CI</t>
  </si>
  <si>
    <t>https://donnees.banquemondiale.org/indicateur/SE.SEC.TCAQ.UP.ZS?locations=CI</t>
  </si>
  <si>
    <t>https://donnees.banquemondiale.org/indicateur/SE.SEC.TCAQ.UP.FE.ZS?locations=CI</t>
  </si>
  <si>
    <t>https://donnees.banquemondiale.org/indicateur/SE.SEC.TCAQ.UP.MA.ZS?locations=CI</t>
  </si>
  <si>
    <t>https://donnees.banquemondiale.org/indicateur/TX.VAL.TRAN.ZS.WT?locations=CI</t>
  </si>
  <si>
    <t>https://donnees.banquemondiale.org/indicateur/TM.VAL.TRAN.ZS.WT?locations=CI</t>
  </si>
  <si>
    <t>https://donnees.banquemondiale.org/indicateur/BX.GSR.TRAN.ZS?locations=CI</t>
  </si>
  <si>
    <t>https://donnees.banquemondiale.org/indicateur/BM.GSR.TRAN.ZS?locations=CI</t>
  </si>
  <si>
    <t>https://donnees.banquemondiale.org/indicateur/TX.VAL.TRVL.ZS.WT?locations=CI</t>
  </si>
  <si>
    <t>https://donnees.banquemondiale.org/indicateur/TM.VAL.TRVL.ZS.WT?locations=CI</t>
  </si>
  <si>
    <t>https://donnees.banquemondiale.org/indicateur/BX.GSR.TRVL.ZS?locations=CI</t>
  </si>
  <si>
    <t>https://donnees.banquemondiale.org/indicateur/BM.GSR.TRVL.ZS?locations=CI</t>
  </si>
  <si>
    <t>https://donnees.banquemondiale.org/indicateur/SH.TBS.DTEC.ZS?locations=CI</t>
  </si>
  <si>
    <t>https://donnees.banquemondiale.org/indicateur/SH.TBS.CURE.ZS?locations=CI</t>
  </si>
  <si>
    <t>https://donnees.banquemondiale.org/indicateur/SH.UHC.SRVS.CV.XD?locations=CI</t>
  </si>
  <si>
    <t>https://donnees.banquemondiale.org/indicateur/SL.UEM.ADVN.ZS?locations=CI</t>
  </si>
  <si>
    <t>https://donnees.banquemondiale.org/indicateur/SL.UEM.ADVN.FE.ZS?locations=CI</t>
  </si>
  <si>
    <t>https://donnees.banquemondiale.org/indicateur/SL.UEM.ADVN.MA.ZS?locations=CI</t>
  </si>
  <si>
    <t>https://donnees.banquemondiale.org/indicateur/SL.UEM.BASC.ZS?locations=CI</t>
  </si>
  <si>
    <t>https://donnees.banquemondiale.org/indicateur/SL.UEM.BASC.FE.ZS?locations=CI</t>
  </si>
  <si>
    <t>https://donnees.banquemondiale.org/indicateur/SL.UEM.BASC.MA.ZS?locations=CI</t>
  </si>
  <si>
    <t>https://donnees.banquemondiale.org/indicateur/SL.UEM.INTM.ZS?locations=CI</t>
  </si>
  <si>
    <t>https://donnees.banquemondiale.org/indicateur/SL.UEM.INTM.FE.ZS?locations=CI</t>
  </si>
  <si>
    <t>https://donnees.banquemondiale.org/indicateur/SL.UEM.INTM.MA.ZS?locations=CI</t>
  </si>
  <si>
    <t>https://donnees.banquemondiale.org/indicateur/SL.UEM.TOTL.FE.ZS?locations=CI</t>
  </si>
  <si>
    <t>https://donnees.banquemondiale.org/indicateur/SL.UEM.TOTL.FE.NE.ZS?locations=CI</t>
  </si>
  <si>
    <t>https://donnees.banquemondiale.org/indicateur/SL.UEM.TOTL.MA.ZS?locations=CI</t>
  </si>
  <si>
    <t>https://donnees.banquemondiale.org/indicateur/SL.UEM.TOTL.MA.NE.ZS?locations=CI</t>
  </si>
  <si>
    <t>https://donnees.banquemondiale.org/indicateur/SL.UEM.TOTL.ZS?locations=CI</t>
  </si>
  <si>
    <t>https://donnees.banquemondiale.org/indicateur/SL.UEM.TOTL.NE.ZS?locations=CI</t>
  </si>
  <si>
    <t>https://donnees.banquemondiale.org/indicateur/SL.UEM.1524.FE.ZS?locations=CI</t>
  </si>
  <si>
    <t>https://donnees.banquemondiale.org/indicateur/SL.UEM.1524.FE.NE.ZS?locations=CI</t>
  </si>
  <si>
    <t>https://donnees.banquemondiale.org/indicateur/SL.UEM.1524.MA.ZS?locations=CI</t>
  </si>
  <si>
    <t>https://donnees.banquemondiale.org/indicateur/SL.UEM.1524.MA.NE.ZS?locations=CI</t>
  </si>
  <si>
    <t>https://donnees.banquemondiale.org/indicateur/SL.UEM.1524.ZS?locations=CI</t>
  </si>
  <si>
    <t>https://donnees.banquemondiale.org/indicateur/SL.UEM.1524.NE.ZS?locations=CI</t>
  </si>
  <si>
    <t>https://donnees.banquemondiale.org/indicateur/SP.UWT.TFRT?locations=CI</t>
  </si>
  <si>
    <t>https://donnees.banquemondiale.org/indicateur/AG.LND.TOTL.UR.K2?locations=CI</t>
  </si>
  <si>
    <t>https://donnees.banquemondiale.org/indicateur/AG.LND.EL5M.UR.ZS?locations=CI</t>
  </si>
  <si>
    <t>https://donnees.banquemondiale.org/indicateur/AG.LND.EL5M.UR.K2?locations=CI</t>
  </si>
  <si>
    <t>https://donnees.banquemondiale.org/indicateur/SP.URB.TOTL?locations=CI</t>
  </si>
  <si>
    <t>https://donnees.banquemondiale.org/indicateur/SP.URB.TOTL.IN.ZS?locations=CI</t>
  </si>
  <si>
    <t>https://donnees.banquemondiale.org/indicateur/SP.URB.GROW?locations=CI</t>
  </si>
  <si>
    <t>https://donnees.banquemondiale.org/indicateur/EN.POP.EL5M.UR.ZS?locations=CI</t>
  </si>
  <si>
    <t>https://donnees.banquemondiale.org/indicateur/DT.DOD.DIMF.CD?locations=CI</t>
  </si>
  <si>
    <t>https://donnees.banquemondiale.org/indicateur/SH.MLR.NETS.ZS?locations=CI</t>
  </si>
  <si>
    <t>https://donnees.banquemondiale.org/indicateur/IC.FRM.OUTG.ZS?locations=CI</t>
  </si>
  <si>
    <t>https://donnees.banquemondiale.org/indicateur/SN.ITK.VITA.ZS?locations=CI</t>
  </si>
  <si>
    <t>https://donnees.banquemondiale.org/indicateur/VA.EST?locations=CI</t>
  </si>
  <si>
    <t>https://donnees.banquemondiale.org/indicateur/VA.NO.SRC?locations=CI</t>
  </si>
  <si>
    <t>https://donnees.banquemondiale.org/indicateur/VA.PER.RNK?locations=CI</t>
  </si>
  <si>
    <t>https://donnees.banquemondiale.org/indicateur/VA.PER.RNK.LOWER?locations=CI</t>
  </si>
  <si>
    <t>https://donnees.banquemondiale.org/indicateur/VA.PER.RNK.UPPER?locations=CI</t>
  </si>
  <si>
    <t>https://donnees.banquemondiale.org/indicateur/VA.STD.ERR?locations=CI</t>
  </si>
  <si>
    <t>https://donnees.banquemondiale.org/indicateur/SL.EMP.VULN.FE.ZS?locations=CI</t>
  </si>
  <si>
    <t>https://donnees.banquemondiale.org/indicateur/SL.EMP.VULN.MA.ZS?locations=CI</t>
  </si>
  <si>
    <t>https://donnees.banquemondiale.org/indicateur/SL.EMP.VULN.ZS?locations=CI</t>
  </si>
  <si>
    <t>https://donnees.banquemondiale.org/indicateur/SL.EMP.WORK.FE.ZS?locations=CI</t>
  </si>
  <si>
    <t>https://donnees.banquemondiale.org/indicateur/SL.EMP.WORK.MA.ZS?locations=CI</t>
  </si>
  <si>
    <t>https://donnees.banquemondiale.org/indicateur/SL.EMP.WORK.ZS?locations=CI</t>
  </si>
  <si>
    <t>https://donnees.banquemondiale.org/indicateur/SP.DYN.WFRT?locations=CI</t>
  </si>
  <si>
    <t>https://donnees.banquemondiale.org/indicateur/ER.GDP.FWTL.M3.KD?locations=CI</t>
  </si>
  <si>
    <t>https://donnees.banquemondiale.org/indicateur/FP.WPI.TOTL?locations=CI</t>
  </si>
  <si>
    <t>https://donnees.banquemondiale.org/indicateur/SG.LAW.INDX?locations=CI</t>
  </si>
  <si>
    <t>https://donnees.banquemondiale.org/indicateur/SG.DMK.SRCR.FN.ZS?locations=CI</t>
  </si>
  <si>
    <t>https://donnees.banquemondiale.org/indicateur/SG.DMK.ALLD.FN.ZS?locations=CI</t>
  </si>
  <si>
    <t>https://donnees.banquemondiale.org/indicateur/SG.VAW.REAS.ZS?locations=CI</t>
  </si>
  <si>
    <t>https://donnees.banquemondiale.org/indicateur/SG.VAW.ARGU.ZS?locations=CI</t>
  </si>
  <si>
    <t>https://donnees.banquemondiale.org/indicateur/SG.VAW.BURN.ZS?locations=CI</t>
  </si>
  <si>
    <t>https://donnees.banquemondiale.org/indicateur/SG.VAW.GOES.ZS?locations=CI</t>
  </si>
  <si>
    <t>https://donnees.banquemondiale.org/indicateur/SG.VAW.NEGL.ZS?locations=CI</t>
  </si>
  <si>
    <t>https://donnees.banquemondiale.org/indicateur/SG.VAW.REFU.ZS?locations=CI</t>
  </si>
  <si>
    <t>https://donnees.banquemondiale.org/indicateur/SP.M15.2024.FE.ZS?locations=CI</t>
  </si>
  <si>
    <t>https://donnees.banquemondiale.org/indicateur/SP.M18.2024.FE.ZS?locations=CI</t>
  </si>
  <si>
    <t>https://donnees.banquemondiale.org/indicateur/SH.DYN.AIDS.FE.ZS?locations=CI</t>
  </si>
  <si>
    <t>https://donnees.banquemondiale.org/indicateur/SH.HIV.INCD.YG?locations=CI</t>
  </si>
  <si>
    <t>Méthodologie</t>
  </si>
  <si>
    <t>Années</t>
  </si>
  <si>
    <t>2023prov.</t>
  </si>
  <si>
    <t>Secteur Primaire</t>
  </si>
  <si>
    <t>Agriculture vivrière, élevage</t>
  </si>
  <si>
    <t>Agriculture vivrière</t>
  </si>
  <si>
    <t>élevage</t>
  </si>
  <si>
    <t>Agriculture d'exportation</t>
  </si>
  <si>
    <t>Sylviculture</t>
  </si>
  <si>
    <t>Pêche</t>
  </si>
  <si>
    <t>Secteur Secondaire</t>
  </si>
  <si>
    <t>Industries extractives</t>
  </si>
  <si>
    <t>Industries pétrolières</t>
  </si>
  <si>
    <t>Energie (gazeaulec)</t>
  </si>
  <si>
    <t>BTP</t>
  </si>
  <si>
    <t>Industries manufacturières</t>
  </si>
  <si>
    <t>Secteur Tertiaire</t>
  </si>
  <si>
    <t>Transports</t>
  </si>
  <si>
    <t>Télecommunication</t>
  </si>
  <si>
    <t>Commerce</t>
  </si>
  <si>
    <t>Autres services</t>
  </si>
  <si>
    <t>PIB Marchand</t>
  </si>
  <si>
    <t>Services d'administration publique</t>
  </si>
  <si>
    <t>Institutions sans but lucratif (ISBL)</t>
  </si>
  <si>
    <t>PIB non marchand</t>
  </si>
  <si>
    <t>Droits et taxes nets de subventions</t>
  </si>
  <si>
    <t>Total</t>
  </si>
  <si>
    <t>STRUCTURE DE L'ECONOMIE (2011-2024)</t>
  </si>
  <si>
    <t>Répartition sectorielle du PIB (en % du PIB), période 2011-2024</t>
  </si>
  <si>
    <t>Source : MEPD / ANStat, DGE</t>
  </si>
  <si>
    <t>Evolution des effectifs d'employés (en milliers) des secteurs d'activités de 2015 à 2023</t>
  </si>
  <si>
    <t>2023 (*)</t>
  </si>
  <si>
    <t>Primaire</t>
  </si>
  <si>
    <t>dont agriculture vivrière</t>
  </si>
  <si>
    <t>dont agriculture d'exportation</t>
  </si>
  <si>
    <t>autres</t>
  </si>
  <si>
    <t>Secondaire</t>
  </si>
  <si>
    <t>dont industries extractives</t>
  </si>
  <si>
    <t>dont industries pétrolières</t>
  </si>
  <si>
    <t>dont énergie (gazeaulec)</t>
  </si>
  <si>
    <t>dont BTP</t>
  </si>
  <si>
    <t>dont industries manufacturières</t>
  </si>
  <si>
    <t>Tertiaire</t>
  </si>
  <si>
    <t>dont transports</t>
  </si>
  <si>
    <t>dont télecommunication</t>
  </si>
  <si>
    <t>dont commerce</t>
  </si>
  <si>
    <t>dont autres services</t>
  </si>
  <si>
    <t>Emploi total</t>
  </si>
  <si>
    <t xml:space="preserve">Source : ANStat/DCN/CNA </t>
  </si>
  <si>
    <t>(*) : Données provisoires</t>
  </si>
  <si>
    <t>Evolution des poids des effectifs employés (en milliers) des secteurs d'activités de 2015 à 2023</t>
  </si>
  <si>
    <t>DESAGREGATION DU SECTEUR SECONDAIRE DANS LE PIB (EN % DU PIB) DE 2019 A 2024</t>
  </si>
  <si>
    <t>Type de données</t>
  </si>
  <si>
    <t>réal</t>
  </si>
  <si>
    <t>réal.</t>
  </si>
  <si>
    <t>prov</t>
  </si>
  <si>
    <t>est</t>
  </si>
  <si>
    <t>or, incluant le diamant et autres extractions</t>
  </si>
  <si>
    <t>Industries manufacturières, autres que pétrolières</t>
  </si>
  <si>
    <t>Agroalimentaire</t>
  </si>
  <si>
    <t>Boissons et tabac</t>
  </si>
  <si>
    <t>Textiles et vêtements</t>
  </si>
  <si>
    <t>Bois, papier et impression</t>
  </si>
  <si>
    <t>produits chimiques, caoutchouc, plastiques</t>
  </si>
  <si>
    <t>Minéraux non métalliques</t>
  </si>
  <si>
    <t>Meubles et autres</t>
  </si>
  <si>
    <t>Energie</t>
  </si>
  <si>
    <t>Source : ANStat/SPDE</t>
  </si>
  <si>
    <t>CONTRIBUTION AU PIB</t>
  </si>
  <si>
    <t>Part des valeurs ajoutées des industries extractives dans le PIB (%) de 2015 à 2022</t>
  </si>
  <si>
    <t>Hydrocarbures</t>
  </si>
  <si>
    <t>Extraction de pétrole brut</t>
  </si>
  <si>
    <t>Extraction de gaz naturel</t>
  </si>
  <si>
    <t>Mines</t>
  </si>
  <si>
    <t>Extraction de minerais d'or et autres métaux précieux</t>
  </si>
  <si>
    <t>Extraction de diamants et autres pierres précieuses</t>
  </si>
  <si>
    <t>Extraction de minerais de bauxite</t>
  </si>
  <si>
    <t>NP*</t>
  </si>
  <si>
    <t>Extraction de minerais de Manganèse</t>
  </si>
  <si>
    <t>Extraction de minerais de Nickel</t>
  </si>
  <si>
    <t>Extraction de sables et graviers</t>
  </si>
  <si>
    <t>Extraction d'autres produits</t>
  </si>
  <si>
    <t>Activités de soutien aux industries extractives</t>
  </si>
  <si>
    <t>Source : ANStat/DCN/CNA</t>
  </si>
  <si>
    <t>NP* : Non Produit</t>
  </si>
  <si>
    <t>PRODUCTION ET TAUX DE TRANSFORMATION DU CACAO</t>
  </si>
  <si>
    <t>Production de cacao (en tonnes)</t>
  </si>
  <si>
    <t>Quantité Cacao transformée (en tonnes)</t>
  </si>
  <si>
    <t>Capacités installées (Tonnes de fèves /An)</t>
  </si>
  <si>
    <t>730 000</t>
  </si>
  <si>
    <t>800 000</t>
  </si>
  <si>
    <t>850 000</t>
  </si>
  <si>
    <t>880 000</t>
  </si>
  <si>
    <t>930 000</t>
  </si>
  <si>
    <t>972 040</t>
  </si>
  <si>
    <t>Taux de transformation de cacaco</t>
  </si>
  <si>
    <t>Source : DGP / Conseil Café Cacao/Site Economie ivoirienne de la DGE</t>
  </si>
  <si>
    <t>PRODUCTION ET TAUX DE TRANSFORMATION DU CACAO FEVES</t>
  </si>
  <si>
    <t>Production de cacao (en milliers de tonnes)</t>
  </si>
  <si>
    <t>2228,4 </t>
  </si>
  <si>
    <t>Quantité Cacao fèves transformée (en milliers de tonnes)</t>
  </si>
  <si>
    <t>ND</t>
  </si>
  <si>
    <t>-</t>
  </si>
  <si>
    <t>Source : Site Economie ivoirienne de la DGE/ MEMINADERPV / Conseil Café Cacao</t>
  </si>
  <si>
    <t>Capacité installée et transformation du cacao</t>
  </si>
  <si>
    <t>Campagnes</t>
  </si>
  <si>
    <t>Quantité broyée (Tonnes de Fèves)</t>
  </si>
  <si>
    <t>576 994</t>
  </si>
  <si>
    <t>559 239</t>
  </si>
  <si>
    <t>604 817</t>
  </si>
  <si>
    <t>596 388</t>
  </si>
  <si>
    <t>619 529</t>
  </si>
  <si>
    <t>750 247</t>
  </si>
  <si>
    <t>790 800</t>
  </si>
  <si>
    <t>Taux de transformation</t>
  </si>
  <si>
    <t>26,37%</t>
  </si>
  <si>
    <t>31,26%</t>
  </si>
  <si>
    <t>38,51%</t>
  </si>
  <si>
    <t>Source : Site Economie ivoirienne de la DGE/ Conseil Café Cacao</t>
  </si>
  <si>
    <t>PRODUCTION ET TAUX DE TRANSFORMATION DE CAFE</t>
  </si>
  <si>
    <t>2015</t>
  </si>
  <si>
    <t>2016</t>
  </si>
  <si>
    <t>2017</t>
  </si>
  <si>
    <t>2018</t>
  </si>
  <si>
    <t>2019</t>
  </si>
  <si>
    <t>2020</t>
  </si>
  <si>
    <t>2021</t>
  </si>
  <si>
    <t>2022</t>
  </si>
  <si>
    <t>2023</t>
  </si>
  <si>
    <t>Production (en milliers de tonnes)</t>
  </si>
  <si>
    <t>Quantité de café transformé (en milliers de tonnes)</t>
  </si>
  <si>
    <t>15</t>
  </si>
  <si>
    <t>17</t>
  </si>
  <si>
    <t>Taux de transformation (%)</t>
  </si>
  <si>
    <t>Production, Capacité installée et taux de transformation de noix de cajou</t>
  </si>
  <si>
    <t>Production de noix de cajou (en tonnes)</t>
  </si>
  <si>
    <t>Capacités installées (Tonnes de NBC/An)</t>
  </si>
  <si>
    <t>Quantité transformée (Tonnes de NBC)</t>
  </si>
  <si>
    <t>Source : Site Economie ivoirienne de la DGE/ Conseil Coton Anacarde / DGP</t>
  </si>
  <si>
    <t xml:space="preserve"> NBC*: Noix Brute de Cajou</t>
  </si>
  <si>
    <t>Capacité installée et taux de transformation d'hévéa</t>
  </si>
  <si>
    <t>Production de Caoutchouc sec (Tonnes)</t>
  </si>
  <si>
    <t>955 571</t>
  </si>
  <si>
    <t>Capacités installées (Tonnes de latex sec /An)</t>
  </si>
  <si>
    <t>1 372 800</t>
  </si>
  <si>
    <t>Quantité transformée (Tonnes Caoutchouc granulé)</t>
  </si>
  <si>
    <t>Source : Site Economie ivoirienne de la DGE / Conseil Hévéa - Palmier à Huile</t>
  </si>
  <si>
    <t>Production de graines de coton et livraison à l'industrie locale</t>
  </si>
  <si>
    <t>CAMPAGNES</t>
  </si>
  <si>
    <t>2015-2016</t>
  </si>
  <si>
    <t>2016-2017</t>
  </si>
  <si>
    <t>2017-2018</t>
  </si>
  <si>
    <t>2018-2019</t>
  </si>
  <si>
    <t>2019-2020</t>
  </si>
  <si>
    <t>2020-2021</t>
  </si>
  <si>
    <t>Production de grainesde coton (Tonnes)</t>
  </si>
  <si>
    <t>Livraison de graine de coton à l’industrie locale de trituration (tonnes)</t>
  </si>
  <si>
    <t>DETTE PUBLIQUE</t>
  </si>
  <si>
    <t>Evolution de la dette publique de Côte d’Ivoire</t>
  </si>
  <si>
    <t>Dette, en %PIB</t>
  </si>
  <si>
    <t>Stock total</t>
  </si>
  <si>
    <t>Dette extérieure</t>
  </si>
  <si>
    <t>Dette intérieure</t>
  </si>
  <si>
    <t>Dette, en milliards FCFA</t>
  </si>
  <si>
    <t>PIB nominal (en milliards FCFA)</t>
  </si>
  <si>
    <t>SITUATION DE LA DETTE ET DU PIB NOMINAL, 2011-2024</t>
  </si>
  <si>
    <t>Stock total dette (en milliards de FCFA)</t>
  </si>
  <si>
    <t>% du PIB</t>
  </si>
  <si>
    <t>Extérieure (en milliards de FCFA)</t>
  </si>
  <si>
    <t>4 489.</t>
  </si>
  <si>
    <t>en % du PIB</t>
  </si>
  <si>
    <t>Intérieure (en milliards de FCFA)</t>
  </si>
  <si>
    <t>PIB Nominal (en milliards de FCFA)</t>
  </si>
  <si>
    <t>48 293.9</t>
  </si>
  <si>
    <t>Source : MFB ; MEPD</t>
  </si>
  <si>
    <t>Créances intérieures (en milliards de FCFA)</t>
  </si>
  <si>
    <t>TOTAL</t>
  </si>
  <si>
    <t>Admin. Centrale</t>
  </si>
  <si>
    <t>en % de C.I*</t>
  </si>
  <si>
    <t>Autres secteurs</t>
  </si>
  <si>
    <t>Source : MEPD/DGE, BCEAO</t>
  </si>
  <si>
    <t>*C.I : Créances Intérieures</t>
  </si>
  <si>
    <t>2023 Prov</t>
  </si>
  <si>
    <t>2024</t>
  </si>
  <si>
    <t>Cible 2030</t>
  </si>
  <si>
    <t>Taux de croissance PIB réel  (%)</t>
  </si>
  <si>
    <t>PIB en Millions XOF</t>
  </si>
  <si>
    <t>Taux d'investissement (FBCF / PIB)</t>
  </si>
  <si>
    <t xml:space="preserve">  Public</t>
  </si>
  <si>
    <t>Privé</t>
  </si>
  <si>
    <t>IDE net (% PIB)</t>
  </si>
  <si>
    <t>Formation Brute de Capital Fixe (FBCF) (en millions XOF)</t>
  </si>
  <si>
    <t>Total IDE reçus (en milliards FCFA)</t>
  </si>
  <si>
    <t>Secteur extractif</t>
  </si>
  <si>
    <t>Non-extractif</t>
  </si>
  <si>
    <t>Poids secteur dans Total IDE</t>
  </si>
  <si>
    <t>Secteur Non-extractif</t>
  </si>
  <si>
    <t>Total reçus (en % du PIB)</t>
  </si>
  <si>
    <t>Source : DGE / MEPD</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</si>
  <si>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</si>
  <si>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Access to clean fuels and technologies for cooking is the proportion of total population primarily using clean cooking fuels and technologies for cooking. Under WHO guidelines, kerosene is excluded from clean cooking fuels.</t>
  </si>
  <si>
    <t>Access to clean fuels and technologies for cooking, rural is the proportion of rural population primarily using clean cooking fuels and technologies for cooking. Under WHO guidelines, kerosene is excluded from clean cooking fuels.</t>
  </si>
  <si>
    <t>Access to clean fuels and technologies for cooking, urban is the proportion of urban population primarily using clean cooking fuels and technologies for cooking. Under WHO guidelines, kerosene is excluded from clean cooking fuels.</t>
  </si>
  <si>
    <t>Access to electricity is the percentage of population with access to electricity. Electrification data are collected from industry, national surveys and international sources.</t>
  </si>
  <si>
    <t>Access to electricity, rural is the percentage of rural population with access to electricity.</t>
  </si>
  <si>
    <t>Access to electricity, urban is the percentage of urban population with access to electricity.</t>
  </si>
  <si>
    <t>Account denotes the percentage of respondents who report having an account (by themselves or together with someone else) at a bank or another type of financial institution or report personally using a mobile money service in the past 12 months (% age 15+).</t>
  </si>
  <si>
    <t>Account denotes the percentage of respondents who report having an account (by themselves or together with someone else) at a bank or another type of financial institution or report personally using a mobile money service in the past 12 months (female, % age 15+).</t>
  </si>
  <si>
    <t>Account denotes the percentage of respondents who report having an account (by themselves or together with someone else) at a bank or another type of financial institution or report personally using a mobile money service in the past 12 months (male, % age 15+).</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</si>
  <si>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</si>
  <si>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</si>
  <si>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</si>
  <si>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</si>
  <si>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</si>
  <si>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</si>
  <si>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</si>
  <si>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</si>
  <si>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</si>
  <si>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</si>
  <si>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Adjusted net enrollment is the number of pupils of the school-age group for primary education, enrolled either in primary or secondary education, expressed as a percentage of the total population in that age group.</t>
  </si>
  <si>
    <t>Adjusted net national income is GNI minus consumption of fixed capital and natural resources depletion. This indicator denotes the percentage change over each previous year of the constant price (base year 2015) series in United States dollars.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</si>
  <si>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</si>
  <si>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</si>
  <si>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</si>
  <si>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</si>
  <si>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</si>
  <si>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</si>
  <si>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</si>
  <si>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</si>
  <si>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</si>
  <si>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</si>
  <si>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</si>
  <si>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</si>
  <si>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</si>
  <si>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</si>
  <si>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</si>
  <si>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</si>
  <si>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</si>
  <si>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</si>
  <si>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</si>
  <si>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</si>
  <si>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</si>
  <si>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</si>
  <si>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</si>
  <si>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</si>
  <si>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</si>
  <si>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</si>
  <si>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Adolescent fertility rate is the number of births per 1,000 women ages 15-19.</t>
  </si>
  <si>
    <t>Adolescents out of school are the percentage of lower secondary school age adolescents who are not enrolled in school.</t>
  </si>
  <si>
    <t>Number of adults (ages 15+) and children (ages 0-14) newly infected with HIV.</t>
  </si>
  <si>
    <t>Number of adults (ages 15-49) newly infected with HIV.</t>
  </si>
  <si>
    <t>Age dependency ratio is the ratio of dependents--people younger than 15 or older than 64--to the working-age population--those ages 15-64. Data are shown as the proportion of dependents per 100 working-age population.</t>
  </si>
  <si>
    <t>Age dependency ratio, old, is the ratio of older dependents--people older than 64--to the working-age population--those ages 15-64. Data are shown as the proportion of dependents per 100 working-age population.</t>
  </si>
  <si>
    <t>Age dependency ratio, young, is the ratio of younger dependents--people younger than 15--to the working-age population--those ages 15-64. Data are shown as the proportion of dependents per 100 working-age population.</t>
  </si>
  <si>
    <t>Agricultural irrigated land refers to agricultural areas purposely provided with water, including land irrigated by controlled flooding.</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</si>
  <si>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</si>
  <si>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</si>
  <si>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</si>
  <si>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</si>
  <si>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</si>
  <si>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</si>
  <si>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</si>
  <si>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</si>
  <si>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</si>
  <si>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Air freight is the volume of freight, express, and diplomatic bags carried on each flight stage (operation of an aircraft from takeoff to its next landing), measured in metric tons times kilometers traveled.</t>
  </si>
  <si>
    <t>Air passengers carried include both domestic and international aircraft passengers of air carriers registered in the country.</t>
  </si>
  <si>
    <t>Registered carrier departures worldwide are domestic takeoffs and takeoffs abroad of air carriers registered in the country.</t>
  </si>
  <si>
    <t>Clean energy is noncarbohydrate energy that does not produce carbon dioxide when generated. It includes hydropower and nuclear, geothermal, and solar power, among others. This is the share of total energy supply that is non-fossil.</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</si>
  <si>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</si>
  <si>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</si>
  <si>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</si>
  <si>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</si>
  <si>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</si>
  <si>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</si>
  <si>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</si>
  <si>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Antiretroviral therapy coverage indicates the percentage of all people living with HIV who are receiving antiretroviral therapy.</t>
  </si>
  <si>
    <t>Percentage of pregnant women with HIV who receive antiretroviral medicine for prevention of mother-to-child transmission (PMTCT).</t>
  </si>
  <si>
    <t>Aquaculture is understood to mean the farming of aquatic organisms including fish, molluscs, crustaceans and aquatic plants. Aquaculture production specifically refers to output from aquaculture activities, which are designated for final harvest for consumption.</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</si>
  <si>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</si>
  <si>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</si>
  <si>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</si>
  <si>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</si>
  <si>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</si>
  <si>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Armed forces personnel are active duty military personnel, including paramilitary forces if the training, organization, equipment, and control suggest they may be used to support or replace regular military forces.</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</si>
  <si>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</si>
  <si>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</si>
  <si>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</si>
  <si>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</si>
  <si>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Average precipitation is the long-term average in depth (over space and time) of annual precipitation in the country. Precipitation is defined as any kind of water that falls from clouds as a liquid or a solid.</t>
  </si>
  <si>
    <t>Average number of days to clear direct exports through customs.</t>
  </si>
  <si>
    <t>The average time, in days, that it takes for an establishment to be able to claim imported goods from customs, starting from their arrival at the point of entry (such as a port or airport).</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</si>
  <si>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</si>
  <si>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</si>
  <si>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Average working hours of children studying and working refer to the average weekly working hours of those children who are attending school in combination with economic activity.</t>
  </si>
  <si>
    <t>Average working hours of children working only refers to the average weekly working hours of those children who are involved in economic activity and not attending school.</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</si>
  <si>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</si>
  <si>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</si>
  <si>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</si>
  <si>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Battle-related deaths are deaths in battle-related conflicts between warring parties in the conflict dyad (two conflict units that are parties to a conflict). Typically, battle-related deaths occur in warfare involving the armed forces of the warring parties. This includes traditional battlefield fighting, guerrilla activities, and all kinds of bombardments of military units, cities, and villages, etc. The targets are usually the military itself and its installations or state institutions and state representatives, but there is often substantial collateral damage in the form of civilians being killed in crossfire, in indiscriminate bombings, etc. All deaths--military as well as civilian--incurred in such situations, are counted as battle-related deaths.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</si>
  <si>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</si>
  <si>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</si>
  <si>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</si>
  <si>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</si>
  <si>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Binding coverage is the percentage of product lines with an agreed bound rate. Bound rates result from trade negotiations incorporated into a country's schedule of concessions and are thus enforceable.</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</si>
  <si>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</si>
  <si>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</si>
  <si>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Birds are listed for countries included within their breeding or wintering ranges. Threatened species are the number of species classified by the IUCN as endangered, vulnerable, rare, indeterminate, out of danger, or insufficiently known.</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</si>
  <si>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</si>
  <si>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</si>
  <si>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Borrowers from commercial banks are the reported number of resident customers that are nonfinancial corporations (public and private) and households who obtained loans from commercial banks and other banks functioning as commercial banks.</t>
  </si>
  <si>
    <t>Simple mean bound rate is the unweighted average of all the lines in the tariff schedule in which bound rates have been set. Bound rates result from trade negotiations incorporated into a country's schedule of concessions and are thus enforceable.</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</si>
  <si>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</si>
  <si>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</si>
  <si>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</si>
  <si>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</si>
  <si>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</si>
  <si>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</si>
  <si>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</si>
  <si>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</si>
  <si>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</si>
  <si>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</si>
  <si>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</si>
  <si>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</si>
  <si>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</si>
  <si>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</si>
  <si>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</si>
  <si>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</si>
  <si>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</si>
  <si>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</si>
  <si>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</si>
  <si>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</si>
  <si>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</si>
  <si>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</si>
  <si>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</si>
  <si>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</si>
  <si>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</si>
  <si>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</si>
  <si>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</si>
  <si>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</si>
  <si>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</si>
  <si>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</si>
  <si>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</si>
  <si>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</si>
  <si>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</si>
  <si>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</si>
  <si>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</si>
  <si>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</si>
  <si>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</si>
  <si>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</si>
  <si>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</si>
  <si>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</si>
  <si>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</si>
  <si>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</si>
  <si>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</si>
  <si>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</si>
  <si>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</si>
  <si>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The percent of firms experiencing at least one bribe payment request across 6 public transactions dealing with utilities access, permits, licenses, and taxes.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</si>
  <si>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</si>
  <si>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</si>
  <si>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</si>
  <si>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</si>
  <si>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Capture fisheries production measures the volume of fish catches landed by a country for all commercial, industrial, recreational and subsistence purposes.</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</si>
  <si>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</si>
  <si>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</si>
  <si>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</si>
  <si>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</si>
  <si>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</si>
  <si>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</si>
  <si>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</si>
  <si>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</si>
  <si>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</si>
  <si>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</si>
  <si>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</si>
  <si>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Net flux of carbon dioxide (CO2) in the category "Deforestation".</t>
  </si>
  <si>
    <t>Net flux of carbon dioxide (CO2) in the category "Forest land".</t>
  </si>
  <si>
    <t>Net flux of carbon dioxide (CO2) in the category "Organic soil".</t>
  </si>
  <si>
    <t>Net flux of carbon dioxide (CO2) in the category "Other land".</t>
  </si>
  <si>
    <t>Net flux of carbon dioxide (CO2) from Land Use, Land Use Change and Forestry LULUCF, excluding non-ropical fires at the country level.</t>
  </si>
  <si>
    <t>Annual emissions of carbon dioxide (CO2), one of the six Kyoto greenhouse gases (GHG), from the agriculture, energy, waste, and industrial sectors, excluding LULUCF divided by the GDP in 2021 PPP $.</t>
  </si>
  <si>
    <t>Annual emissions of carbon dioxide (CO2), one of the six Kyoto greenhouse gases (GHG), from the agriculture, energy, waste, and industrial sectors, excluding LULUCF divided by the GDP in constant 2021 US$.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</si>
  <si>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</si>
  <si>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Cause of death refers to the share of all deaths for all ages by underlying causes. Injuries include unintentional and intentional injuries.</t>
  </si>
  <si>
    <t>Cause of death refers to the share of all deaths for all ages by underlying causes. Non-communicable diseases include cancer, diabetes mellitus, cardiovascular diseases, digestive diseases, skin diseases, musculoskeletal diseases, and congenital anomalies.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</si>
  <si>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</si>
  <si>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</si>
  <si>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Production data on cereals relate to crops harvested for dry grain only. Cereal crops harvested for hay or harvested green for food, feed, or silage and those used for grazing are excluded.</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</si>
  <si>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</si>
  <si>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</si>
  <si>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</si>
  <si>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</si>
  <si>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</si>
  <si>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</si>
  <si>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</si>
  <si>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</si>
  <si>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</si>
  <si>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Children living with HIV refers to the number of children ages 0-14 who are infected with HIV.</t>
  </si>
  <si>
    <t>Number of children (ages 0-14) newly infected with HIV.</t>
  </si>
  <si>
    <t>Children in employment refer to children involved in economic activity for at least one hour in the reference week of the survey.</t>
  </si>
  <si>
    <t>Self-employed workers are people whose remuneration depends directly on the profits derived from the goods and services they produce, with or without other employees, and include employers, own-account workers, and members of producers cooperatives.</t>
  </si>
  <si>
    <t>Children in employment refer to children involved in economic activity for at least one hour in the reference week of the survey. Study and work refer to children attending school in combination with economic activity.</t>
  </si>
  <si>
    <t>Unpaid family workers are people who work without pay in a market-oriented establishment operated by a related person living in the same household.</t>
  </si>
  <si>
    <t>Wage workers (also known as employees) are people who hold explicit (written or oral) or implicit employment contracts that provide basic remuneration that does not depend directly on the revenue of the unit for which they work.</t>
  </si>
  <si>
    <t>Children in employment refer to children involved in economic activity for at least one hour in the reference week of the survey. Work only refers to children involved in economic activity and not attending school.</t>
  </si>
  <si>
    <t>Children out of school are the percentage of primary-school-age children who are not enrolled in primary or secondary school. Children in the official primary age group that are in preprimary education should be considered out of school.</t>
  </si>
  <si>
    <t>Children out of school are the number of primary-school-age children not enrolled in primary or secondary school.</t>
  </si>
  <si>
    <t>Malaria treatment refers to the percentage of children under age five who were ill with fever in the last two weeks and received any appropriate (locally defined) anti-malarial drugs.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</si>
  <si>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</si>
  <si>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</si>
  <si>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</si>
  <si>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</si>
  <si>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</si>
  <si>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Coal rents are the difference between the value of both hard and soft coal production at world prices and their total costs of production.</t>
  </si>
  <si>
    <t>Combustible renewables and waste comprise solid biomass, liquid biomass, biogas, industrial waste, and municipal waste, measured as a percentage of total energy use. The indicator expresses the share of total energy supply.</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</si>
  <si>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</si>
  <si>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</si>
  <si>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</si>
  <si>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</si>
  <si>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</si>
  <si>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</si>
  <si>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</si>
  <si>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</si>
  <si>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</si>
  <si>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</si>
  <si>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Completeness of death registration is the estimated percentage of deaths that are registered with their cause of death information in the vital registration system of a country.</t>
  </si>
  <si>
    <t>Duration of compulsory education is the number of years that children are legally obliged to attend school.</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</si>
  <si>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</si>
  <si>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</si>
  <si>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Condom use, female is the percentage of the female population ages 15-24 who used a condom at last intercourse in the last 12 months.</t>
  </si>
  <si>
    <t>Condom use, male is the percentage of the male population ages 15-24 who used a condom at last intercourse in the last 12 months.</t>
  </si>
  <si>
    <t>Index of the prices of consumption goods and services, as compared to a certain reference period (2010=100).</t>
  </si>
  <si>
    <t>Percentage of households which have salt they used for cooking that tested positive (&gt;0ppm) for presence of iodine.</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</si>
  <si>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</si>
  <si>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</si>
  <si>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</si>
  <si>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Contributing family workers are those workers who hold "self-employment jobs" as own-account workers in a market-oriented establishment operated by a related person living in the same household.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</si>
  <si>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</si>
  <si>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</si>
  <si>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</si>
  <si>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</si>
  <si>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</si>
  <si>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</si>
  <si>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</si>
  <si>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Coverage of social protection and labor programs (SPL) shows the percentage of population participating in social insurance, social safety net, and unemployment benefits and active labor market programs. Estimates include both direct and indirect beneficiaries.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</si>
  <si>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</si>
  <si>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</si>
  <si>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</si>
  <si>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</si>
  <si>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</si>
  <si>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</si>
  <si>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</si>
  <si>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Equity of public resource use assesses the extent to which the pattern of public expenditures and revenue collection affects the poor and is consistent with national poverty reduction priorities.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</si>
  <si>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</si>
  <si>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</si>
  <si>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</si>
  <si>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</si>
  <si>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</si>
  <si>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</si>
  <si>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</si>
  <si>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</si>
  <si>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</si>
  <si>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</si>
  <si>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</si>
  <si>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</si>
  <si>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Trade assesses how the policy framework fosters trade in goods.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</si>
  <si>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</si>
  <si>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</si>
  <si>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</si>
  <si>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</si>
  <si>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</si>
  <si>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</si>
  <si>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Current expenditures on health per capita in current US dollars. Estimates of current health expenditures include healthcare goods and services consumed during each year.</t>
  </si>
  <si>
    <t>Current expenditures on health per capita expressed in international dollars at purchasing power parity.</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</si>
  <si>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</si>
  <si>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</si>
  <si>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</si>
  <si>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</si>
  <si>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</si>
  <si>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Total debt service is the sum of principal repayments and interest actually paid in currency, goods, or services on long-term debt, interest paid on short-term debt, and repayments (repurchases and charges) to the IMF. Data are in current U.S. dollars.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</si>
  <si>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</si>
  <si>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Demand for family planning satisfied by modern methods refers to the percentage of married women ages 15-49 years whose need for family planning is satisfied with modern methods.</t>
  </si>
  <si>
    <t>Deposit interest rate is the rate paid by commercial or similar banks for demand, time, or savings deposits. The terms and conditions attached to these rates differ by country, however, limiting their comparability. This indicator is expressed as a percentage (a÷b)*100.</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</si>
  <si>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</si>
  <si>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Diabetes prevalence refers to the percentage of people ages 20-79 who have type 1 or type 2 diabetes. It is calculated by adjusting to a standard population age-structure.</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</si>
  <si>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</si>
  <si>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Percentage of children under age 5 with diarrhea in the two weeks preceding the survey who received oral rehydration salts (ORS packets or pre-packaged ORS fluids).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</si>
  <si>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</si>
  <si>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</si>
  <si>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</si>
  <si>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</si>
  <si>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</si>
  <si>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</si>
  <si>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</si>
  <si>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Public expenditure on health from domestic sources as a share of the economy as measured by GDP.</t>
  </si>
  <si>
    <t>Public expenditure on health from domestic sources as a share of total public expenditure.  It indicates the priority of the government to spend on health from own domestic public resources.</t>
  </si>
  <si>
    <t>Public expenditure on health from domestic sources per capita expressed in current US dollars.</t>
  </si>
  <si>
    <t>Public expenditure on health from domestic sources per capita expressed in international dollars at purchasing power parity.</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</si>
  <si>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</si>
  <si>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</si>
  <si>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international dollars at purchasing power parity.</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</si>
  <si>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</si>
  <si>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The percentage of population ages 25 and over that attained or completed Bachelor's or equivalent.</t>
  </si>
  <si>
    <t>The percentage of population ages 25 and over that attained or completed lower secondary education.</t>
  </si>
  <si>
    <t>The percentage of population ages 25 and over that attained or completed post-secondary non-tertiary education.</t>
  </si>
  <si>
    <t>The percentage of population ages 25 and over that attained or completed primary education.</t>
  </si>
  <si>
    <t>The percentage of population ages 25 and over that attained or completed short-cycle tertiary education.</t>
  </si>
  <si>
    <t>The percentage of population ages 25 and over that attained or completed upper secondary education.</t>
  </si>
  <si>
    <t>The percentage of population ages 25 and over that attained or completed Master's or equivalent.</t>
  </si>
  <si>
    <t>The percentage of population ages 25 and over that attained or completed Doctoral or equivalent.</t>
  </si>
  <si>
    <t>Electric power consumption measures the production of power plants and combined heat and power plants less transmission, distribution, and transformation losses and own use by heat and power plants.</t>
  </si>
  <si>
    <t>Electric power transmission and distribution losses include losses in transmission between sources of supply and points of distribution and in the distribution to consumers, including pilferage. The losses are expressed as a share of the total output.</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</si>
  <si>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</si>
  <si>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The share of electricity production from hydroelectric sources of total electricity production. Sources of electricity refer to the inputs used to generate electricity. Hydropower refers to electricity produced by hydroelectric power plants.</t>
  </si>
  <si>
    <t>The share of electricity production from natural gas sources of total electricity production. Sources of electricity refer to the inputs used to generate electricity. Gas refers to natural gas but excludes natural gas liquids.</t>
  </si>
  <si>
    <t>The share of electricity production from nuclear sources of total electricity production. Sources of electricity refer to the inputs used to generate electricity. Nuclear power refers to electricity produced by nuclear power plants.</t>
  </si>
  <si>
    <t>The share of electricity production from oil sources of total electricity production. Sources of electricity refer to the inputs used to generate electricity. Oil refers to crude oil and petroleum products.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</si>
  <si>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</si>
  <si>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The share of electricity production from renewable sources of total electricity production. Electricity production from renewable sources, excluding hydroelectric, includes geothermal, solar, tides, wind, biomass, and biofuels.</t>
  </si>
  <si>
    <t>Electricity production from renewable sources in kilowatt-hour (kWh), excluding hydroelectric, includes geothermal, solar, tides, wind, biomass, and biofuels.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</si>
  <si>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</si>
  <si>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</si>
  <si>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</si>
  <si>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</si>
  <si>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Employment to population ratio is the proportion of a country's population that is employed.</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</si>
  <si>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</si>
  <si>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</si>
  <si>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Energy use refers to use of primary energy before transformation to other end-use fuels, which is equal to indigenous production plus imports and stock changes, minus exports and fuels supplied to ships and aircraft engaged in international transport.</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</si>
  <si>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2017 constant international dollars using purchasing power parity rates. An international dollar has the same purchasing power over GDP as a U.S. dollar has in the United States.</t>
  </si>
  <si>
    <t>Exclusive breastfeeding refers to the percentage of children less than six months old who are fed breast milk alone (no other liquids) in the past 24 hours.</t>
  </si>
  <si>
    <t>Expenditure on primary education is expressed as a percentage of total general government expenditure on education. General government usually refers to local, regional and central governments.</t>
  </si>
  <si>
    <t>Expenditure on secondary education is expressed as a percentage of total general government expenditure on education. General government usually refers to local, regional and central governments.</t>
  </si>
  <si>
    <t>Expenditure on tertiary education is expressed as a percentage of total general government expenditure on education. General government usually refers to local, regional and central governments.</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</si>
  <si>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</si>
  <si>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Expense is a decrease in net worth resulting from a transaction. This indicator is expressed in current prices, meaning no adjustment has been made to account for price changes over time. This series is expressed in local currency units.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</si>
  <si>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</si>
  <si>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Export values are the current value of exports (f.o.b.) converted to U.S. dollars and expressed as a percentage of the average for the base period (2015). UNCTAD's export value indexes are reported for most economies.</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</si>
  <si>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</si>
  <si>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</si>
  <si>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</si>
  <si>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</si>
  <si>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</si>
  <si>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</si>
  <si>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</si>
  <si>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</si>
  <si>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</si>
  <si>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</si>
  <si>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</si>
  <si>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</si>
  <si>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</si>
  <si>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</si>
  <si>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Long-term debt is debt that has an original or extended maturity of more than one year. It has three components: public, publicly guaranteed, and private nonguaranteed debt. Data are in current U.S. dollars.</t>
  </si>
  <si>
    <t>Private nonguaranteed external debt comprises long-term external obligations of private debtors that are not guaranteed for repayment by a public entity. Data are in current U.S. dollars.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</si>
  <si>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</si>
  <si>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Short-term external debt is defined as debt that has an original maturity of one year or less. Available data permit no distinction between public and private nonguaranteed short-term debt. Data are in current U.S. dollars.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</si>
  <si>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</si>
  <si>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</si>
  <si>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</si>
  <si>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</si>
  <si>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Percentage of women aged 15–49 who have gone through partial or total removal of the female external genitalia or other injury to the female genital organs for cultural or other non-therapeutic reasons.</t>
  </si>
  <si>
    <t>Female headed households refers to the percentage of households that are headed by females.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</si>
  <si>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</si>
  <si>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</si>
  <si>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</si>
  <si>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Total fertility rate represents the number of children that would be born to a woman if she were to live to the end of her childbearing years and bear children in accordance with age-specific fertility rates of the specified year.</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</si>
  <si>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</si>
  <si>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</si>
  <si>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</si>
  <si>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</si>
  <si>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</si>
  <si>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</si>
  <si>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</si>
  <si>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</si>
  <si>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</si>
  <si>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</si>
  <si>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</si>
  <si>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The percentage of firms adopting energy management measures to reduce emissions over last 3 years.</t>
  </si>
  <si>
    <t>Percentage of firms competing against unregistered or informal firms.</t>
  </si>
  <si>
    <t>Percentage of firms expected to give gifts or informal payments during meetings with tax officials.</t>
  </si>
  <si>
    <t>Percentage of firms that experienced power outages over the last complete fiscal year.</t>
  </si>
  <si>
    <t>The percentage of firms that export directly at least 10% of their total annual sales.</t>
  </si>
  <si>
    <t>The percentage of firms paying taxes electronically.</t>
  </si>
  <si>
    <t>Percentage of firms formally registered when they started operations in the country.</t>
  </si>
  <si>
    <t>The percentage of firms monitoring own CO2 emissions over last 3 years.</t>
  </si>
  <si>
    <t>Percentage of firms offering formal training programs for its permanent, full-time employees.</t>
  </si>
  <si>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t>
  </si>
  <si>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t>
  </si>
  <si>
    <t>Firms that do not report all sales for tax purposes are the percentage of firms that expressed that a typical firm reports less than 100 percent of sales for tax purposes; such firms are termed "informal firms."</t>
  </si>
  <si>
    <t>The percentage of firms that introduced a new product/service and process over last 3 years, and spent on R&amp;D over last fiscal year (excluding small firms).</t>
  </si>
  <si>
    <t>The percentage of firms that use courts, arbitration, mediation, or conciliation to resolve or attempt to resolve its commercial disputes.</t>
  </si>
  <si>
    <t>Percentage of firms using banks to finance purchases of fixed assets.</t>
  </si>
  <si>
    <t>Percentage of firms using bank loans to finance working capital.</t>
  </si>
  <si>
    <t>Percentage of firms that were visited or inspected by tax officials or were required to meet with them over the last year.</t>
  </si>
  <si>
    <t>The percent of firms where the largest owner is also the top manager.</t>
  </si>
  <si>
    <t>The percentage of firms with a line of credit or loan from a financial institution.</t>
  </si>
  <si>
    <t>The percentage of firms that have at least 10% owned by private foreign individuals, companies or organizations.</t>
  </si>
  <si>
    <t>Percentage of firms with females among the owners.</t>
  </si>
  <si>
    <t>Percentage of firms with females as the top manager.</t>
  </si>
  <si>
    <t>Fish species are based on Froese, R. and Pauly, D. (eds). 2008. Threatened species are the number of species classified by the IUCN as endangered, vulnerable, rare, indeterminate, out of danger, or insufficiently known.</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</si>
  <si>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</si>
  <si>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Fixed telephone subscriptions refers to the sum of active number of analogue fixed telephone lines, voice-over-IP (VoIP) subscriptions, fixed wireless local loop (WLL) subscriptions, ISDN voice-channel equivalents and fixed public payphones.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</si>
  <si>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</si>
  <si>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</si>
  <si>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Food production index covers food crops that are considered edible and that contain nutrients. Coffee and tea are excluded because, although edible, they have no nutritive value.</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</si>
  <si>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</si>
  <si>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</si>
  <si>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</si>
  <si>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</si>
  <si>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</si>
  <si>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</si>
  <si>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</si>
  <si>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</si>
  <si>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</si>
  <si>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Forest rents are roundwood harvest times the product of regional prices and a regional rental rate.</t>
  </si>
  <si>
    <t>Fossil fuel comprises coal, oil, petroleum, and natural gas products.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</si>
  <si>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</si>
  <si>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</si>
  <si>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</si>
  <si>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</si>
  <si>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</si>
  <si>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</si>
  <si>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The GDP implicit deflator is the ratio of GDP in current local currency to GDP in constant local currency. The base year varies by country. This indicator is expressed as a ratio (a÷b).</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</si>
  <si>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</si>
  <si>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</si>
  <si>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</si>
  <si>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</si>
  <si>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</si>
  <si>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</si>
  <si>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</si>
  <si>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</si>
  <si>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</si>
  <si>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</si>
  <si>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</si>
  <si>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</si>
  <si>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</si>
  <si>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</si>
  <si>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</si>
  <si>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</si>
  <si>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</si>
  <si>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</si>
  <si>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</si>
  <si>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</si>
  <si>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</si>
  <si>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</si>
  <si>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</si>
  <si>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</si>
  <si>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</si>
  <si>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</si>
  <si>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</si>
  <si>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</si>
  <si>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</si>
  <si>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</si>
  <si>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</si>
  <si>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</si>
  <si>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</si>
  <si>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</si>
  <si>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</si>
  <si>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</si>
  <si>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</si>
  <si>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</si>
  <si>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</si>
  <si>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</si>
  <si>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</si>
  <si>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</si>
  <si>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</si>
  <si>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</si>
  <si>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</si>
  <si>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</si>
  <si>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</si>
  <si>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</si>
  <si>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</si>
  <si>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</si>
  <si>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Government expenditure per student is the average general government expenditure (current, capital, and transfers) per student in the given level of education, expressed as a percentage of GDP per capita.</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</si>
  <si>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</si>
  <si>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</si>
  <si>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</si>
  <si>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</si>
  <si>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</si>
  <si>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</si>
  <si>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</si>
  <si>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</si>
  <si>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</si>
  <si>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</si>
  <si>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</si>
  <si>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</si>
  <si>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</si>
  <si>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</si>
  <si>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</si>
  <si>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</si>
  <si>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</si>
  <si>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</si>
  <si>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</si>
  <si>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</si>
  <si>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</si>
  <si>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Gross intake ratio in first grade of primary education is the number of new entrants in the first grade of primary education regardless of age, expressed as a percentage of the population of the official primary entrance age.</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</si>
  <si>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</si>
  <si>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</si>
  <si>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</si>
  <si>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</si>
  <si>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</si>
  <si>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</si>
  <si>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</si>
  <si>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</si>
  <si>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</si>
  <si>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</si>
  <si>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</si>
  <si>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</si>
  <si>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</si>
  <si>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</si>
  <si>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High-technology exports are products with high R&amp;D intensity, such as in aerospace, computers, pharmaceuticals, scientific instruments, and electrical machinery.</t>
  </si>
  <si>
    <t>High-technology exports are products with high R&amp;D intensity, such as aerospace, computers, pharmaceuticals, scientific instruments, and electrical machinery.</t>
  </si>
  <si>
    <t>Hospital beds include inpatient beds available in public, private, general, and specialized hospitals and rehabilitation centers. In most cases beds for both acute and chronic care are included.</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</si>
  <si>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</si>
  <si>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</si>
  <si>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</si>
  <si>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</si>
  <si>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</si>
  <si>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</si>
  <si>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</si>
  <si>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</si>
  <si>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</si>
  <si>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</si>
  <si>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</si>
  <si>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</si>
  <si>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</si>
  <si>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</si>
  <si>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</si>
  <si>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Information and communication technology goods exports include computers and peripheral equipment, communication equipment, consumer electronic equipment, electronic components, and other information and technology goods (miscellaneous).</t>
  </si>
  <si>
    <t>Information and communication technology goods imports include computers and peripheral equipment, communication equipment, consumer electronic equipment, electronic components, and other information and technology goods (miscellaneous).</t>
  </si>
  <si>
    <t>Information and communication technology service exports include computer and communications services (telecommunications and postal and courier services) and information services (computer data and news-related service transactions).</t>
  </si>
  <si>
    <t>Information and communication technology service exports include computer and communications services (telecommunications and postal and courier services) and information services (computer data and news-related service transactions). Data are in current U.S. dollars.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</si>
  <si>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</si>
  <si>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Nonguaranteed long-term debt privately placed from the International Finance Corporation (IFC). Net flows (or net lending or net disbursements) received by the borrower during the year are disbursements minus principal repayments. Data are in current U.S. dollars.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</si>
  <si>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</si>
  <si>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</si>
  <si>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Child immunization rate, hepatitis B is the percentage of children ages 12-23 months who received hepatitis B vaccinations before 12 months or at any time before the survey. A child is considered adequately immunized after three doses.</t>
  </si>
  <si>
    <t>Child immunization, measles, measures the percentage of children ages 12-23 months who received the measles vaccination before 12 months or at any time before the survey. A child is considered adequately immunized against measles after receiving one dose of vaccine.</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</si>
  <si>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</si>
  <si>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Import value indexes are the current value of imports (c.i.f.) converted to U.S. dollars and expressed as a percentage of the average for the base period (2015). UNCTAD's import value indexes are reported for most economies.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</si>
  <si>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</si>
  <si>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</si>
  <si>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</si>
  <si>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</si>
  <si>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</si>
  <si>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</si>
  <si>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</si>
  <si>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</si>
  <si>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Number of new HIV infections among uninfected populations ages 15-24 expressed per 1,000 uninfected population ages 15-24 in the year before the period.</t>
  </si>
  <si>
    <t>Number of new HIV infections among uninfected populations ages 15-49 expressed per 1,000 uninfected population in the year before the period.</t>
  </si>
  <si>
    <t>Number of new HIV infections among uninfected populations expressed per 1,000 uninfected population in the year before the period.</t>
  </si>
  <si>
    <t>Incidence of malaria is the number of new cases of malaria in a year per 1,000 population at risk.</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</si>
  <si>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</si>
  <si>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Percentage share of income or consumption is the share that accrues to subgroups of population indicated by deciles or quintiles. Percentage shares by quintile may not sum to 100 because of rounding.</t>
  </si>
  <si>
    <t>Percentage share of income or consumption is the share that accrues to subgroups of population indicated by deciles or quintiles.</t>
  </si>
  <si>
    <t>Internet users are individuals who have used the Internet (from any location) in the last 3 months. The Internet can be used via a computer, mobile phone, personal digital assistant, games machine, digital TV etc.</t>
  </si>
  <si>
    <t>This indicator refers to female individuals who have used the Internet (from any location) in the last 3 months. The Internet can be used via a computer, mobile phone, personal digital assistant, games machine, digital TV etc.</t>
  </si>
  <si>
    <t>This indicator refers to male individuals who have used the Internet (from any location) in the last 3 months. The Internet can be used via a computer, mobile phone, personal digital assistant, games machine, digital TV etc.</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</si>
  <si>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</si>
  <si>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</si>
  <si>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</si>
  <si>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</si>
  <si>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</si>
  <si>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</si>
  <si>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</si>
  <si>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</si>
  <si>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</si>
  <si>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</si>
  <si>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Inflation as measured by the annual growth rate of the GDP implicit deflator shows the rate of price change in the economy as a whole. The GDP implicit deflator is the ratio of GDP in current local currency to GDP in constant local currency.</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</si>
  <si>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</si>
  <si>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Percentage of establishments that consider that firms with characteristics similar to theirs are making informal payments or giving gifts to public officials to "get things done” with regard to customs, taxes, licenses, regulations, services etc.</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</si>
  <si>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</si>
  <si>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</si>
  <si>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</si>
  <si>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</si>
  <si>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</si>
  <si>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Intentional homicides, female are estimates of unlawful female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</si>
  <si>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Intentional homicides, male are estimates of unlawful male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</si>
  <si>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</si>
  <si>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</si>
  <si>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</si>
  <si>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</si>
  <si>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</si>
  <si>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</si>
  <si>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</si>
  <si>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</si>
  <si>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</si>
  <si>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</si>
  <si>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</si>
  <si>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</si>
  <si>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</si>
  <si>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</si>
  <si>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</si>
  <si>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</si>
  <si>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</si>
  <si>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</si>
  <si>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</si>
  <si>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</si>
  <si>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</si>
  <si>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Labor force participation rate for ages 15-24 is the proportion of the population ages 15-24 that is economically active: all people who supply labor for the production of goods and services during a specified period.</t>
  </si>
  <si>
    <t>The labor force participation rate is the labor force as a percent of the population ages 15 and older. The labor force is the sum of all persons of working age who are employed and those who are unemployed.</t>
  </si>
  <si>
    <t>Labor force participation rate is the proportion of the population ages 15 and older that is economically active: all people who supply labor for the production of goods and services during a specified period.</t>
  </si>
  <si>
    <t>Labor force participation rate is the proportion of the population ages 15-64 that is economically active: all people who supply labor for the production of goods and services during a specified period.</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</si>
  <si>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</si>
  <si>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The ratio of the labor force with basic education to the working-age population with basic education. Basic education comprises primary education or lower secondary education according to the International Standard Classification of Education 2011 (ISCED 2011).</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</si>
  <si>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</si>
  <si>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Female labor force as a percentage of the total show the extent to which women are active in the labor force. Labor force comprises people ages 15 and older who supply labor for the production of goods and services during a specified period.</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</si>
  <si>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</si>
  <si>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Land area is a country's total area, excluding area under inland water bodies, national claims to continental shelf, and exclusive economic zones. In most cases the definition of inland water bodies includes major rivers and lakes.</t>
  </si>
  <si>
    <t>Land area below 5m is the percentage of total land where the elevation is 5 meters or less.</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</si>
  <si>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</si>
  <si>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</si>
  <si>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</si>
  <si>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</si>
  <si>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</si>
  <si>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</si>
  <si>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</si>
  <si>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</si>
  <si>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Life expectancy at birth indicates the number of years a newborn infant would live if prevailing patterns of mortality at the time of its birth were to stay the same throughout its life.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</si>
  <si>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</si>
  <si>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</si>
  <si>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</si>
  <si>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Adult literacy rate is the percentage of people ages 15 and above who can both read and write with understanding a short simple statement about their everyday life.</t>
  </si>
  <si>
    <t>Gender parity index for youth literacy rate is the ratio of females to males ages 15-24 who can both read and write with understanding a short simple statement about their everyday life.</t>
  </si>
  <si>
    <t>Youth literacy rate is the percentage of people ages 15-24 who can both read and write with understanding a short simple statement about their everyday life.</t>
  </si>
  <si>
    <t>Livestock production index includes meat and milk from all sources, dairy products such as cheese, and eggs, honey, raw silk, wool, and hides and skins.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</si>
  <si>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</si>
  <si>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</si>
  <si>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</si>
  <si>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</si>
  <si>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</si>
  <si>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</si>
  <si>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</si>
  <si>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Low-birthweight babies are newborns weighing less than 2,500 grams, with the measurement taken within the first hour of life, before significant postnatal weight loss has occurred.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</si>
  <si>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</si>
  <si>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</si>
  <si>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</si>
  <si>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</si>
  <si>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</si>
  <si>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Mammal species are mammals excluding whales and porpoises. Threatened species are the number of species classified by the IUCN as endangered, vulnerable, rare, indeterminate, out of danger, or insufficiently known.</t>
  </si>
  <si>
    <t>Composite index that combines information from eight management practices indicators included in the Enterprise Surveys questionnaire. 
The detailed methodology is available in the Enterprise Surveys Indicator Description document: https://www.enterprisesurveys.org/content/dam/enterprisesurveys/documents/methodology/Indicator-Description.pdf</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</si>
  <si>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</si>
  <si>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</si>
  <si>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</si>
  <si>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</si>
  <si>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</si>
  <si>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</si>
  <si>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</si>
  <si>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</si>
  <si>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Marine protected areas are areas of intertidal or subtidal terrain--and overlying water and associated flora and fauna and historical and cultural features--that have been reserved by law or other effective means to protect part or all of the enclosed environment.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</si>
  <si>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</si>
  <si>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</si>
  <si>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</si>
  <si>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Maternal mortality ratio is the number of women who die from pregnancy-related causes while pregnant or within 42 days of pregnancy termination per 100,000 live births.</t>
  </si>
  <si>
    <t>Share of medium and high-tech manufactured exports in total manufactured exports.</t>
  </si>
  <si>
    <t>The proportion of medium and high-tech industry value added in total value added of manufacturing</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</si>
  <si>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</si>
  <si>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Merchandise exports by the reporting economy are the total merchandise exports by the reporting economy to the rest of the world, as reported in the IMF's Direction of trade database. Data are in current US$.</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</si>
  <si>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</si>
  <si>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</si>
  <si>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</si>
  <si>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</si>
  <si>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</si>
  <si>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</si>
  <si>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</si>
  <si>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</si>
  <si>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</si>
  <si>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</si>
  <si>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</si>
  <si>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</si>
  <si>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Merchandise imports by the reporting economy are the total merchandise imports by the reporting economy from the rest of the world, as reported in the IMF's Direction of trade database. Data are in current U.S. dollars.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</si>
  <si>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</si>
  <si>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</si>
  <si>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</si>
  <si>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</si>
  <si>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</si>
  <si>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</si>
  <si>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</si>
  <si>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</si>
  <si>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</si>
  <si>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</si>
  <si>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</si>
  <si>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</si>
  <si>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</si>
  <si>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</si>
  <si>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</si>
  <si>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</si>
  <si>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</si>
  <si>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</si>
  <si>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</si>
  <si>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</si>
  <si>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</si>
  <si>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</si>
  <si>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</si>
  <si>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</si>
  <si>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</si>
  <si>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</si>
  <si>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</si>
  <si>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Mortality caused by road traffic injury is estimated road traffic fatal injury deaths per 100,000 population.</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</si>
  <si>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</si>
  <si>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</si>
  <si>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</si>
  <si>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</si>
  <si>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</si>
  <si>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</si>
  <si>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Adult mortality rate, female, is the probability of dying between the ages of 15 and 60--that is, the probability of a 15-year-old female dying before reaching age 60, if subject to age-specific mortality rates of the specified year between those ages.</t>
  </si>
  <si>
    <t>Adult mortality rate, male, is the probability of dying between the ages of 15 and 60--that is, the probability of a 15-year-old male dying before reaching age 60, if subject to age-specific mortality rates of the specified year between those ages.</t>
  </si>
  <si>
    <t>Infant mortality rate is the number of infants dying before reaching one year of age, per 1,000 live births in a given year.</t>
  </si>
  <si>
    <t>Infant mortality rate, female is the number of female infants dying before reaching one year of age, per 1,000 female live births in a given year.</t>
  </si>
  <si>
    <t>Infant mortality rate, male is the number of male infants dying before reaching one year of age, per 1,000 male live births in a given year.</t>
  </si>
  <si>
    <t>Neonatal mortality rate is the number of neonates dying before reaching 28 days of age, per 1,000 live births in a given year.</t>
  </si>
  <si>
    <t>Under-five mortality rate is the probability per 1,000 that a newborn baby will die before reaching age five, if subject to age-specific mortality rates of the specified year.</t>
  </si>
  <si>
    <t>Under-five mortality rate, female is the probability per 1,000 that a newborn female baby will die before reaching age five, if subject to female age-specific mortality rates of the specified year.</t>
  </si>
  <si>
    <t>Under-five mortality rate, male is the probability per 1,000 that a newborn male baby will die before reaching age five, if subject to male age-specific mortality rates of the specified year.</t>
  </si>
  <si>
    <t>The multidimensional poverty headcount ratio (UNDP) is the percentage of a population living in poverty according to UNDPs multidimensional poverty index. The index includes three dimensions -- health, education, and living standards.</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</si>
  <si>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</si>
  <si>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</si>
  <si>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</si>
  <si>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Natural gas rents are the difference between the value of natural gas production at regional prices and total costs of production.</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</si>
  <si>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</si>
  <si>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</si>
  <si>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Net barter terms of trade index is calculated as the percentage ratio of the export unit value indexes to the import unit value indexes, measured relative to the base year 2015.</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</si>
  <si>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</si>
  <si>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</si>
  <si>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</si>
  <si>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</si>
  <si>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</si>
  <si>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</si>
  <si>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</si>
  <si>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</si>
  <si>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Net financial flows received by the borrower during the year are disbursements of loans and credits less repayments of principal. IDA is the International Development Association, the concessional loan window of the World Bank Group. Data are in current U.S. dollars.</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</si>
  <si>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</si>
  <si>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</si>
  <si>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</si>
  <si>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</si>
  <si>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</si>
  <si>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</si>
  <si>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</si>
  <si>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</si>
  <si>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</si>
  <si>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</si>
  <si>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Net intake rate in grade 1 is the number of new entrants in the first grade of primary education who are of official primary school entrance age, expressed as a percentage of the population of the corresponding age.</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</si>
  <si>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</si>
  <si>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</si>
  <si>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</si>
  <si>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</si>
  <si>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Net migration is the net total of migrants during the period, that is, the number of immigrants minus the number of emigrants, including both citizens and noncitizens.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</si>
  <si>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</si>
  <si>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</si>
  <si>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</si>
  <si>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2020 U.S. dollars.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</si>
  <si>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</si>
  <si>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</si>
  <si>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</si>
  <si>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2020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</si>
  <si>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2020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</si>
  <si>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</si>
  <si>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2020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</si>
  <si>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</si>
  <si>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</si>
  <si>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</si>
  <si>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</si>
  <si>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</si>
  <si>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</si>
  <si>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</si>
  <si>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</si>
  <si>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</si>
  <si>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</si>
  <si>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The number of newly registered firms with limited liability per 1,000 working-age people (ages 15-64) per calendar year.</t>
  </si>
  <si>
    <t>New businesses registered are the number of new limited liability corporations (or its equivalent) registered in the calendar year.</t>
  </si>
  <si>
    <t>Newborns protected against tetanus are the percentage of births by women of child-bearing age who are immunized against tetanus.</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</si>
  <si>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</si>
  <si>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</si>
  <si>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</si>
  <si>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</si>
  <si>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</si>
  <si>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</si>
  <si>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</si>
  <si>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</si>
  <si>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</si>
  <si>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</si>
  <si>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Number of deaths of adolescents ages 10-14 years</t>
  </si>
  <si>
    <t>Number of deaths of adolescents ages 15-19 years</t>
  </si>
  <si>
    <t>Number of deaths of youths ages 20-24 years</t>
  </si>
  <si>
    <t>Number of deaths of children ages 5-9 years</t>
  </si>
  <si>
    <t>Number of infants dying before reaching one year of age.</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</si>
  <si>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</si>
  <si>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Number of neonates dying before reaching 28 days of age.</t>
  </si>
  <si>
    <t>The number of procedures undertaken in an operating theatre per 100,000 population per year in each country. A procedure is defined as the incision, excision, or manipulation of tissue that needs regional or general anaesthesia, or profound sedation to control pain.</t>
  </si>
  <si>
    <t>Number of children dying before reaching age five.</t>
  </si>
  <si>
    <t>Average number of visits or required meetings with tax officials.</t>
  </si>
  <si>
    <t>Nurses and midwives include professional nurses, professional midwives, auxiliary nurses, auxiliary midwives, enrolled nurses, enrolled midwives and other associated personnel, such as dental nurses and primary care nurses.</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</si>
  <si>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</si>
  <si>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Oil rents are the difference between the value of crude oil production at regional prices and total costs of production.</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</si>
  <si>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</si>
  <si>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</si>
  <si>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Other expense is spending on dividends, rent, and other miscellaneous expenses, including provision for consumption of fixed capital. This indicator is expressed as percentage of total expenses which is any decrease in net worth resulting from a transaction.</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</si>
  <si>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</si>
  <si>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</si>
  <si>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</si>
  <si>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</si>
  <si>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</si>
  <si>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Share of out-of-pocket payments of total current health expenditures.  Out-of-pocket payments are spending on health directly out-of-pocket by households.</t>
  </si>
  <si>
    <t>Health expenditure through out-of-pocket payments per capita in USD.  Out of pocket payments are spending on health directly out of pocket by households in each country.</t>
  </si>
  <si>
    <t>Health expenditure through out-of-pocket payments per capita in international dollars at purchasing power parity.</t>
  </si>
  <si>
    <t>Over-age students are the percentage of those enrolled who are older than the official school-age range for primary education.</t>
  </si>
  <si>
    <t>Part-time employment rate represents the percentage of employment that is part time. Part time employment in this series is based on a common definition of less than 35 actual weekly hours worked.</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</si>
  <si>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</si>
  <si>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People practicing open defecation refers to the percentage of the population defecating in the open, such as in fields, forest, bushes, open bodies of water, on beaches, in other open spaces or disposed of with solid waste.</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</si>
  <si>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</si>
  <si>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</si>
  <si>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</si>
  <si>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</si>
  <si>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</si>
  <si>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</si>
  <si>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Persistence to grade 5 (percentage of cohort reaching grade 5) is the share of children enrolled in the first grade of primary school who eventually reach grade 5. The estimate is based on the reconstructed cohort method.</t>
  </si>
  <si>
    <t>Persistence to last grade of primary is the percentage of children enrolled in the first grade of primary school who eventually reach the last grade of primary education. The estimate is based on the reconstructed cohort method.</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</si>
  <si>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</si>
  <si>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</si>
  <si>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</si>
  <si>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Physicians include generalist and specialist medical practitioners.</t>
  </si>
  <si>
    <t>Higher plants are native vascular plant species. Threatened species are the number of species classified by the IUCN as endangered, vulnerable, rare, indeterminate, out of danger, or insufficiently known.</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</si>
  <si>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</si>
  <si>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</si>
  <si>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</si>
  <si>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</si>
  <si>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</si>
  <si>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Nonguaranteed long-term debt from bonds that are privately placed. Net flows (or net lending or net disbursements) received by the borrower during the year are disbursements minus principal repayments. Data are in current U.S. dollars.</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</si>
  <si>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</si>
  <si>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</si>
  <si>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</si>
  <si>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</si>
  <si>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</si>
  <si>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</si>
  <si>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</si>
  <si>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Female population between the ages 0 to 4 as a percentage of the total female population.</t>
  </si>
  <si>
    <t>Male population between the ages 0 to 4 as a percentage of the total male population.</t>
  </si>
  <si>
    <t>Population between the ages 0 to 14 as a percentage of the total population. Population is based on the de facto definition of population.</t>
  </si>
  <si>
    <t>Female population between the ages 0 to 14. Population is based on the de facto definition of population, which counts all residents regardless of legal status or citizenship.</t>
  </si>
  <si>
    <t>Female population between the ages 0 to 14 as a percentage of the total female population. Population is based on the de facto definition of population.</t>
  </si>
  <si>
    <t>Male population between the ages 0 to 14. Population is based on the de facto definition of population, which counts all residents regardless of legal status or citizenship.</t>
  </si>
  <si>
    <t>Male population between the ages 0 to 14 as a percentage of the total male population. Population is based on the de facto definition of population.</t>
  </si>
  <si>
    <t>Total population between the ages 0 to 14. Population is based on the de facto definition of population, which counts all residents regardless of legal status or citizenship.</t>
  </si>
  <si>
    <t>Female population between the ages 5 to 9 as a percentage of the total female population.</t>
  </si>
  <si>
    <t>Male population between the ages 5 to 9 as a percentage of the total male population.</t>
  </si>
  <si>
    <t>Female population between the ages 10 to 14 as a percentage of the total female population.</t>
  </si>
  <si>
    <t>Male population between the ages 10 to 14 as a percentage of the total male population.</t>
  </si>
  <si>
    <t>Female population between the ages 15 to 19 as a percentage of the total female population.</t>
  </si>
  <si>
    <t>Male population between the ages 15 to 19 as a percentage of the total male population.</t>
  </si>
  <si>
    <t>Total population between the ages 15 to 64 as a percentage of the total population. Population is based on the de facto definition of population, which counts all residents regardless of legal status or citizenship.</t>
  </si>
  <si>
    <t>Female population between the ages 15 to 64. Population is based on the de facto definition of population, which counts all residents regardless of legal status or citizenship.</t>
  </si>
  <si>
    <t>Female population between the ages 15 to 64 as a percentage of the total female population. Population is based on the de facto definition of population, which counts all residents regardless of legal status or citizenship.</t>
  </si>
  <si>
    <t>Male population between the ages 15 to 64. Population is based on the de facto definition of population, which counts all residents regardless of legal status or citizenship.</t>
  </si>
  <si>
    <t>Male population between the ages 15 to 64 as a percentage of the total male population. Population is based on the de facto definition of population, which counts all residents regardless of legal status or citizenship.</t>
  </si>
  <si>
    <t>Total population between the ages 15 to 64. Population is based on the de facto definition of population, which counts all residents regardless of legal status or citizenship.</t>
  </si>
  <si>
    <t>Female population between the ages 20 to 24 as a percentage of the total female population.</t>
  </si>
  <si>
    <t>Male population between the ages 20 to 24 as a percentage of the total male population.</t>
  </si>
  <si>
    <t>Female population between the ages 25 to 29 as a percentage of the total female population.</t>
  </si>
  <si>
    <t>Male population between the ages 25 to 29 as a percentage of the total male population.</t>
  </si>
  <si>
    <t>Female population between the ages 30 to 34 as a percentage of the total female population.</t>
  </si>
  <si>
    <t>Male population between the ages 30 to 34 as a percentage of the total male population.</t>
  </si>
  <si>
    <t>Female population between the ages 35 to 39 as a percentage of the total female population.</t>
  </si>
  <si>
    <t>Male population between the ages 35 to 39 as a percentage of the total male population.</t>
  </si>
  <si>
    <t>Female population between the ages 40 to 44 as a percentage of the total female population.</t>
  </si>
  <si>
    <t>Male population between the ages 40 to 44 as a percentage of the total male population.</t>
  </si>
  <si>
    <t>Female population between the ages 45 to 49 as a percentage of the total female population.</t>
  </si>
  <si>
    <t>Male population between the ages 45 to 49 as a percentage of the total male population.</t>
  </si>
  <si>
    <t>Female population between the ages 50 to 54 as a percentage of the total female population.</t>
  </si>
  <si>
    <t>Male population between the ages 50 to 54 as a percentage of the total male population.</t>
  </si>
  <si>
    <t>Female population between the ages 55 to 59 as a percentage of the total female population.</t>
  </si>
  <si>
    <t>Male population between the ages 55 to 59 as a percentage of the total male population.</t>
  </si>
  <si>
    <t>Female population between the ages 60 to 64 as a percentage of the total female population.</t>
  </si>
  <si>
    <t>Male population between the ages 60 to 64 as a percentage of the total male population.</t>
  </si>
  <si>
    <t>Population ages 65 and above as a percentage of the total population. Population is based on the de facto definition of population, which counts all residents regardless of legal status or citizenship.</t>
  </si>
  <si>
    <t>Female population 65 years of age or older. Population is based on the de facto definition of population, which counts all residents regardless of legal status or citizenship.</t>
  </si>
  <si>
    <t>Female population 65 years of age or older as a percentage of the total female population. Population is based on the de facto definition of population, which counts all residents regardless of legal status or citizenship.</t>
  </si>
  <si>
    <t>Male population 65 years of age or older. Population is based on the de facto definition of population, which counts all residents regardless of legal status or citizenship.</t>
  </si>
  <si>
    <t>Male population 65 years of age or older as a percentage of the total male population. Population is based on the de facto definition of population, which counts all residents regardless of legal status or citizenship.</t>
  </si>
  <si>
    <t>Total population 65 years of age or older. Population is based on the de facto definition of population, which counts all residents regardless of legal status or citizenship.</t>
  </si>
  <si>
    <t>Female population between the ages 65 to 69 as a percentage of the total female population.</t>
  </si>
  <si>
    <t>Male population between the ages 65 to 69 as a percentage of the total male population.</t>
  </si>
  <si>
    <t>Female population between the ages 70 to 74 as a percentage of the total female population.</t>
  </si>
  <si>
    <t>Male population between the ages 70 to 74 as a percentage of the total male population.</t>
  </si>
  <si>
    <t>Female population between the ages 75 to 79 as a percentage of the total female population.</t>
  </si>
  <si>
    <t>Male population between the ages 75 to 79 as a percentage of the total male population.</t>
  </si>
  <si>
    <t>Female population between the ages 80 and above as a percentage of the total female population.</t>
  </si>
  <si>
    <t>Male population between the ages 80 and above as a percentage of the total male population.</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</si>
  <si>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</si>
  <si>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</si>
  <si>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Population in largest city is the urban population living in the country's largest metropolitan area.</t>
  </si>
  <si>
    <t>Population in largest city is the percentage of a country's urban population living in that country's largest metropolitan area.</t>
  </si>
  <si>
    <t>Population in urban agglomerations of more than one million is the country's population living in metropolitan areas that in 2018 had a population of more than one million people.</t>
  </si>
  <si>
    <t>Population in urban agglomerations of more than one million is the percentage of a country's population living in metropolitan areas that in 2018 had a population of more than one million people.</t>
  </si>
  <si>
    <t>Population below 5m is the percentage of the total population living in areas where the elevation is 5 meters or less.</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</si>
  <si>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</si>
  <si>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Female population is based on the de facto definition of population, which counts all female residents regardless of legal status or citizenship.</t>
  </si>
  <si>
    <t>Female population is the percentage of the population that is female. Population is based on the de facto definition of population, which counts all residents regardless of legal status or citizenship.</t>
  </si>
  <si>
    <t>Male population is based on the de facto definition of population, which counts all male residents regardless of legal status or citizenship.</t>
  </si>
  <si>
    <t>Male population is the percentage of the population that is male. Population is based on the de facto definition of population, which counts all residents regardless of legal status or citizenship.</t>
  </si>
  <si>
    <t>Total population is based on the de facto definition of population, which counts all residents regardless of legal status or citizenship. The values shown are midyear estimates.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</si>
  <si>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</si>
  <si>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Bonds are securities issued with a fixed rate of interest for a period of more than one year. They include net flows through cross-border public and publicly guaranteed and private nonguaranteed bond issues. Data are in current U.S. dollars.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</si>
  <si>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</si>
  <si>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</si>
  <si>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</si>
  <si>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</si>
  <si>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</si>
  <si>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Poverty headcount ratio at $4.20 a day is the percentage of the population living on less than $4.20 a day at 2021 international prices.</t>
  </si>
  <si>
    <t>Poverty headcount ratio at $8.30 a day is the percentage of the population living on less than $8.30 a day at 2021 international prices.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</si>
  <si>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</si>
  <si>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</si>
  <si>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</si>
  <si>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</si>
  <si>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Public and publicly guaranteed debt outstanding from the International Bank for Reconstruction and Development (IBRD) is nonconcessional. Nonconcessional debt excludes loans with an original grant element of 35 percent or more. Data are in current U.S. dollars.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</si>
  <si>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</si>
  <si>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</si>
  <si>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</si>
  <si>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</si>
  <si>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</si>
  <si>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</si>
  <si>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Pregnant women receiving prenatal care are the percentage of women attended at least once during pregnancy by skilled health personnel for reasons related to pregnancy.</t>
  </si>
  <si>
    <t>Preprimary duration refers to the number of grades (years) in preprimary school.</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</si>
  <si>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</si>
  <si>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</si>
  <si>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</si>
  <si>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Prevalence of anemia, children ages 6-59 months, is the percentage of children ages 6-59 months whose hemoglobin level is less than 110 grams per liter, adjusted for altitude.</t>
  </si>
  <si>
    <t>Prevalence of anemia, non-pregnant women, is the percentage of non-pregnant women whose hemoglobin level is less than 120 grams per liter at sea level.</t>
  </si>
  <si>
    <t>Prevalence of anemia, pregnant women, is the percentage of pregnant women whose hemoglobin level is less than 110 grams per liter at sea level.</t>
  </si>
  <si>
    <t>Prevalence of anemia among women of reproductive age refers to the combined prevalence of both non-pregnant with haemoglobin levels below 12 g/dL and pregnant women with haemoglobin levels below 11 g/dL.</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</si>
  <si>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</si>
  <si>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</si>
  <si>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</si>
  <si>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Prevalence of HIV, female is the percentage of females who are infected with HIV. Youth rates are as a percentage of the relevant age group.</t>
  </si>
  <si>
    <t>Prevalence of HIV, male is the percentage of males who are infected with HIV. Youth rates are as a percentage of the relevant age group.</t>
  </si>
  <si>
    <t>Prevalence of HIV refers to the percentage of people ages 15-49 who are infected with HIV.</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</si>
  <si>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</si>
  <si>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</si>
  <si>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</si>
  <si>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</si>
  <si>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</si>
  <si>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Prevalence of severe wasting is the proportion of children under age 5 whose weight for height is more than three standard deviations below the median for the international reference population ages 0-59 months.</t>
  </si>
  <si>
    <t>Prevalence of severe wasting, female, is the proportion of girls under age 5 whose weight for height is more than three standard deviations below the median for the international reference population ages 0-59 months.</t>
  </si>
  <si>
    <t>Prevalence of severe wasting, male, is the proportion of boys under age 5 whose weight for height is more than three standard deviations below the median for the international reference population ages 0-59 months.</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</si>
  <si>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</si>
  <si>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</si>
  <si>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</si>
  <si>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</si>
  <si>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</si>
  <si>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</si>
  <si>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Prevalence of underweight, male, is the percentage of boys under age 5 whose weight for age is more than two standard deviations below the median for the international reference population ages 0-59 months. The data are based on the WHO's 2006 Child Growth Standards.</t>
  </si>
  <si>
    <t>Prevalence of wasting is the proportion of children under age 5 whose weight for height is more than two standard deviations below the median for the international reference population ages 0-59 months.</t>
  </si>
  <si>
    <t>Prevalence of wasting, female, is the proportion of girls under age 5 whose weight for height is more than two standard deviations below the median for the international reference population ages 0-59 months.</t>
  </si>
  <si>
    <t>Prevalence of wasting, male, is the proportion of boys under age 5 whose weight for height is more than two standard deviations below the median for the international reference population ages 0-59 months.</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</si>
  <si>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</si>
  <si>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</si>
  <si>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Primary duration refers to the number of grades (years) in primary school.</t>
  </si>
  <si>
    <t>Primary education pupils is the total number of pupils enrolled at primary level in public and private schools.</t>
  </si>
  <si>
    <t>Female pupils as a percentage of total pupils at primary level include enrollments in public and private schools.</t>
  </si>
  <si>
    <t>Primary education, teachers refers to the total number of teachers at primary level, including full-time and part-time teachers.</t>
  </si>
  <si>
    <t>Female teachers as a percentage of total primary education teachers includes full-time and part-time teachers.</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</si>
  <si>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</si>
  <si>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</si>
  <si>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</si>
  <si>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</si>
  <si>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</si>
  <si>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Probability of dying between age 10-14 years of age expressed per 1,000 adolescents age 10, if subject to age-specific mortality rates of the specified year.</t>
  </si>
  <si>
    <t>Probability of dying between age 15-19 years of age expressed per 1,000 adolescents age 15, if subject to age-specific mortality rates of the specified year.</t>
  </si>
  <si>
    <t>Probability of dying between age 5-9 years of age expressed per 1,000 children aged 5, if subject to age-specific mortality rates of the specified year.</t>
  </si>
  <si>
    <t>Probability of dying between age 20-24 years of age expressed per 1,000 youths age 20, if subject to age-specific mortality rates of the specified year.</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</si>
  <si>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</si>
  <si>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</si>
  <si>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This indicator shows the fraction of a country’s population experiencing out-of-pocket health impoverishing expenditures, defined as expenditures without which the household they live in would have been above the $ 2.15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</si>
  <si>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</si>
  <si>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experiencing out-of-pocket health impoverishing expenditures, defined as expenditures without which the household they live in would have been above the 60% median consumption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</si>
  <si>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living in households whose non-health expenditures are already below the $2.15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</si>
  <si>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living in households whose non-health expenditures are already below the $3.65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</si>
  <si>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living in households whose non-health expenditures are already below the 60% median consumption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</si>
  <si>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who is either (1) living in households whose non-health expenditures are already below the $2.15 poverty line and who as a result are pushed further into poverty by their out-of-pocket health spending or (2) live in households whose total expenditures are above the $2.15 poverty line but fall below the $2.15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</si>
  <si>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who is either (1) living in households whose non-health expenditures are already below the $3.65 poverty line and who as a result are pushed further into poverty by their out-of-pocket health spending or (2) live in households whose total expenditures are above the $3.65 poverty line but fall below the $3.65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</si>
  <si>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This indicator shows the fraction of a country's population who is either (1) living in households whose non-health expenditures are already below the relative poverty line and who as a result are pushed further into poverty by their out-of-pocket health spending or (2) live in households whose total expenditures are above the relative poverty line but fall below the relative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</si>
  <si>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Proportion of population spending more than 10%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</si>
  <si>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Proportion of population spending more than 25%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</si>
  <si>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Women in parliaments are the percentage of parliamentary seats in a single or lower chamber held by women.</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</si>
  <si>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</si>
  <si>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</si>
  <si>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</si>
  <si>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The average shortfall from a prosperity standard of $25 per day (adjusted for differences in purchasing power parity across countries). It is measured as the average factor by which incomes fall short of $25.</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</si>
  <si>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</si>
  <si>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</si>
  <si>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</si>
  <si>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</si>
  <si>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</si>
  <si>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</si>
  <si>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</si>
  <si>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Lower secondary school pupil-teacher ratio is the average number of pupils per teacher in lower secondary school.</t>
  </si>
  <si>
    <t>Preprimary school pupil-teacher ratio is the average number of pupils per teacher in preprimary school.</t>
  </si>
  <si>
    <t>Primary school pupil-teacher ratio is the average number of pupils per teacher in primary school.</t>
  </si>
  <si>
    <t>Secondary school pupil-teacher ratio is the average number of pupils per teacher in secondary school.</t>
  </si>
  <si>
    <t>Tertiary school pupil-teacher ratio is the average number of pupils per teacher in tertiary school.</t>
  </si>
  <si>
    <t>Upper secondary school pupil-teacher ratio is the average number of pupils per teacher in upper secondary school.</t>
  </si>
  <si>
    <t>The total length of rail line in the country operated for passenger transport, goods transport, or both.</t>
  </si>
  <si>
    <t>Goods transported by railway are the volume of goods transported by railway, measured in metric tons times kilometers traveled.</t>
  </si>
  <si>
    <t>Passengers carried by railway are the number of passengers transported by rail multiplied by kilometers traveled.</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</si>
  <si>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</si>
  <si>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Real effective exchange rate is the nominal effective exchange rate (a measure of the value of a currency against a weighted average of several foreign currencies) divided by a price deflator or index of costs. This indicator is an index series where 2010=100.</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</si>
  <si>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</si>
  <si>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</si>
  <si>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</si>
  <si>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</si>
  <si>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</si>
  <si>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</si>
  <si>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</si>
  <si>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</si>
  <si>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</si>
  <si>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Renewable electricity is the share of electrity generated by renewable power plants in total electricity generated by all types of plants.</t>
  </si>
  <si>
    <t>Renewable energy consumption is the share of renewables energy in total final energy consumption.</t>
  </si>
  <si>
    <t>Renewable internal freshwater resources flows refer to internal renewable resources (internal river flows and groundwater from rainfall) in the country. Renewable internal freshwater resources per capita are calculated using the World Bank's population estimates.</t>
  </si>
  <si>
    <t>Renewable internal freshwater resources flows refer to internal renewable resources (internal river flows and groundwater from rainfall) in the country.</t>
  </si>
  <si>
    <t>Repeaters in primary school are the number of students enrolled in the same grade as in the previous year, as a percentage of all students enrolled in primary school.</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</si>
  <si>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</si>
  <si>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</si>
  <si>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</si>
  <si>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</si>
  <si>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</si>
  <si>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The proportion of population at risk of catastrophic expenditure when surgical care is required. Catastrophic expenditure is defined as direct out of pocket payments for surgical and anaesthesia care exceeding 10% of total income.</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</si>
  <si>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</si>
  <si>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</si>
  <si>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</si>
  <si>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</si>
  <si>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</si>
  <si>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</si>
  <si>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</si>
  <si>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</si>
  <si>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</si>
  <si>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Rural land area below 5m is the percentage of total land where the rural land elevation is 5 meters or less.</t>
  </si>
  <si>
    <t>Rural land area below 5m is the total rural land area in square kilometers where the elevation is 5 meters or less.</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</si>
  <si>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</si>
  <si>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Rural population refers to people living in rural areas as defined by national statistical offices. It is calculated as the difference between total population and urban population.</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</si>
  <si>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</si>
  <si>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Rural population below 5m is the percentage of the total population, living in areas where the elevation is 5 meters or less.</t>
  </si>
  <si>
    <t>S&amp;P Global Equity Indices measure the U.S. dollar price change in the stock markets covered by the S&amp;P BMI country indices.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</si>
  <si>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</si>
  <si>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</si>
  <si>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</si>
  <si>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Gender parity index for gross enrollment ratio in primary education is the ratio of girls to boys enrolled at primary level in public and private schools.</t>
  </si>
  <si>
    <t>Gender parity index for gross enrollment ratio in primary and secondary education is the ratio of girls to boys enrolled at primary and secondary levels in public and private schools.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</si>
  <si>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</si>
  <si>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</si>
  <si>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</si>
  <si>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Gender parity index for gross enrollment ratio in secondary education is the ratio of girls to boys enrolled at secondary level in public and private schools.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</si>
  <si>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</si>
  <si>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Gender parity index for gross enrollment ratio in tertiary education is the ratio of women to men enrolled at tertiary level in public and private schools.</t>
  </si>
  <si>
    <t>Article counts refer to publications from a selection of conference proceedings and peer-reviewed journals from Scopus in science and engineering fields, according to the National Center for Science and Engineering Statistics Taxonomy of Disciplines.</t>
  </si>
  <si>
    <t>Secondary duration refers to the number of grades (years) in secondary school.</t>
  </si>
  <si>
    <t>Secondary general pupils are the number of secondary students enrolled in general education programs, including teacher training.</t>
  </si>
  <si>
    <t>Secondary education pupils is the total number of pupils enrolled at secondary level in public and private schools.</t>
  </si>
  <si>
    <t>Female pupils as a percentage of total pupils at secondary level includes enrollments in public and private schools.</t>
  </si>
  <si>
    <t>Secondary education, teachers refers to the total number of teachers at secondary level, including full-time and part-time teachers.</t>
  </si>
  <si>
    <t>Female teachers as a percentage of total secondary education teachers includes full-time and part-time teachers.</t>
  </si>
  <si>
    <t>Secondary education, teachers, female,  refers to the total number of female teachers at secondary level, including full-time and part-time teachers.</t>
  </si>
  <si>
    <t>Secondary vocational pupils are the number of secondary students enrolled in technical and vocational education programs, including teacher training.</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</si>
  <si>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</si>
  <si>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The number of distinct, publicly-trusted TLS/SSL certificates found in the Netcraft Secure Server Survey (by hosting country).</t>
  </si>
  <si>
    <t>The number of distinct, publicly-trusted TLS/SSL certificates found in the Netcraft Secure Server Survey (by hosting country), per 1 million people.</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</si>
  <si>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</si>
  <si>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Exports of services are services provided by residents to non-residents. This indicator is expressed in current prices, meaning no adjustment has been made to account for price changes over time. This indicator is expressed in United States dollars.</t>
  </si>
  <si>
    <t>Imports of services are services provided by non-residents to residents. This indicator is expressed in current prices, meaning no adjustment has been made to account for price changes over time.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</si>
  <si>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</si>
  <si>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</si>
  <si>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</si>
  <si>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</si>
  <si>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</si>
  <si>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</si>
  <si>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</si>
  <si>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Sex ratio at birth refers to male births per female births.</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</si>
  <si>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</si>
  <si>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</si>
  <si>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</si>
  <si>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Short-term debt includes all debt having an original maturity of one year or less and interest in arrears on long-term debt. Total reserves includes gold.</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</si>
  <si>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</si>
  <si>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</si>
  <si>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Specialist surgical workforce is the number of specialist surgical, anaesthetic, and obstetric (SAO) providers who are working in each country per 100,000 population.</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</si>
  <si>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</si>
  <si>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</si>
  <si>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</si>
  <si>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</si>
  <si>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</si>
  <si>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</si>
  <si>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</si>
  <si>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</si>
  <si>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Turnover ratio is the value of domestic shares traded divided by their market capitalization. The value is annualized by multiplying the monthly average by 12.</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</si>
  <si>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</si>
  <si>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</si>
  <si>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Suicide mortality rate is the number of suicide deaths in a year per 100,000 population. Crude suicide rate (not age-adjusted).</t>
  </si>
  <si>
    <t>Surface area is a country's total area, including areas under inland bodies of water and some coastal waterways.</t>
  </si>
  <si>
    <t>Mean consumption or income per capita (2021 PPP $ per day) of the bottom 40%, used in calculating the growth rate in the welfare aggregate of the bottom 40% of the population in the income distribution in a country.</t>
  </si>
  <si>
    <t>Mean consumption or income per capita (2021 PPP $ per day) used in calculating the growth rate in the welfare aggregate of total population.</t>
  </si>
  <si>
    <t>Survival to age 65 refers to the percentage of a cohort of newborn infants that would survive to age 65, if subject to age specific mortality rates of the specified year.</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</si>
  <si>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</si>
  <si>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</si>
  <si>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</si>
  <si>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</si>
  <si>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</si>
  <si>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</si>
  <si>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</si>
  <si>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</si>
  <si>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</si>
  <si>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</si>
  <si>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</si>
  <si>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</si>
  <si>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</si>
  <si>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</si>
  <si>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</si>
  <si>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</si>
  <si>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</si>
  <si>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</si>
  <si>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</si>
  <si>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</si>
  <si>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</si>
  <si>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</si>
  <si>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</si>
  <si>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</si>
  <si>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</si>
  <si>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</si>
  <si>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</si>
  <si>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</si>
  <si>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</si>
  <si>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Teenage mothers are the percentage of women ages 15-19 who already have children or are currently pregnant.</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</si>
  <si>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</si>
  <si>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</si>
  <si>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</si>
  <si>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Tertiary education, academic staff (% female) is the share of female academic staff in tertiary education.</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</si>
  <si>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</si>
  <si>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average wait, in days, to obtain an operating license, from the day of the application to the day it was granted.</t>
  </si>
  <si>
    <t>Average percentage of senior management’s time that is spent in a typical week dealing with requirements imposed by government regulations (eg. Taxes, customs, labor regulations, licensing and registration), including dealings with officials, completing forms, et cetera.</t>
  </si>
  <si>
    <t>Average wait, in days, experienced to obtain electrical connection from the day this establishment applied for it to the day it received the service.</t>
  </si>
  <si>
    <t>Total alcohol per capita consumption is defined as the total (sum of recorded and unrecorded alcohol) amount of alcohol consumed per person (15 years of age or older) over a calendar year, in litres of pure alcohol, adjusted for tourist consumption.</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</si>
  <si>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</si>
  <si>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Total debt service is the sum of principal repayments and interest actually paid in currency, goods, or services on long-term debt, interest paid on short-term debt, and repayments (repurchases and charges) to the IMF.</t>
  </si>
  <si>
    <t>Total fisheries production measures the volume of aquatic species caught by a country for all commercial, industrial, recreational and subsistence purposes. The harvest from mariculture, aquaculture and other kinds of fish farming is also included.</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</si>
  <si>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</si>
  <si>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</si>
  <si>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</si>
  <si>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</si>
  <si>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Total natural resources rents are the sum of oil rents, natural gas rents, coal rents (hard and soft), mineral rents, and forest rents.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</si>
  <si>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</si>
  <si>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</si>
  <si>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</si>
  <si>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</si>
  <si>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</si>
  <si>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</si>
  <si>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</si>
  <si>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</si>
  <si>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Trained teachers in lower secondary education are the percentage of lower secondary school teachers who have received the minimum organized teacher training (pre-service or in-service) required for teaching in a given country.</t>
  </si>
  <si>
    <t>Trained teachers in preprimary education are the percentage of preprimary school teachers who have received the minimum organized teacher training (pre-service or in-service) required for teaching in a given country.</t>
  </si>
  <si>
    <t>Trained teachers in primary education are the percentage of primary school teachers who have received the minimum organized teacher training (pre-service or in-service) required for teaching in a given country.</t>
  </si>
  <si>
    <t>Trained teachers in secondary education are the percentage of secondary school teachers who have received the minimum organized teacher training (pre-service or in-service) required for teaching in a given country.</t>
  </si>
  <si>
    <t>Trained teachers in upper secondary education are the percentage of upper secondary school teachers who have received the minimum organized teacher training (pre-service or in-service) required for teaching in a given country.</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</si>
  <si>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</si>
  <si>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</si>
  <si>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</si>
  <si>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</si>
  <si>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</si>
  <si>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</si>
  <si>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</si>
  <si>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</si>
  <si>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</si>
  <si>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</si>
  <si>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Coverage index for essential health services (based on tracer interventions that include reproductive, maternal, newborn and child health, infectious diseases, noncommunicable diseases and service capacity and access). It is presented on a scale of 0 to 100.</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</si>
  <si>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</si>
  <si>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The percentage of the labor force with a basic level of education who are unemployed. Basic education comprises primary education or lower secondary education according to the International Standard Classification of Education 2011 (ISCED 2011).</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</si>
  <si>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</si>
  <si>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Unemployment refers to the share of the labor force that is without work but available for and seeking employment.</t>
  </si>
  <si>
    <t>Unemployment refers to the share of the labor force that is without work but available for and seeking employment. Definitions of labor force and unemployment differ by country.</t>
  </si>
  <si>
    <t>Youth unemployment refers to the share of the labor force ages 15-24 without work but available for and seeking employment.</t>
  </si>
  <si>
    <t>Youth unemployment refers to the share of the labor force ages 15-24 without work but available for and seeking employment. Definitions of labor force and unemployment differ by country.</t>
  </si>
  <si>
    <t>Unmet need for contraception is the percentage of fertile, married women of reproductive age who do not want to become pregnant and are not using contraception.</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</si>
  <si>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</si>
  <si>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Urban land area below 5m is the percentage of total land where the urban land elevation is 5 meters or less.</t>
  </si>
  <si>
    <t>Urban land area below 5m is the total urban land area in square kilometers where the elevation is 5 meters or less.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</si>
  <si>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</si>
  <si>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Urban population refers to people living in urban areas as defined by national statistical offices. The data are collected and smoothed by United Nations Population Division.</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</si>
  <si>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</si>
  <si>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Urban population below 5m is the percentage of the total population, living in areas where the elevation is 5 meters or less.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</si>
  <si>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</si>
  <si>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Use of insecticide-treated bed nets refers to the percentage of children under age five who slept under an insecticide-treated bednet to prevent malaria.</t>
  </si>
  <si>
    <t>Losses due to electrical outages, as percentage of total annual sales. The value represents average losses for all firms which reported outages (please see indicator IC.ELC.OUTG.ZS).</t>
  </si>
  <si>
    <t>Vitamin A supplementation coverage rate refers to the percentage of children ages 6-59 months old receiving two high-dose vitamin A supplements in a calendar year.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</si>
  <si>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</si>
  <si>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</si>
  <si>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</si>
  <si>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</si>
  <si>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</si>
  <si>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</si>
  <si>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Vulnerable employment is contributing family workers and own-account workers as a percentage of total employment.</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</si>
  <si>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</si>
  <si>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Wanted fertility rate is an estimate of what the total fertility rate would be if all unwanted births were avoided.</t>
  </si>
  <si>
    <t>Water productivity is calculated as GDP in constant prices divided by annual total water withdrawal.</t>
  </si>
  <si>
    <t>Index of prices of a mix of agricultural and industrial goods at various stages of production and distribution, including import duties, as compared to a certain reference period (2010=100).</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</si>
  <si>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</si>
  <si>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</si>
  <si>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</si>
  <si>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Percentage of women ages 15-49 who believe a husband/partner is justified in hitting or beating his wife/partner for any of the following five reasons: argues with him; refuses to have sex; burns the food; goes out without telling him; or when she neglects the children.</t>
  </si>
  <si>
    <t>Percentage of women ages 15-49 who believe a husband/partner is justified in hitting or beating his wife/partner when she argues with him.</t>
  </si>
  <si>
    <t>Percentage of women ages 15-49 who believe a husband/partner is justified in hitting or beating his wife/partner when she burns the food.</t>
  </si>
  <si>
    <t>Percentage of women ages 15-49 who believe a husband/partner is justified in hitting or beating his wife/partner when she goes out without telling him.</t>
  </si>
  <si>
    <t>Percentage of women ages 15-49 who believe a husband/partner is justified in hitting or beating his wife/partner when she neglects the children.</t>
  </si>
  <si>
    <t>Percentage of women ages 15-49 who believe a husband/partner is justified in hitting or beating his wife/partner when she refuses sex with him.</t>
  </si>
  <si>
    <t>Women who were first married by age 15 refers to the percentage of women ages 20-24 who were first married by age 15.</t>
  </si>
  <si>
    <t>Women who were first married by age 18 refers to the percentage of women ages 20-24 who were first married by age 18.</t>
  </si>
  <si>
    <t>Prevalence of HIV is the percentage of people who are infected with HIV. Female rate is as a percentage of the total population ages 15+ who are living with HIV.</t>
  </si>
  <si>
    <t>Number of young people (ages 15-24) newly infected with HIV.</t>
  </si>
  <si>
    <t>Définition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</si>
</sst>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00_)_ ;_ * \(#,##0.00\)_ ;_ * &quot;-&quot;??_)_ ;_ @_ "/>
    <numFmt numFmtId="165" formatCode="_-* #,##0.0_-;\-* #,##0.0_-;_-* &quot;-&quot;??_-;_-@_-"/>
    <numFmt numFmtId="166" formatCode="0.0%"/>
    <numFmt numFmtId="167" formatCode="0.0"/>
    <numFmt numFmtId="168" formatCode="_-* #,##0_-;\-* #,##0_-;_-* &quot;-&quot;??_-;_-@_-"/>
    <numFmt numFmtId="169" formatCode="#,##0.0"/>
  </numFmts>
  <fonts count="19" x14ac:knownFonts="1">
    <font>
      <sz val="11"/>
      <color theme="1"/>
      <name val="Calibri"/>
      <family val="2"/>
      <scheme val="minor"/>
    </font>
    <font>
      <sz val="11"/>
      <color rgb="FF000000"/>
      <name val="Calibri"/>
      <family val="2"/>
      <scheme val="minor"/>
    </font>
    <font>
      <u/>
      <sz val="11"/>
      <color theme="10"/>
      <name val="Calibri"/>
      <family val="2"/>
      <scheme val="minor"/>
    </font>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
      <b/>
      <u/>
      <sz val="16"/>
      <color rgb="FF002060"/>
      <name val="Times New Roman"/>
      <family val="1"/>
    </font>
    <font>
      <sz val="12"/>
      <color theme="1"/>
      <name val="Calibri"/>
      <family val="2"/>
      <scheme val="minor"/>
    </font>
    <font>
      <sz val="11"/>
      <color theme="1"/>
      <name val="Calibri"/>
      <family val="2"/>
    </font>
    <font>
      <b/>
      <sz val="14"/>
      <color rgb="FF000000"/>
      <name val="Times New Roman"/>
      <family val="1"/>
    </font>
    <font>
      <b/>
      <sz val="12"/>
      <color rgb="FF000000"/>
      <name val="Times New Roman"/>
      <family val="1"/>
    </font>
    <font>
      <sz val="12"/>
      <color rgb="FF000000"/>
      <name val="Times New Roman"/>
      <family val="1"/>
    </font>
    <font>
      <i/>
      <sz val="12"/>
      <color rgb="FF000000"/>
      <name val="Times New Roman"/>
      <family val="1"/>
    </font>
    <font>
      <sz val="12"/>
      <color rgb="FF000000"/>
      <name val="Calibri"/>
      <family val="2"/>
    </font>
    <font>
      <b/>
      <sz val="11"/>
      <color theme="1"/>
      <name val="Times New Roman"/>
      <family val="1"/>
    </font>
    <font>
      <b/>
      <u/>
      <sz val="16"/>
      <color theme="1"/>
      <name val="Times New Roman"/>
      <family val="1"/>
    </font>
    <font>
      <b/>
      <sz val="13"/>
      <color rgb="FF000000"/>
      <name val="Times New Roman"/>
      <family val="1"/>
    </font>
    <font>
      <sz val="14"/>
      <color rgb="FF000000"/>
      <name val="Times New Roman"/>
      <family val="1"/>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DDEBF7"/>
        <bgColor rgb="FF000000"/>
      </patternFill>
    </fill>
    <fill>
      <patternFill patternType="solid">
        <fgColor rgb="FFFCE4D6"/>
        <bgColor rgb="FF000000"/>
      </patternFill>
    </fill>
    <fill>
      <patternFill patternType="solid">
        <fgColor rgb="FFF4B084"/>
        <bgColor rgb="FF000000"/>
      </patternFill>
    </fill>
    <fill>
      <patternFill patternType="solid">
        <fgColor theme="7" tint="0.79998168889431442"/>
        <bgColor indexed="64"/>
      </patternFill>
    </fill>
    <fill>
      <patternFill patternType="solid">
        <fgColor rgb="FFF2F2F2"/>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rgb="FFD9D9D9"/>
        <bgColor rgb="FF000000"/>
      </patternFill>
    </fill>
    <fill>
      <patternFill patternType="solid">
        <fgColor rgb="FFFFFF0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rgb="FF000000"/>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s>
  <cellStyleXfs count="5">
    <xf numFmtId="0" fontId="0" fillId="0" borderId="0"/>
    <xf numFmtId="0" fontId="2"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164" fontId="8" fillId="0" borderId="0" applyFont="0" applyFill="0" applyBorder="0" applyAlignment="0" applyProtection="0"/>
  </cellStyleXfs>
  <cellXfs count="179">
    <xf numFmtId="0" fontId="0" fillId="0" borderId="0" xfId="0"/>
    <xf numFmtId="49" fontId="0" fillId="0" borderId="0" xfId="0" applyNumberFormat="1"/>
    <xf numFmtId="0" fontId="1" fillId="0" borderId="0" xfId="0" applyFont="1" applyAlignment="1">
      <alignment vertical="center"/>
    </xf>
    <xf numFmtId="2" fontId="0" fillId="0" borderId="0" xfId="0" applyNumberFormat="1"/>
    <xf numFmtId="0" fontId="0" fillId="0" borderId="0" xfId="0" applyAlignment="1">
      <alignment wrapText="1"/>
    </xf>
    <xf numFmtId="0" fontId="1" fillId="0" borderId="0" xfId="0" applyFont="1" applyAlignment="1">
      <alignment vertical="center" wrapText="1"/>
    </xf>
    <xf numFmtId="0" fontId="2" fillId="0" borderId="0" xfId="1" applyAlignment="1">
      <alignment vertical="center"/>
    </xf>
    <xf numFmtId="0" fontId="4"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7"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6" fillId="0" borderId="0" xfId="0" applyFont="1"/>
    <xf numFmtId="0" fontId="4" fillId="0" borderId="1" xfId="0" applyFont="1" applyBorder="1" applyAlignment="1">
      <alignment horizontal="left" vertical="center" wrapText="1" indent="1"/>
    </xf>
    <xf numFmtId="0" fontId="9" fillId="0" borderId="0" xfId="0" applyFont="1"/>
    <xf numFmtId="0" fontId="10" fillId="0" borderId="0" xfId="0" applyFont="1" applyAlignment="1">
      <alignment vertical="center"/>
    </xf>
    <xf numFmtId="0" fontId="11" fillId="0" borderId="0" xfId="0" applyFont="1" applyAlignment="1">
      <alignment vertical="center"/>
    </xf>
    <xf numFmtId="0" fontId="10" fillId="0" borderId="0" xfId="0" applyFont="1"/>
    <xf numFmtId="0" fontId="11" fillId="5" borderId="1" xfId="0" applyFont="1" applyFill="1" applyBorder="1" applyAlignment="1">
      <alignment horizontal="right"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vertical="center" wrapText="1"/>
    </xf>
    <xf numFmtId="2" fontId="11" fillId="6" borderId="1" xfId="0" applyNumberFormat="1" applyFont="1" applyFill="1" applyBorder="1" applyAlignment="1">
      <alignment horizontal="center" vertical="center" wrapText="1"/>
    </xf>
    <xf numFmtId="0" fontId="12" fillId="0" borderId="1" xfId="0" applyFont="1" applyBorder="1" applyAlignment="1">
      <alignment horizontal="left" vertical="center" wrapText="1" indent="1"/>
    </xf>
    <xf numFmtId="2" fontId="12" fillId="0" borderId="1" xfId="0" applyNumberFormat="1" applyFont="1" applyBorder="1" applyAlignment="1">
      <alignment horizontal="center" vertical="center" wrapText="1"/>
    </xf>
    <xf numFmtId="0" fontId="13" fillId="0" borderId="1" xfId="0" applyFont="1" applyBorder="1" applyAlignment="1">
      <alignment horizontal="left" vertical="center" wrapText="1" indent="3"/>
    </xf>
    <xf numFmtId="2" fontId="13" fillId="0" borderId="1" xfId="0" applyNumberFormat="1" applyFont="1" applyBorder="1" applyAlignment="1">
      <alignment horizontal="center" vertical="center" wrapText="1"/>
    </xf>
    <xf numFmtId="0" fontId="11" fillId="7" borderId="0" xfId="0" applyFont="1" applyFill="1" applyAlignment="1">
      <alignment horizontal="left" vertical="center" wrapText="1"/>
    </xf>
    <xf numFmtId="2" fontId="11" fillId="7" borderId="0" xfId="0" applyNumberFormat="1" applyFont="1" applyFill="1" applyAlignment="1">
      <alignment horizontal="center" vertical="center" wrapText="1"/>
    </xf>
    <xf numFmtId="0" fontId="11" fillId="0" borderId="0" xfId="0" applyFont="1" applyAlignment="1">
      <alignment horizontal="left" vertical="center" wrapText="1"/>
    </xf>
    <xf numFmtId="2" fontId="11" fillId="0" borderId="0" xfId="0" applyNumberFormat="1" applyFont="1" applyAlignment="1">
      <alignment horizontal="center" vertical="center" wrapText="1"/>
    </xf>
    <xf numFmtId="0" fontId="12" fillId="0" borderId="0" xfId="0" applyFont="1"/>
    <xf numFmtId="0" fontId="14" fillId="0" borderId="0" xfId="0" applyFont="1"/>
    <xf numFmtId="0" fontId="10" fillId="0" borderId="0" xfId="0" applyFont="1" applyAlignment="1">
      <alignment vertical="top"/>
    </xf>
    <xf numFmtId="0" fontId="11" fillId="0" borderId="0" xfId="0" applyFont="1" applyAlignment="1">
      <alignment vertical="top"/>
    </xf>
    <xf numFmtId="0" fontId="11" fillId="0" borderId="1" xfId="0" applyFont="1" applyBorder="1" applyAlignment="1">
      <alignment horizontal="left" vertical="center" wrapText="1" indent="1"/>
    </xf>
    <xf numFmtId="165" fontId="11" fillId="0" borderId="1" xfId="4" applyNumberFormat="1" applyFont="1" applyFill="1" applyBorder="1" applyAlignment="1">
      <alignment horizontal="center" vertical="center" wrapText="1"/>
    </xf>
    <xf numFmtId="165" fontId="13" fillId="0" borderId="1" xfId="4" applyNumberFormat="1" applyFont="1" applyFill="1" applyBorder="1" applyAlignment="1">
      <alignment horizontal="center" vertical="center" wrapText="1"/>
    </xf>
    <xf numFmtId="165" fontId="12" fillId="0" borderId="1" xfId="4" applyNumberFormat="1" applyFont="1" applyFill="1" applyBorder="1" applyAlignment="1">
      <alignment horizontal="center" vertical="center" wrapText="1"/>
    </xf>
    <xf numFmtId="165" fontId="11" fillId="0" borderId="0" xfId="4" applyNumberFormat="1" applyFont="1" applyFill="1" applyBorder="1" applyAlignment="1">
      <alignment horizontal="center" vertical="center" wrapText="1"/>
    </xf>
    <xf numFmtId="0" fontId="11" fillId="0" borderId="0" xfId="0" applyFont="1" applyAlignment="1">
      <alignment horizontal="left" vertical="center" wrapText="1" indent="1"/>
    </xf>
    <xf numFmtId="166" fontId="11" fillId="0" borderId="1" xfId="3" applyNumberFormat="1" applyFont="1" applyFill="1" applyBorder="1" applyAlignment="1">
      <alignment horizontal="center" vertical="center" wrapText="1"/>
    </xf>
    <xf numFmtId="10" fontId="9" fillId="0" borderId="0" xfId="0" applyNumberFormat="1" applyFont="1"/>
    <xf numFmtId="166" fontId="13" fillId="0" borderId="1" xfId="3" applyNumberFormat="1" applyFont="1" applyFill="1" applyBorder="1" applyAlignment="1">
      <alignment horizontal="center" vertical="center" wrapText="1"/>
    </xf>
    <xf numFmtId="166" fontId="13" fillId="0" borderId="1" xfId="4" applyNumberFormat="1" applyFont="1" applyFill="1" applyBorder="1" applyAlignment="1">
      <alignment horizontal="center" vertical="center" wrapText="1"/>
    </xf>
    <xf numFmtId="0" fontId="15" fillId="0" borderId="2" xfId="0" applyFont="1" applyBorder="1" applyAlignment="1">
      <alignment vertical="center"/>
    </xf>
    <xf numFmtId="0" fontId="4" fillId="2" borderId="1" xfId="0" applyFont="1" applyFill="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167" fontId="4" fillId="3" borderId="1" xfId="0" applyNumberFormat="1" applyFont="1" applyFill="1" applyBorder="1" applyAlignment="1">
      <alignment horizontal="center" vertical="center" wrapText="1"/>
    </xf>
    <xf numFmtId="167" fontId="4" fillId="0" borderId="1" xfId="0" applyNumberFormat="1" applyFont="1" applyBorder="1" applyAlignment="1">
      <alignment horizontal="center" vertical="center" wrapText="1"/>
    </xf>
    <xf numFmtId="0" fontId="5" fillId="0" borderId="1" xfId="0" applyFont="1" applyBorder="1" applyAlignment="1">
      <alignment horizontal="left" vertical="center" wrapText="1" indent="2"/>
    </xf>
    <xf numFmtId="167"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indent="3"/>
    </xf>
    <xf numFmtId="0" fontId="5" fillId="0" borderId="0" xfId="0" applyFont="1" applyFill="1"/>
    <xf numFmtId="0" fontId="0" fillId="0" borderId="3" xfId="0" applyFill="1" applyBorder="1" applyAlignment="1">
      <alignment horizontal="center"/>
    </xf>
    <xf numFmtId="0" fontId="8" fillId="0" borderId="0" xfId="0" applyFont="1" applyAlignment="1">
      <alignment horizontal="left"/>
    </xf>
    <xf numFmtId="0" fontId="4" fillId="0" borderId="2" xfId="0" applyFont="1" applyBorder="1" applyAlignment="1">
      <alignment vertical="center"/>
    </xf>
    <xf numFmtId="0" fontId="4" fillId="0" borderId="2" xfId="0" applyFont="1" applyBorder="1" applyAlignment="1">
      <alignment horizontal="left" vertical="center"/>
    </xf>
    <xf numFmtId="0" fontId="4" fillId="0" borderId="0" xfId="0" applyFont="1" applyAlignment="1">
      <alignment horizontal="left" vertical="center"/>
    </xf>
    <xf numFmtId="0" fontId="4" fillId="4" borderId="1" xfId="0" applyFont="1" applyFill="1" applyBorder="1" applyAlignment="1">
      <alignment horizontal="left" vertical="center" wrapText="1"/>
    </xf>
    <xf numFmtId="167" fontId="4" fillId="4" borderId="1" xfId="0" applyNumberFormat="1" applyFont="1" applyFill="1" applyBorder="1" applyAlignment="1">
      <alignment horizontal="left" vertical="center" wrapText="1"/>
    </xf>
    <xf numFmtId="167" fontId="5" fillId="0" borderId="1" xfId="0" applyNumberFormat="1" applyFont="1" applyBorder="1" applyAlignment="1">
      <alignment horizontal="left" vertical="center" wrapText="1"/>
    </xf>
    <xf numFmtId="167" fontId="5" fillId="0" borderId="1" xfId="0" applyNumberFormat="1" applyFont="1" applyBorder="1" applyAlignment="1">
      <alignment horizontal="left" vertical="center"/>
    </xf>
    <xf numFmtId="167" fontId="5" fillId="0" borderId="1" xfId="0" applyNumberFormat="1" applyFont="1" applyBorder="1" applyAlignment="1">
      <alignment horizontal="left" wrapText="1"/>
    </xf>
    <xf numFmtId="167" fontId="5" fillId="4" borderId="1" xfId="0" applyNumberFormat="1" applyFont="1" applyFill="1" applyBorder="1" applyAlignment="1">
      <alignment horizontal="left" vertical="center" wrapText="1"/>
    </xf>
    <xf numFmtId="167" fontId="4" fillId="4" borderId="1" xfId="0" applyNumberFormat="1" applyFont="1" applyFill="1" applyBorder="1" applyAlignment="1">
      <alignment horizontal="left" wrapText="1"/>
    </xf>
    <xf numFmtId="0" fontId="4" fillId="0" borderId="1" xfId="0" applyFont="1" applyBorder="1" applyAlignment="1">
      <alignment horizontal="left" vertical="center" wrapText="1"/>
    </xf>
    <xf numFmtId="167" fontId="4" fillId="0" borderId="1" xfId="0" applyNumberFormat="1" applyFont="1" applyBorder="1" applyAlignment="1">
      <alignment horizontal="left" vertical="center" wrapText="1"/>
    </xf>
    <xf numFmtId="0" fontId="5" fillId="0" borderId="0" xfId="0" applyFont="1" applyAlignment="1">
      <alignment horizontal="left" vertical="center" wrapText="1"/>
    </xf>
    <xf numFmtId="2" fontId="5" fillId="0" borderId="0" xfId="0" applyNumberFormat="1" applyFont="1" applyAlignment="1">
      <alignment horizontal="left" vertical="center" wrapText="1"/>
    </xf>
    <xf numFmtId="0" fontId="5" fillId="8" borderId="0" xfId="0" applyFont="1" applyFill="1" applyAlignment="1">
      <alignment horizontal="left" vertical="center" wrapText="1"/>
    </xf>
    <xf numFmtId="0" fontId="8" fillId="0" borderId="0" xfId="0" applyFont="1" applyAlignment="1">
      <alignment vertical="center"/>
    </xf>
    <xf numFmtId="10" fontId="5" fillId="0" borderId="1" xfId="3" applyNumberFormat="1" applyFont="1" applyBorder="1" applyAlignment="1">
      <alignment horizontal="center" vertical="center" wrapText="1"/>
    </xf>
    <xf numFmtId="0" fontId="11" fillId="0" borderId="4" xfId="0" applyFont="1" applyBorder="1" applyAlignment="1">
      <alignment vertical="center"/>
    </xf>
    <xf numFmtId="0" fontId="14" fillId="0" borderId="4" xfId="0" applyFont="1" applyBorder="1" applyAlignment="1">
      <alignment vertical="center"/>
    </xf>
    <xf numFmtId="0" fontId="14" fillId="0" borderId="0" xfId="0" applyFont="1" applyAlignment="1">
      <alignment vertical="center"/>
    </xf>
    <xf numFmtId="0" fontId="11" fillId="5" borderId="5"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4" fillId="0" borderId="0" xfId="0" applyFont="1" applyAlignment="1">
      <alignment horizontal="center" vertical="center"/>
    </xf>
    <xf numFmtId="0" fontId="12" fillId="0" borderId="7" xfId="0" applyFont="1" applyBorder="1" applyAlignment="1">
      <alignment horizontal="left" vertical="center" wrapText="1"/>
    </xf>
    <xf numFmtId="165" fontId="12" fillId="0" borderId="8" xfId="2" applyNumberFormat="1" applyFont="1" applyFill="1" applyBorder="1" applyAlignment="1">
      <alignment horizontal="center" vertical="center" wrapText="1"/>
    </xf>
    <xf numFmtId="165" fontId="12" fillId="0" borderId="6" xfId="2" applyNumberFormat="1" applyFont="1" applyFill="1" applyBorder="1" applyAlignment="1">
      <alignment horizontal="center" vertical="center" wrapText="1"/>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165" fontId="12" fillId="9" borderId="8" xfId="2" applyNumberFormat="1" applyFont="1" applyFill="1" applyBorder="1" applyAlignment="1">
      <alignment horizontal="center" vertical="center" wrapText="1"/>
    </xf>
    <xf numFmtId="165" fontId="12" fillId="9" borderId="6" xfId="2" applyNumberFormat="1"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0" borderId="11" xfId="0" applyFont="1" applyBorder="1" applyAlignment="1">
      <alignment horizontal="left" vertical="center" wrapText="1"/>
    </xf>
    <xf numFmtId="165" fontId="12" fillId="0" borderId="8" xfId="0" applyNumberFormat="1" applyFont="1" applyBorder="1" applyAlignment="1">
      <alignment horizontal="center" vertical="center" wrapText="1"/>
    </xf>
    <xf numFmtId="165" fontId="12" fillId="0" borderId="6" xfId="0" applyNumberFormat="1" applyFont="1" applyBorder="1" applyAlignment="1">
      <alignment horizontal="center" vertical="center" wrapText="1"/>
    </xf>
    <xf numFmtId="0" fontId="12" fillId="5" borderId="1"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0" borderId="1" xfId="0" applyFont="1" applyBorder="1" applyAlignment="1">
      <alignment horizontal="left" vertical="center" wrapText="1"/>
    </xf>
    <xf numFmtId="168" fontId="12" fillId="0" borderId="1" xfId="2" applyNumberFormat="1" applyFont="1" applyFill="1" applyBorder="1" applyAlignment="1">
      <alignment horizontal="center" vertical="center" wrapText="1"/>
    </xf>
    <xf numFmtId="0" fontId="14" fillId="0" borderId="1" xfId="0" applyFont="1" applyBorder="1" applyAlignment="1">
      <alignment vertical="center"/>
    </xf>
    <xf numFmtId="10" fontId="12" fillId="10" borderId="1" xfId="3" applyNumberFormat="1" applyFont="1" applyFill="1" applyBorder="1" applyAlignment="1">
      <alignment horizontal="center" vertical="center" wrapText="1"/>
    </xf>
    <xf numFmtId="0" fontId="11" fillId="0" borderId="0" xfId="0" applyFont="1" applyAlignment="1">
      <alignment horizontal="left" vertical="center"/>
    </xf>
    <xf numFmtId="10" fontId="12" fillId="0" borderId="0" xfId="3" applyNumberFormat="1" applyFont="1" applyFill="1" applyBorder="1" applyAlignment="1">
      <alignment horizontal="center" vertical="center" wrapText="1"/>
    </xf>
    <xf numFmtId="0" fontId="12" fillId="0" borderId="0" xfId="0" applyFont="1" applyAlignment="1">
      <alignment horizontal="left" vertical="center" wrapText="1"/>
    </xf>
    <xf numFmtId="3" fontId="12" fillId="10" borderId="1" xfId="0" applyNumberFormat="1" applyFont="1" applyFill="1" applyBorder="1" applyAlignment="1">
      <alignment horizontal="center" vertical="center" wrapText="1"/>
    </xf>
    <xf numFmtId="1" fontId="12" fillId="0" borderId="1" xfId="2" applyNumberFormat="1" applyFont="1" applyFill="1" applyBorder="1" applyAlignment="1">
      <alignment horizontal="center" vertical="center" wrapText="1"/>
    </xf>
    <xf numFmtId="166" fontId="12" fillId="10" borderId="1" xfId="3" applyNumberFormat="1" applyFont="1" applyFill="1" applyBorder="1" applyAlignment="1">
      <alignment horizontal="center" vertical="center" wrapText="1"/>
    </xf>
    <xf numFmtId="10" fontId="12" fillId="10" borderId="1" xfId="0" applyNumberFormat="1" applyFont="1" applyFill="1" applyBorder="1" applyAlignment="1">
      <alignment horizontal="center" vertical="center" wrapText="1"/>
    </xf>
    <xf numFmtId="10" fontId="12" fillId="0" borderId="1" xfId="3" applyNumberFormat="1" applyFont="1" applyFill="1" applyBorder="1" applyAlignment="1">
      <alignment horizontal="center" vertical="center" wrapText="1"/>
    </xf>
    <xf numFmtId="3" fontId="12" fillId="0" borderId="1" xfId="2" applyNumberFormat="1" applyFont="1" applyFill="1" applyBorder="1" applyAlignment="1">
      <alignment horizontal="center" vertical="center" wrapText="1"/>
    </xf>
    <xf numFmtId="43" fontId="12" fillId="0" borderId="1" xfId="2" applyFont="1" applyFill="1" applyBorder="1" applyAlignment="1">
      <alignment horizontal="center" vertical="center" wrapText="1"/>
    </xf>
    <xf numFmtId="9" fontId="12" fillId="10" borderId="1" xfId="3" applyFont="1" applyFill="1" applyBorder="1" applyAlignment="1">
      <alignment horizontal="center" vertical="center" wrapText="1"/>
    </xf>
    <xf numFmtId="0" fontId="11" fillId="5" borderId="1" xfId="0" applyFont="1" applyFill="1" applyBorder="1" applyAlignment="1">
      <alignment vertical="center" wrapText="1"/>
    </xf>
    <xf numFmtId="0" fontId="12" fillId="0" borderId="1" xfId="0" applyFont="1" applyBorder="1" applyAlignment="1">
      <alignment vertical="center" wrapText="1"/>
    </xf>
    <xf numFmtId="0" fontId="11" fillId="0" borderId="2" xfId="0" applyFont="1" applyFill="1" applyBorder="1" applyAlignment="1">
      <alignment vertical="center"/>
    </xf>
    <xf numFmtId="0" fontId="14" fillId="0" borderId="0" xfId="0" applyFont="1" applyFill="1" applyAlignment="1">
      <alignment vertical="center"/>
    </xf>
    <xf numFmtId="0" fontId="11"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166" fontId="12" fillId="0" borderId="1" xfId="3" applyNumberFormat="1" applyFont="1" applyFill="1" applyBorder="1" applyAlignment="1">
      <alignment horizontal="center" vertical="center"/>
    </xf>
    <xf numFmtId="0" fontId="11" fillId="0" borderId="0" xfId="0" applyFont="1" applyFill="1" applyAlignment="1">
      <alignment vertical="center"/>
    </xf>
    <xf numFmtId="10" fontId="14" fillId="0" borderId="0" xfId="3" applyNumberFormat="1" applyFont="1" applyFill="1" applyBorder="1" applyAlignment="1">
      <alignment vertical="center"/>
    </xf>
    <xf numFmtId="0" fontId="11" fillId="0" borderId="4" xfId="0" applyFont="1" applyFill="1" applyBorder="1" applyAlignment="1">
      <alignment vertical="center"/>
    </xf>
    <xf numFmtId="168" fontId="12" fillId="0" borderId="6" xfId="2" applyNumberFormat="1" applyFont="1" applyFill="1" applyBorder="1" applyAlignment="1">
      <alignment horizontal="center" vertical="center" wrapText="1"/>
    </xf>
    <xf numFmtId="10" fontId="12" fillId="0" borderId="1" xfId="0" applyNumberFormat="1" applyFont="1" applyFill="1" applyBorder="1" applyAlignment="1">
      <alignment horizontal="center" vertical="center" wrapText="1"/>
    </xf>
    <xf numFmtId="0" fontId="11" fillId="0" borderId="0" xfId="0" applyFont="1" applyFill="1" applyAlignment="1">
      <alignment horizontal="left" vertical="center"/>
    </xf>
    <xf numFmtId="0" fontId="16" fillId="0" borderId="0" xfId="0" applyFont="1"/>
    <xf numFmtId="0" fontId="4" fillId="2" borderId="1"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4" fillId="4" borderId="13" xfId="0" applyFont="1" applyFill="1" applyBorder="1" applyAlignment="1">
      <alignment horizontal="left" vertical="center" wrapText="1"/>
    </xf>
    <xf numFmtId="0" fontId="4" fillId="4" borderId="14" xfId="0" applyFont="1" applyFill="1" applyBorder="1" applyAlignment="1">
      <alignment horizontal="left" vertical="center" wrapText="1"/>
    </xf>
    <xf numFmtId="10" fontId="5" fillId="0" borderId="1" xfId="3" applyNumberFormat="1" applyFont="1" applyBorder="1" applyAlignment="1">
      <alignment horizontal="right" vertical="center" wrapText="1"/>
    </xf>
    <xf numFmtId="0" fontId="4" fillId="0" borderId="1" xfId="0" applyFont="1" applyBorder="1" applyAlignment="1">
      <alignment horizontal="left" vertical="center" wrapText="1" indent="4"/>
    </xf>
    <xf numFmtId="165" fontId="5" fillId="0" borderId="1" xfId="2" applyNumberFormat="1" applyFont="1" applyBorder="1" applyAlignment="1">
      <alignment horizontal="center" vertical="center" wrapText="1"/>
    </xf>
    <xf numFmtId="165" fontId="5" fillId="0" borderId="1" xfId="2" applyNumberFormat="1" applyFont="1" applyBorder="1" applyAlignment="1">
      <alignment horizontal="center" vertical="center"/>
    </xf>
    <xf numFmtId="0" fontId="6" fillId="0" borderId="2" xfId="0" applyFont="1" applyBorder="1" applyAlignment="1">
      <alignment vertical="center"/>
    </xf>
    <xf numFmtId="0" fontId="4" fillId="0" borderId="1" xfId="0" applyFont="1" applyBorder="1" applyAlignment="1">
      <alignment horizontal="center" vertical="center" wrapText="1"/>
    </xf>
    <xf numFmtId="166" fontId="5" fillId="0" borderId="1" xfId="3" applyNumberFormat="1" applyFont="1" applyBorder="1" applyAlignment="1">
      <alignment horizontal="center" vertical="center" wrapText="1"/>
    </xf>
    <xf numFmtId="0" fontId="4" fillId="11" borderId="1" xfId="0" applyFont="1" applyFill="1" applyBorder="1" applyAlignment="1">
      <alignment horizontal="left" vertical="center" wrapText="1" indent="3"/>
    </xf>
    <xf numFmtId="165" fontId="5" fillId="11" borderId="1" xfId="2" applyNumberFormat="1" applyFont="1" applyFill="1" applyBorder="1" applyAlignment="1">
      <alignment horizontal="center" vertical="center" wrapText="1"/>
    </xf>
    <xf numFmtId="165" fontId="5" fillId="11" borderId="1" xfId="2" applyNumberFormat="1" applyFont="1" applyFill="1" applyBorder="1" applyAlignment="1">
      <alignment horizontal="center" vertical="center"/>
    </xf>
    <xf numFmtId="0" fontId="5" fillId="0" borderId="0" xfId="0" applyFont="1" applyAlignment="1">
      <alignment vertical="center"/>
    </xf>
    <xf numFmtId="0" fontId="17" fillId="2" borderId="1" xfId="0" applyFont="1" applyFill="1" applyBorder="1" applyAlignment="1">
      <alignment vertical="center"/>
    </xf>
    <xf numFmtId="0" fontId="17" fillId="2" borderId="1" xfId="0" applyFont="1" applyFill="1" applyBorder="1" applyAlignment="1">
      <alignment horizontal="left" vertical="center"/>
    </xf>
    <xf numFmtId="0" fontId="11" fillId="4" borderId="1" xfId="0" applyFont="1" applyFill="1" applyBorder="1" applyAlignment="1">
      <alignment vertical="center"/>
    </xf>
    <xf numFmtId="4" fontId="12" fillId="0" borderId="1" xfId="0" applyNumberFormat="1" applyFont="1" applyBorder="1" applyAlignment="1">
      <alignment horizontal="left" vertical="center"/>
    </xf>
    <xf numFmtId="0" fontId="6" fillId="4" borderId="1" xfId="0" applyFont="1" applyFill="1" applyBorder="1" applyAlignment="1">
      <alignment vertical="center" wrapText="1"/>
    </xf>
    <xf numFmtId="0" fontId="12" fillId="0" borderId="1" xfId="0" applyFont="1" applyBorder="1" applyAlignment="1">
      <alignment horizontal="left" vertical="center"/>
    </xf>
    <xf numFmtId="0" fontId="11" fillId="4" borderId="1" xfId="0" applyFont="1" applyFill="1" applyBorder="1" applyAlignment="1">
      <alignment horizontal="right" vertical="center" wrapText="1"/>
    </xf>
    <xf numFmtId="167" fontId="12" fillId="0" borderId="1" xfId="0" applyNumberFormat="1" applyFont="1" applyBorder="1" applyAlignment="1">
      <alignment horizontal="left" vertical="center" wrapText="1" indent="2"/>
    </xf>
    <xf numFmtId="0" fontId="12" fillId="0" borderId="1" xfId="0" applyFont="1" applyBorder="1" applyAlignment="1">
      <alignment horizontal="left" vertical="center" wrapText="1" indent="2"/>
    </xf>
    <xf numFmtId="0" fontId="5" fillId="0" borderId="0" xfId="0" applyFont="1" applyAlignment="1">
      <alignment horizontal="left" vertical="center"/>
    </xf>
    <xf numFmtId="167" fontId="5" fillId="12" borderId="1" xfId="0" applyNumberFormat="1" applyFont="1" applyFill="1" applyBorder="1" applyAlignment="1">
      <alignment horizontal="right" vertical="center" wrapText="1"/>
    </xf>
    <xf numFmtId="167" fontId="5" fillId="11" borderId="1" xfId="0" applyNumberFormat="1" applyFont="1" applyFill="1" applyBorder="1" applyAlignment="1">
      <alignment horizontal="right" vertical="center"/>
    </xf>
    <xf numFmtId="167" fontId="5" fillId="11" borderId="1" xfId="0" applyNumberFormat="1" applyFont="1" applyFill="1" applyBorder="1" applyAlignment="1">
      <alignment horizontal="right" vertical="center" wrapText="1"/>
    </xf>
    <xf numFmtId="168" fontId="5" fillId="12" borderId="1" xfId="2" applyNumberFormat="1" applyFont="1" applyFill="1" applyBorder="1" applyAlignment="1">
      <alignment horizontal="left" vertical="center" wrapText="1"/>
    </xf>
    <xf numFmtId="168" fontId="5" fillId="11" borderId="1" xfId="2" applyNumberFormat="1" applyFont="1" applyFill="1" applyBorder="1" applyAlignment="1">
      <alignment horizontal="left" vertical="center" wrapText="1"/>
    </xf>
    <xf numFmtId="43" fontId="5" fillId="11" borderId="1" xfId="2" applyFont="1" applyFill="1" applyBorder="1" applyAlignment="1">
      <alignment horizontal="left" vertical="center" wrapText="1"/>
    </xf>
    <xf numFmtId="0" fontId="5" fillId="11" borderId="1" xfId="0" applyFont="1" applyFill="1" applyBorder="1" applyAlignment="1">
      <alignment horizontal="left" vertical="center"/>
    </xf>
    <xf numFmtId="166" fontId="5" fillId="12" borderId="1" xfId="3" applyNumberFormat="1" applyFont="1" applyFill="1" applyBorder="1" applyAlignment="1">
      <alignment horizontal="right" vertical="center" wrapText="1"/>
    </xf>
    <xf numFmtId="166" fontId="5" fillId="11" borderId="1" xfId="3" applyNumberFormat="1" applyFont="1" applyFill="1" applyBorder="1" applyAlignment="1">
      <alignment horizontal="right" vertical="center" wrapText="1"/>
    </xf>
    <xf numFmtId="2" fontId="5" fillId="12" borderId="1" xfId="0" applyNumberFormat="1" applyFont="1" applyFill="1" applyBorder="1" applyAlignment="1">
      <alignment horizontal="left" vertical="center" wrapText="1"/>
    </xf>
    <xf numFmtId="2" fontId="5" fillId="11" borderId="1" xfId="0" applyNumberFormat="1" applyFont="1" applyFill="1" applyBorder="1" applyAlignment="1">
      <alignment horizontal="left" vertical="center" wrapText="1"/>
    </xf>
    <xf numFmtId="2" fontId="5" fillId="11" borderId="1" xfId="0" applyNumberFormat="1" applyFont="1" applyFill="1" applyBorder="1" applyAlignment="1">
      <alignment horizontal="right" vertical="center" wrapText="1"/>
    </xf>
    <xf numFmtId="10" fontId="5" fillId="12" borderId="1" xfId="3" applyNumberFormat="1" applyFont="1" applyFill="1" applyBorder="1" applyAlignment="1">
      <alignment horizontal="left" vertical="center" wrapText="1"/>
    </xf>
    <xf numFmtId="10" fontId="5" fillId="11" borderId="1" xfId="3" applyNumberFormat="1" applyFont="1" applyFill="1" applyBorder="1" applyAlignment="1">
      <alignment horizontal="left" vertical="center" wrapText="1"/>
    </xf>
    <xf numFmtId="2" fontId="5" fillId="0" borderId="1" xfId="0" applyNumberFormat="1" applyFont="1" applyBorder="1" applyAlignment="1">
      <alignment horizontal="right" vertical="center" wrapText="1"/>
    </xf>
    <xf numFmtId="0" fontId="0" fillId="0" borderId="1" xfId="0" applyBorder="1"/>
    <xf numFmtId="0" fontId="18" fillId="5" borderId="14" xfId="0" applyFont="1" applyFill="1" applyBorder="1" applyAlignment="1">
      <alignment vertical="center"/>
    </xf>
    <xf numFmtId="0" fontId="10" fillId="5" borderId="13" xfId="0" applyFont="1" applyFill="1" applyBorder="1" applyAlignment="1">
      <alignment horizontal="right" vertical="center"/>
    </xf>
    <xf numFmtId="0" fontId="10" fillId="9" borderId="15" xfId="0" applyFont="1" applyFill="1" applyBorder="1" applyAlignment="1">
      <alignment vertical="center" wrapText="1"/>
    </xf>
    <xf numFmtId="169" fontId="10" fillId="9" borderId="2" xfId="0" applyNumberFormat="1" applyFont="1" applyFill="1" applyBorder="1" applyAlignment="1">
      <alignment horizontal="right" vertical="center"/>
    </xf>
    <xf numFmtId="0" fontId="18" fillId="0" borderId="16" xfId="0" applyFont="1" applyBorder="1" applyAlignment="1">
      <alignment vertical="center"/>
    </xf>
    <xf numFmtId="169" fontId="18" fillId="0" borderId="0" xfId="0" applyNumberFormat="1" applyFont="1" applyAlignment="1">
      <alignment horizontal="right" vertical="center"/>
    </xf>
    <xf numFmtId="166" fontId="18" fillId="9" borderId="2" xfId="3" applyNumberFormat="1" applyFont="1" applyFill="1" applyBorder="1" applyAlignment="1">
      <alignment horizontal="right" vertical="center"/>
    </xf>
    <xf numFmtId="169" fontId="18" fillId="9" borderId="2" xfId="0" applyNumberFormat="1" applyFont="1" applyFill="1" applyBorder="1" applyAlignment="1">
      <alignment horizontal="right" vertical="center"/>
    </xf>
    <xf numFmtId="166" fontId="18" fillId="0" borderId="0" xfId="3" applyNumberFormat="1" applyFont="1" applyFill="1" applyBorder="1" applyAlignment="1">
      <alignment horizontal="right" vertical="center"/>
    </xf>
    <xf numFmtId="166" fontId="18" fillId="0" borderId="0" xfId="0" applyNumberFormat="1" applyFont="1" applyAlignment="1">
      <alignment vertical="center"/>
    </xf>
    <xf numFmtId="165" fontId="18" fillId="0" borderId="0" xfId="2" applyNumberFormat="1" applyFont="1" applyFill="1" applyBorder="1" applyAlignment="1">
      <alignment horizontal="right" vertical="center"/>
    </xf>
    <xf numFmtId="0" fontId="10" fillId="13" borderId="15" xfId="0" applyFont="1" applyFill="1" applyBorder="1" applyAlignment="1">
      <alignment vertical="center" wrapText="1"/>
    </xf>
    <xf numFmtId="169" fontId="10" fillId="13" borderId="2" xfId="0" applyNumberFormat="1" applyFont="1" applyFill="1" applyBorder="1" applyAlignment="1">
      <alignment vertical="center"/>
    </xf>
    <xf numFmtId="0" fontId="18" fillId="14" borderId="0" xfId="0" applyFont="1" applyFill="1" applyAlignment="1">
      <alignment vertical="center"/>
    </xf>
    <xf numFmtId="0" fontId="18" fillId="0" borderId="0" xfId="0" applyFont="1" applyAlignment="1">
      <alignment vertical="center"/>
    </xf>
  </cellXfs>
  <cellStyles count="5">
    <cellStyle name="Lien hypertexte" xfId="1" builtinId="8"/>
    <cellStyle name="Milliers" xfId="2" builtinId="3"/>
    <cellStyle name="Milliers 2" xfId="4" xr:uid="{593C9200-76FB-48E7-8728-6B2D0BCCBC59}"/>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VS/Documents/Cabinet%20MEPD/Base%20de%20donn&#233;es%20consolid&#233;es%20des%20diff&#233;rents%20secteurs%20de%20l'&#233;conomi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Agrégats macro"/>
      <sheetName val="Commerce extérieur"/>
      <sheetName val="Structure de l'économie"/>
      <sheetName val="Secteur secondaire"/>
      <sheetName val="Industries extractives"/>
      <sheetName val="Agro-industries"/>
      <sheetName val="Dette publique"/>
      <sheetName val="Investissement"/>
      <sheetName val="Education"/>
      <sheetName val="Santé"/>
      <sheetName val="Emploi et PS"/>
      <sheetName val="Exploitations agricoles"/>
      <sheetName val="Autres indicateurs sociaux"/>
      <sheetName val="Exécution des PND"/>
    </sheetNames>
    <definedNames>
      <definedName name="Sommair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nnees.banquemondiale.org/indicate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22"/>
  <sheetViews>
    <sheetView tabSelected="1" topLeftCell="A781" zoomScale="90" zoomScaleNormal="90" workbookViewId="0">
      <selection activeCell="AD2" sqref="AD2"/>
    </sheetView>
  </sheetViews>
  <sheetFormatPr baseColWidth="10" defaultColWidth="8.88671875" defaultRowHeight="14.4" x14ac:dyDescent="0.3"/>
  <cols>
    <col min="1" max="1" width="14.109375" customWidth="1"/>
    <col min="2" max="2" width="12.109375" bestFit="1" customWidth="1"/>
    <col min="3" max="3" width="82.109375" style="4" customWidth="1"/>
    <col min="4" max="4" width="71.5546875" bestFit="1" customWidth="1"/>
    <col min="5" max="5" width="27.109375" bestFit="1" customWidth="1"/>
    <col min="6" max="7" width="20.5546875" bestFit="1" customWidth="1"/>
    <col min="8" max="8" width="20.33203125" bestFit="1" customWidth="1"/>
    <col min="9" max="13" width="20.5546875" bestFit="1" customWidth="1"/>
    <col min="14" max="17" width="20.33203125" bestFit="1" customWidth="1"/>
    <col min="18" max="18" width="20.77734375" bestFit="1" customWidth="1"/>
    <col min="19" max="19" width="20.5546875" bestFit="1" customWidth="1"/>
    <col min="20" max="30" width="20.77734375" bestFit="1" customWidth="1"/>
    <col min="31" max="31" width="50.77734375" customWidth="1"/>
    <col min="32" max="32" width="102.77734375" customWidth="1"/>
  </cols>
  <sheetData>
    <row r="1" spans="1:32" x14ac:dyDescent="0.3">
      <c r="A1" t="s">
        <v>1124</v>
      </c>
      <c r="B1" s="1" t="s">
        <v>435</v>
      </c>
      <c r="C1" s="4" t="s">
        <v>3583</v>
      </c>
      <c r="D1" t="s">
        <v>3584</v>
      </c>
      <c r="E1" s="1" t="s">
        <v>1108</v>
      </c>
      <c r="F1">
        <v>2000</v>
      </c>
      <c r="G1">
        <v>2001</v>
      </c>
      <c r="H1">
        <v>2002</v>
      </c>
      <c r="I1">
        <v>2003</v>
      </c>
      <c r="J1">
        <v>2004</v>
      </c>
      <c r="K1">
        <v>2005</v>
      </c>
      <c r="L1">
        <v>2006</v>
      </c>
      <c r="M1">
        <v>2007</v>
      </c>
      <c r="N1">
        <v>2008</v>
      </c>
      <c r="O1">
        <v>2009</v>
      </c>
      <c r="P1">
        <v>2010</v>
      </c>
      <c r="Q1">
        <v>2011</v>
      </c>
      <c r="R1">
        <v>2012</v>
      </c>
      <c r="S1">
        <v>2013</v>
      </c>
      <c r="T1">
        <v>2014</v>
      </c>
      <c r="U1">
        <v>2015</v>
      </c>
      <c r="V1">
        <v>2016</v>
      </c>
      <c r="W1">
        <v>2017</v>
      </c>
      <c r="X1">
        <v>2018</v>
      </c>
      <c r="Y1">
        <v>2019</v>
      </c>
      <c r="Z1">
        <v>2020</v>
      </c>
      <c r="AA1">
        <v>2021</v>
      </c>
      <c r="AB1">
        <v>2022</v>
      </c>
      <c r="AC1">
        <v>2023</v>
      </c>
      <c r="AD1">
        <v>2024</v>
      </c>
      <c r="AE1" t="s">
        <v>6510</v>
      </c>
      <c r="AF1" t="s">
        <v>5101</v>
      </c>
    </row>
    <row r="2" spans="1:32" ht="201.6" x14ac:dyDescent="0.3">
      <c r="A2" t="s">
        <v>1826</v>
      </c>
      <c r="B2" s="1" t="s">
        <v>1205</v>
      </c>
      <c r="C2" s="5" t="s">
        <v>2070</v>
      </c>
      <c r="D2" s="6" t="s">
        <v>3585</v>
      </c>
      <c r="E2" s="1" t="s">
        <v>1808</v>
      </c>
      <c r="F2" s="3">
        <v>17.899999999999999</v>
      </c>
      <c r="G2" s="3">
        <v>17.3</v>
      </c>
      <c r="H2" s="3">
        <v>17</v>
      </c>
      <c r="I2" s="3">
        <v>16.7</v>
      </c>
      <c r="J2" s="3">
        <v>16.5</v>
      </c>
      <c r="K2" s="3">
        <v>16.399999999999999</v>
      </c>
      <c r="L2" s="3">
        <v>16.399999999999999</v>
      </c>
      <c r="M2" s="3">
        <v>16.7</v>
      </c>
      <c r="N2" s="3">
        <v>16.899999999999999</v>
      </c>
      <c r="O2" s="3">
        <v>17.5</v>
      </c>
      <c r="P2" s="3">
        <v>18.3</v>
      </c>
      <c r="Q2" s="3">
        <v>19.3</v>
      </c>
      <c r="R2" s="3">
        <v>20.6</v>
      </c>
      <c r="S2" s="3">
        <v>21.6</v>
      </c>
      <c r="T2" s="3">
        <v>23.3</v>
      </c>
      <c r="U2" s="3">
        <v>25.1</v>
      </c>
      <c r="V2" s="3">
        <v>27.3</v>
      </c>
      <c r="W2" s="3">
        <v>29.6</v>
      </c>
      <c r="X2" s="3">
        <v>32.1</v>
      </c>
      <c r="Y2" s="3">
        <v>34.700000000000003</v>
      </c>
      <c r="Z2" s="3">
        <v>37.4</v>
      </c>
      <c r="AA2" s="3">
        <v>40.299999999999997</v>
      </c>
      <c r="AB2" s="3">
        <v>42.6</v>
      </c>
      <c r="AC2" s="3"/>
      <c r="AD2" s="3"/>
      <c r="AE2" t="s">
        <v>5301</v>
      </c>
      <c r="AF2" s="4" t="s">
        <v>364</v>
      </c>
    </row>
    <row r="3" spans="1:32" ht="201.6" x14ac:dyDescent="0.3">
      <c r="A3" t="s">
        <v>1826</v>
      </c>
      <c r="B3" s="1" t="s">
        <v>1205</v>
      </c>
      <c r="C3" s="5" t="s">
        <v>2071</v>
      </c>
      <c r="D3" s="2" t="s">
        <v>3586</v>
      </c>
      <c r="E3" s="1" t="s">
        <v>655</v>
      </c>
      <c r="F3" s="3">
        <v>1.6</v>
      </c>
      <c r="G3" s="3">
        <v>1.5</v>
      </c>
      <c r="H3" s="3">
        <v>1.6</v>
      </c>
      <c r="I3" s="3">
        <v>1.6</v>
      </c>
      <c r="J3" s="3">
        <v>1.5</v>
      </c>
      <c r="K3" s="3">
        <v>1.4</v>
      </c>
      <c r="L3" s="3">
        <v>1.5</v>
      </c>
      <c r="M3" s="3">
        <v>1.6</v>
      </c>
      <c r="N3" s="3">
        <v>1.6</v>
      </c>
      <c r="O3" s="3">
        <v>1.7</v>
      </c>
      <c r="P3" s="3">
        <v>1.8</v>
      </c>
      <c r="Q3" s="3">
        <v>1.9</v>
      </c>
      <c r="R3" s="3">
        <v>2.1</v>
      </c>
      <c r="S3" s="3">
        <v>2.2999999999999998</v>
      </c>
      <c r="T3" s="3">
        <v>2.6</v>
      </c>
      <c r="U3" s="3">
        <v>2.9</v>
      </c>
      <c r="V3" s="3">
        <v>3.3</v>
      </c>
      <c r="W3" s="3">
        <v>3.7</v>
      </c>
      <c r="X3" s="3">
        <v>4.3</v>
      </c>
      <c r="Y3" s="3">
        <v>4.8</v>
      </c>
      <c r="Z3" s="3">
        <v>5.5</v>
      </c>
      <c r="AA3" s="3">
        <v>6.5</v>
      </c>
      <c r="AB3" s="3">
        <v>7.4</v>
      </c>
      <c r="AC3" s="3"/>
      <c r="AD3" s="3"/>
      <c r="AE3" t="s">
        <v>5302</v>
      </c>
      <c r="AF3" s="4" t="s">
        <v>364</v>
      </c>
    </row>
    <row r="4" spans="1:32" ht="201.6" x14ac:dyDescent="0.3">
      <c r="A4" t="s">
        <v>1826</v>
      </c>
      <c r="B4" s="1" t="s">
        <v>1205</v>
      </c>
      <c r="C4" s="5" t="s">
        <v>2072</v>
      </c>
      <c r="D4" s="2" t="s">
        <v>3587</v>
      </c>
      <c r="E4" s="1" t="s">
        <v>42</v>
      </c>
      <c r="F4" s="3">
        <v>37</v>
      </c>
      <c r="G4" s="3">
        <v>36.1</v>
      </c>
      <c r="H4" s="3">
        <v>34.799999999999997</v>
      </c>
      <c r="I4" s="3">
        <v>33.950000000000003</v>
      </c>
      <c r="J4" s="3">
        <v>33.200000000000003</v>
      </c>
      <c r="K4" s="3">
        <v>33</v>
      </c>
      <c r="L4" s="3">
        <v>32.799999999999997</v>
      </c>
      <c r="M4" s="3">
        <v>33.200000000000003</v>
      </c>
      <c r="N4" s="3">
        <v>33.9</v>
      </c>
      <c r="O4" s="3">
        <v>34.549999999999997</v>
      </c>
      <c r="P4" s="3">
        <v>35.6</v>
      </c>
      <c r="Q4" s="3">
        <v>37.200000000000003</v>
      </c>
      <c r="R4" s="3">
        <v>39</v>
      </c>
      <c r="S4" s="3">
        <v>41.5</v>
      </c>
      <c r="T4" s="3">
        <v>43.9</v>
      </c>
      <c r="U4" s="3">
        <v>47</v>
      </c>
      <c r="V4" s="3">
        <v>50.3</v>
      </c>
      <c r="W4" s="3">
        <v>54.2</v>
      </c>
      <c r="X4" s="3">
        <v>57.6</v>
      </c>
      <c r="Y4" s="3">
        <v>61.5</v>
      </c>
      <c r="Z4" s="3">
        <v>65.2</v>
      </c>
      <c r="AA4" s="3">
        <v>69</v>
      </c>
      <c r="AB4" s="3">
        <v>72.400000000000006</v>
      </c>
      <c r="AC4" s="3"/>
      <c r="AD4" s="3"/>
      <c r="AE4" t="s">
        <v>5303</v>
      </c>
      <c r="AF4" s="4" t="s">
        <v>364</v>
      </c>
    </row>
    <row r="5" spans="1:32" ht="72" x14ac:dyDescent="0.3">
      <c r="A5" t="s">
        <v>1826</v>
      </c>
      <c r="B5" s="1" t="s">
        <v>1205</v>
      </c>
      <c r="C5" s="5" t="s">
        <v>2073</v>
      </c>
      <c r="D5" s="2" t="s">
        <v>3588</v>
      </c>
      <c r="E5" s="1" t="s">
        <v>1864</v>
      </c>
      <c r="F5" s="3">
        <v>48.7</v>
      </c>
      <c r="G5" s="3">
        <v>49.7</v>
      </c>
      <c r="H5" s="3">
        <v>51.4</v>
      </c>
      <c r="I5" s="3">
        <v>51.5</v>
      </c>
      <c r="J5" s="3">
        <v>52.4</v>
      </c>
      <c r="K5" s="3">
        <v>58.9</v>
      </c>
      <c r="L5" s="3">
        <v>60.2</v>
      </c>
      <c r="M5" s="3">
        <v>55.3</v>
      </c>
      <c r="N5" s="3">
        <v>60.3</v>
      </c>
      <c r="O5" s="3">
        <v>57.3</v>
      </c>
      <c r="P5" s="3">
        <v>58.4</v>
      </c>
      <c r="Q5" s="3">
        <v>55.8</v>
      </c>
      <c r="R5" s="3">
        <v>55.8</v>
      </c>
      <c r="S5" s="3">
        <v>61.5</v>
      </c>
      <c r="T5" s="3">
        <v>61.9</v>
      </c>
      <c r="U5" s="3">
        <v>62.6</v>
      </c>
      <c r="V5" s="3">
        <v>64.3</v>
      </c>
      <c r="W5" s="3">
        <v>65.599999999999994</v>
      </c>
      <c r="X5" s="3">
        <v>67.099999999999994</v>
      </c>
      <c r="Y5" s="3">
        <v>68.599999999999994</v>
      </c>
      <c r="Z5" s="3">
        <v>69.900000000000006</v>
      </c>
      <c r="AA5" s="3">
        <v>71.099999999999994</v>
      </c>
      <c r="AB5" s="3">
        <v>72</v>
      </c>
      <c r="AC5" s="3">
        <v>72.400000000000006</v>
      </c>
      <c r="AD5" s="3"/>
      <c r="AE5" t="s">
        <v>5304</v>
      </c>
      <c r="AF5" s="4" t="s">
        <v>1089</v>
      </c>
    </row>
    <row r="6" spans="1:32" ht="72" x14ac:dyDescent="0.3">
      <c r="A6" t="s">
        <v>1826</v>
      </c>
      <c r="B6" s="1" t="s">
        <v>1205</v>
      </c>
      <c r="C6" s="5" t="s">
        <v>2074</v>
      </c>
      <c r="D6" s="2" t="s">
        <v>3589</v>
      </c>
      <c r="E6" s="1" t="s">
        <v>1614</v>
      </c>
      <c r="F6" s="3">
        <v>23.8</v>
      </c>
      <c r="G6" s="3">
        <v>24.6</v>
      </c>
      <c r="H6" s="3">
        <v>26.8</v>
      </c>
      <c r="I6" s="3">
        <v>26.1</v>
      </c>
      <c r="J6" s="3">
        <v>26.9</v>
      </c>
      <c r="K6" s="3">
        <v>36.200000000000003</v>
      </c>
      <c r="L6" s="3">
        <v>34.1</v>
      </c>
      <c r="M6" s="3">
        <v>29.3</v>
      </c>
      <c r="N6" s="3">
        <v>35.6</v>
      </c>
      <c r="O6" s="3">
        <v>31</v>
      </c>
      <c r="P6" s="3">
        <v>31.9</v>
      </c>
      <c r="Q6" s="3">
        <v>26.3</v>
      </c>
      <c r="R6" s="3">
        <v>25.8</v>
      </c>
      <c r="S6" s="3">
        <v>34.5</v>
      </c>
      <c r="T6" s="3">
        <v>34.299999999999997</v>
      </c>
      <c r="U6" s="3">
        <v>39.200000000000003</v>
      </c>
      <c r="V6" s="3">
        <v>36.700000000000003</v>
      </c>
      <c r="W6" s="3">
        <v>38.4</v>
      </c>
      <c r="X6" s="3">
        <v>40.4</v>
      </c>
      <c r="Y6" s="3">
        <v>42.1</v>
      </c>
      <c r="Z6" s="3">
        <v>43.7</v>
      </c>
      <c r="AA6" s="3">
        <v>45.2</v>
      </c>
      <c r="AB6" s="3">
        <v>45.3</v>
      </c>
      <c r="AC6" s="3">
        <v>48</v>
      </c>
      <c r="AD6" s="3"/>
      <c r="AE6" t="s">
        <v>5305</v>
      </c>
      <c r="AF6" s="4" t="s">
        <v>1089</v>
      </c>
    </row>
    <row r="7" spans="1:32" ht="72" x14ac:dyDescent="0.3">
      <c r="A7" t="s">
        <v>1826</v>
      </c>
      <c r="B7" s="1" t="s">
        <v>1205</v>
      </c>
      <c r="C7" s="5" t="s">
        <v>2075</v>
      </c>
      <c r="D7" s="2" t="s">
        <v>3590</v>
      </c>
      <c r="E7" s="1" t="s">
        <v>987</v>
      </c>
      <c r="F7" s="3">
        <v>81.599999999999994</v>
      </c>
      <c r="G7" s="3">
        <v>82.1</v>
      </c>
      <c r="H7" s="3">
        <v>82.7</v>
      </c>
      <c r="I7" s="3">
        <v>83.3</v>
      </c>
      <c r="J7" s="3">
        <v>83.9</v>
      </c>
      <c r="K7" s="3">
        <v>86.4</v>
      </c>
      <c r="L7" s="3">
        <v>91.2</v>
      </c>
      <c r="M7" s="3">
        <v>85.8</v>
      </c>
      <c r="N7" s="3">
        <v>88.8</v>
      </c>
      <c r="O7" s="3">
        <v>87.2</v>
      </c>
      <c r="P7" s="3">
        <v>87.9</v>
      </c>
      <c r="Q7" s="3">
        <v>88.1</v>
      </c>
      <c r="R7" s="3">
        <v>88.1</v>
      </c>
      <c r="S7" s="3">
        <v>89.9</v>
      </c>
      <c r="T7" s="3">
        <v>90.6</v>
      </c>
      <c r="U7" s="3">
        <v>86.5</v>
      </c>
      <c r="V7" s="3">
        <v>92</v>
      </c>
      <c r="W7" s="3">
        <v>92.5</v>
      </c>
      <c r="X7" s="3">
        <v>93.1</v>
      </c>
      <c r="Y7" s="3">
        <v>93.7</v>
      </c>
      <c r="Z7" s="3">
        <v>94.3</v>
      </c>
      <c r="AA7" s="3">
        <v>94.9</v>
      </c>
      <c r="AB7" s="3">
        <v>95</v>
      </c>
      <c r="AC7" s="3">
        <v>93.9</v>
      </c>
      <c r="AD7" s="3"/>
      <c r="AE7" t="s">
        <v>5306</v>
      </c>
      <c r="AF7" s="4" t="s">
        <v>1089</v>
      </c>
    </row>
    <row r="8" spans="1:32" ht="86.4" x14ac:dyDescent="0.3">
      <c r="A8" t="s">
        <v>1826</v>
      </c>
      <c r="B8" s="1" t="s">
        <v>1205</v>
      </c>
      <c r="C8" s="5" t="s">
        <v>2076</v>
      </c>
      <c r="D8" s="2" t="s">
        <v>3591</v>
      </c>
      <c r="E8" s="1" t="s">
        <v>1815</v>
      </c>
      <c r="F8" s="3"/>
      <c r="G8" s="3"/>
      <c r="H8" s="3"/>
      <c r="I8" s="3"/>
      <c r="J8" s="3"/>
      <c r="K8" s="3"/>
      <c r="L8" s="3"/>
      <c r="M8" s="3"/>
      <c r="N8" s="3"/>
      <c r="O8" s="3"/>
      <c r="P8" s="3"/>
      <c r="Q8" s="3"/>
      <c r="R8" s="3"/>
      <c r="S8" s="3"/>
      <c r="T8" s="3">
        <v>34.32</v>
      </c>
      <c r="U8" s="3"/>
      <c r="V8" s="3"/>
      <c r="W8" s="3">
        <v>41.33</v>
      </c>
      <c r="X8" s="3"/>
      <c r="Y8" s="3"/>
      <c r="Z8" s="3"/>
      <c r="AA8" s="3">
        <v>50.76</v>
      </c>
      <c r="AB8" s="3"/>
      <c r="AC8" s="3"/>
      <c r="AD8" s="3"/>
      <c r="AE8" t="s">
        <v>5307</v>
      </c>
      <c r="AF8" s="4" t="s">
        <v>1057</v>
      </c>
    </row>
    <row r="9" spans="1:32" ht="86.4" x14ac:dyDescent="0.3">
      <c r="A9" t="s">
        <v>1826</v>
      </c>
      <c r="B9" s="1" t="s">
        <v>1205</v>
      </c>
      <c r="C9" s="5" t="s">
        <v>2077</v>
      </c>
      <c r="D9" s="2" t="s">
        <v>3592</v>
      </c>
      <c r="E9" s="1" t="s">
        <v>2064</v>
      </c>
      <c r="F9" s="3"/>
      <c r="G9" s="3"/>
      <c r="H9" s="3"/>
      <c r="I9" s="3"/>
      <c r="J9" s="3"/>
      <c r="K9" s="3"/>
      <c r="L9" s="3"/>
      <c r="M9" s="3"/>
      <c r="N9" s="3"/>
      <c r="O9" s="3"/>
      <c r="P9" s="3"/>
      <c r="Q9" s="3"/>
      <c r="R9" s="3"/>
      <c r="S9" s="3"/>
      <c r="T9" s="3">
        <v>29.16</v>
      </c>
      <c r="U9" s="3"/>
      <c r="V9" s="3"/>
      <c r="W9" s="3">
        <v>35.56</v>
      </c>
      <c r="X9" s="3"/>
      <c r="Y9" s="3"/>
      <c r="Z9" s="3"/>
      <c r="AA9" s="3">
        <v>37.44</v>
      </c>
      <c r="AB9" s="3"/>
      <c r="AC9" s="3"/>
      <c r="AD9" s="3"/>
      <c r="AE9" t="s">
        <v>5308</v>
      </c>
      <c r="AF9" s="4" t="s">
        <v>274</v>
      </c>
    </row>
    <row r="10" spans="1:32" ht="86.4" x14ac:dyDescent="0.3">
      <c r="A10" t="s">
        <v>1826</v>
      </c>
      <c r="B10" s="1" t="s">
        <v>1205</v>
      </c>
      <c r="C10" s="5" t="s">
        <v>2078</v>
      </c>
      <c r="D10" s="2" t="s">
        <v>3593</v>
      </c>
      <c r="E10" s="1" t="s">
        <v>190</v>
      </c>
      <c r="F10" s="3"/>
      <c r="G10" s="3"/>
      <c r="H10" s="3"/>
      <c r="I10" s="3"/>
      <c r="J10" s="3"/>
      <c r="K10" s="3"/>
      <c r="L10" s="3"/>
      <c r="M10" s="3"/>
      <c r="N10" s="3"/>
      <c r="O10" s="3"/>
      <c r="P10" s="3"/>
      <c r="Q10" s="3"/>
      <c r="R10" s="3"/>
      <c r="S10" s="3"/>
      <c r="T10" s="3">
        <v>39.200000000000003</v>
      </c>
      <c r="U10" s="3"/>
      <c r="V10" s="3"/>
      <c r="W10" s="3">
        <v>46.6</v>
      </c>
      <c r="X10" s="3"/>
      <c r="Y10" s="3"/>
      <c r="Z10" s="3"/>
      <c r="AA10" s="3">
        <v>64.010000000000005</v>
      </c>
      <c r="AB10" s="3"/>
      <c r="AC10" s="3"/>
      <c r="AD10" s="3"/>
      <c r="AE10" t="s">
        <v>5309</v>
      </c>
      <c r="AF10" s="4" t="s">
        <v>1596</v>
      </c>
    </row>
    <row r="11" spans="1:32" ht="86.4" x14ac:dyDescent="0.3">
      <c r="A11" t="s">
        <v>1826</v>
      </c>
      <c r="B11" s="1" t="s">
        <v>1205</v>
      </c>
      <c r="C11" s="5" t="s">
        <v>2079</v>
      </c>
      <c r="D11" s="2" t="s">
        <v>3594</v>
      </c>
      <c r="E11" s="1" t="s">
        <v>899</v>
      </c>
      <c r="F11" s="3"/>
      <c r="G11" s="3"/>
      <c r="H11" s="3"/>
      <c r="I11" s="3"/>
      <c r="J11" s="3"/>
      <c r="K11" s="3"/>
      <c r="L11" s="3"/>
      <c r="M11" s="3"/>
      <c r="N11" s="3"/>
      <c r="O11" s="3"/>
      <c r="P11" s="3"/>
      <c r="Q11" s="3"/>
      <c r="R11" s="3"/>
      <c r="S11" s="3"/>
      <c r="T11" s="3">
        <v>39.22</v>
      </c>
      <c r="U11" s="3"/>
      <c r="V11" s="3"/>
      <c r="W11" s="3">
        <v>45.53</v>
      </c>
      <c r="X11" s="3"/>
      <c r="Y11" s="3"/>
      <c r="Z11" s="3"/>
      <c r="AA11" s="3">
        <v>55.88</v>
      </c>
      <c r="AB11" s="3"/>
      <c r="AC11" s="3"/>
      <c r="AD11" s="3"/>
      <c r="AE11" t="s">
        <v>5310</v>
      </c>
      <c r="AF11" s="4" t="s">
        <v>1118</v>
      </c>
    </row>
    <row r="12" spans="1:32" ht="86.4" x14ac:dyDescent="0.3">
      <c r="A12" t="s">
        <v>1826</v>
      </c>
      <c r="B12" s="1" t="s">
        <v>1205</v>
      </c>
      <c r="C12" s="5" t="s">
        <v>2080</v>
      </c>
      <c r="D12" s="2" t="s">
        <v>3595</v>
      </c>
      <c r="E12" s="1" t="s">
        <v>361</v>
      </c>
      <c r="F12" s="3"/>
      <c r="G12" s="3"/>
      <c r="H12" s="3"/>
      <c r="I12" s="3"/>
      <c r="J12" s="3"/>
      <c r="K12" s="3"/>
      <c r="L12" s="3"/>
      <c r="M12" s="3"/>
      <c r="N12" s="3"/>
      <c r="O12" s="3"/>
      <c r="P12" s="3"/>
      <c r="Q12" s="3"/>
      <c r="R12" s="3"/>
      <c r="S12" s="3"/>
      <c r="T12" s="3">
        <v>24.18</v>
      </c>
      <c r="U12" s="3"/>
      <c r="V12" s="3"/>
      <c r="W12" s="3">
        <v>34.17</v>
      </c>
      <c r="X12" s="3"/>
      <c r="Y12" s="3"/>
      <c r="Z12" s="3"/>
      <c r="AA12" s="3">
        <v>44.01</v>
      </c>
      <c r="AB12" s="3"/>
      <c r="AC12" s="3"/>
      <c r="AD12" s="3"/>
      <c r="AE12" t="s">
        <v>5311</v>
      </c>
      <c r="AF12" s="4" t="s">
        <v>1952</v>
      </c>
    </row>
    <row r="13" spans="1:32" ht="100.8" x14ac:dyDescent="0.3">
      <c r="A13" t="s">
        <v>1826</v>
      </c>
      <c r="B13" s="1" t="s">
        <v>1205</v>
      </c>
      <c r="C13" s="5" t="s">
        <v>2081</v>
      </c>
      <c r="D13" s="2" t="s">
        <v>3596</v>
      </c>
      <c r="E13" s="1" t="s">
        <v>767</v>
      </c>
      <c r="F13" s="3"/>
      <c r="G13" s="3"/>
      <c r="H13" s="3"/>
      <c r="I13" s="3"/>
      <c r="J13" s="3"/>
      <c r="K13" s="3"/>
      <c r="L13" s="3"/>
      <c r="M13" s="3"/>
      <c r="N13" s="3"/>
      <c r="O13" s="3"/>
      <c r="P13" s="3"/>
      <c r="Q13" s="3"/>
      <c r="R13" s="3"/>
      <c r="S13" s="3"/>
      <c r="T13" s="3">
        <v>30.05</v>
      </c>
      <c r="U13" s="3"/>
      <c r="V13" s="3"/>
      <c r="W13" s="3">
        <v>34.97</v>
      </c>
      <c r="X13" s="3"/>
      <c r="Y13" s="3"/>
      <c r="Z13" s="3"/>
      <c r="AA13" s="3">
        <v>43.99</v>
      </c>
      <c r="AB13" s="3"/>
      <c r="AC13" s="3"/>
      <c r="AD13" s="3"/>
      <c r="AE13" t="s">
        <v>5312</v>
      </c>
      <c r="AF13" s="4" t="s">
        <v>1549</v>
      </c>
    </row>
    <row r="14" spans="1:32" ht="86.4" x14ac:dyDescent="0.3">
      <c r="A14" t="s">
        <v>1826</v>
      </c>
      <c r="B14" s="1" t="s">
        <v>1205</v>
      </c>
      <c r="C14" s="5" t="s">
        <v>2082</v>
      </c>
      <c r="D14" s="2" t="s">
        <v>3597</v>
      </c>
      <c r="E14" s="1" t="s">
        <v>136</v>
      </c>
      <c r="F14" s="3"/>
      <c r="G14" s="3"/>
      <c r="H14" s="3"/>
      <c r="I14" s="3"/>
      <c r="J14" s="3"/>
      <c r="K14" s="3"/>
      <c r="L14" s="3"/>
      <c r="M14" s="3"/>
      <c r="N14" s="3"/>
      <c r="O14" s="3"/>
      <c r="P14" s="3"/>
      <c r="Q14" s="3"/>
      <c r="R14" s="3"/>
      <c r="S14" s="3"/>
      <c r="T14" s="3">
        <v>41.08</v>
      </c>
      <c r="U14" s="3"/>
      <c r="V14" s="3"/>
      <c r="W14" s="3">
        <v>46.07</v>
      </c>
      <c r="X14" s="3"/>
      <c r="Y14" s="3"/>
      <c r="Z14" s="3"/>
      <c r="AA14" s="3">
        <v>55.26</v>
      </c>
      <c r="AB14" s="3"/>
      <c r="AC14" s="3"/>
      <c r="AD14" s="3"/>
      <c r="AE14" t="s">
        <v>5313</v>
      </c>
      <c r="AF14" s="4" t="s">
        <v>103</v>
      </c>
    </row>
    <row r="15" spans="1:32" ht="100.8" x14ac:dyDescent="0.3">
      <c r="A15" t="s">
        <v>1826</v>
      </c>
      <c r="B15" s="1" t="s">
        <v>1205</v>
      </c>
      <c r="C15" s="5" t="s">
        <v>2083</v>
      </c>
      <c r="D15" s="2" t="s">
        <v>3598</v>
      </c>
      <c r="E15" s="1" t="s">
        <v>1286</v>
      </c>
      <c r="F15" s="3"/>
      <c r="G15" s="3"/>
      <c r="H15" s="3"/>
      <c r="I15" s="3"/>
      <c r="J15" s="3"/>
      <c r="K15" s="3"/>
      <c r="L15" s="3"/>
      <c r="M15" s="3"/>
      <c r="N15" s="3"/>
      <c r="O15" s="3"/>
      <c r="P15" s="3"/>
      <c r="Q15" s="3"/>
      <c r="R15" s="3"/>
      <c r="S15" s="3"/>
      <c r="T15" s="3">
        <v>47.71</v>
      </c>
      <c r="U15" s="3"/>
      <c r="V15" s="3"/>
      <c r="W15" s="3">
        <v>60.32</v>
      </c>
      <c r="X15" s="3"/>
      <c r="Y15" s="3"/>
      <c r="Z15" s="3"/>
      <c r="AA15" s="3">
        <v>69.25</v>
      </c>
      <c r="AB15" s="3"/>
      <c r="AC15" s="3"/>
      <c r="AD15" s="3"/>
      <c r="AE15" t="s">
        <v>5314</v>
      </c>
      <c r="AF15" s="4" t="s">
        <v>1814</v>
      </c>
    </row>
    <row r="16" spans="1:32" ht="86.4" x14ac:dyDescent="0.3">
      <c r="A16" t="s">
        <v>1826</v>
      </c>
      <c r="B16" s="1" t="s">
        <v>1205</v>
      </c>
      <c r="C16" s="5" t="s">
        <v>2084</v>
      </c>
      <c r="D16" s="2" t="s">
        <v>3599</v>
      </c>
      <c r="E16" s="1" t="s">
        <v>2031</v>
      </c>
      <c r="F16" s="3"/>
      <c r="G16" s="3"/>
      <c r="H16" s="3"/>
      <c r="I16" s="3"/>
      <c r="J16" s="3"/>
      <c r="K16" s="3"/>
      <c r="L16" s="3"/>
      <c r="M16" s="3"/>
      <c r="N16" s="3"/>
      <c r="O16" s="3"/>
      <c r="P16" s="3"/>
      <c r="Q16" s="3"/>
      <c r="R16" s="3"/>
      <c r="S16" s="3"/>
      <c r="T16" s="3">
        <v>24.1</v>
      </c>
      <c r="U16" s="3"/>
      <c r="V16" s="3"/>
      <c r="W16" s="3">
        <v>33.58</v>
      </c>
      <c r="X16" s="3"/>
      <c r="Y16" s="3"/>
      <c r="Z16" s="3"/>
      <c r="AA16" s="3">
        <v>39.979999999999997</v>
      </c>
      <c r="AB16" s="3"/>
      <c r="AC16" s="3"/>
      <c r="AD16" s="3"/>
      <c r="AE16" t="s">
        <v>5315</v>
      </c>
      <c r="AF16" s="4" t="s">
        <v>581</v>
      </c>
    </row>
    <row r="17" spans="1:32" ht="100.8" x14ac:dyDescent="0.3">
      <c r="A17" t="s">
        <v>1826</v>
      </c>
      <c r="B17" s="1" t="s">
        <v>1205</v>
      </c>
      <c r="C17" s="5" t="s">
        <v>2085</v>
      </c>
      <c r="D17" s="2" t="s">
        <v>3600</v>
      </c>
      <c r="E17" s="1" t="s">
        <v>40</v>
      </c>
      <c r="F17" s="3"/>
      <c r="G17" s="3"/>
      <c r="H17" s="3">
        <v>14.4262605064228</v>
      </c>
      <c r="I17" s="3"/>
      <c r="J17" s="3"/>
      <c r="K17" s="3"/>
      <c r="L17" s="3"/>
      <c r="M17" s="3"/>
      <c r="N17" s="3">
        <v>32.294620631296297</v>
      </c>
      <c r="O17" s="3"/>
      <c r="P17" s="3"/>
      <c r="Q17" s="3"/>
      <c r="R17" s="3"/>
      <c r="S17" s="3"/>
      <c r="T17" s="3"/>
      <c r="U17" s="3">
        <v>49.554719761181197</v>
      </c>
      <c r="V17" s="3"/>
      <c r="W17" s="3"/>
      <c r="X17" s="3">
        <v>3.3469393875031899</v>
      </c>
      <c r="Y17" s="3"/>
      <c r="Z17" s="3"/>
      <c r="AA17" s="3">
        <v>27.1151655551649</v>
      </c>
      <c r="AB17" s="3"/>
      <c r="AC17" s="3"/>
      <c r="AD17" s="3"/>
      <c r="AE17" t="s">
        <v>5316</v>
      </c>
      <c r="AF17" s="4" t="s">
        <v>752</v>
      </c>
    </row>
    <row r="18" spans="1:32" ht="100.8" x14ac:dyDescent="0.3">
      <c r="A18" t="s">
        <v>1826</v>
      </c>
      <c r="B18" s="1" t="s">
        <v>1205</v>
      </c>
      <c r="C18" s="5" t="s">
        <v>2086</v>
      </c>
      <c r="D18" s="2" t="s">
        <v>3601</v>
      </c>
      <c r="E18" s="1" t="s">
        <v>195</v>
      </c>
      <c r="F18" s="3"/>
      <c r="G18" s="3"/>
      <c r="H18" s="3">
        <v>14.4262605064228</v>
      </c>
      <c r="I18" s="3"/>
      <c r="J18" s="3"/>
      <c r="K18" s="3"/>
      <c r="L18" s="3"/>
      <c r="M18" s="3"/>
      <c r="N18" s="3">
        <v>26.814034780187299</v>
      </c>
      <c r="O18" s="3"/>
      <c r="P18" s="3"/>
      <c r="Q18" s="3"/>
      <c r="R18" s="3"/>
      <c r="S18" s="3"/>
      <c r="T18" s="3"/>
      <c r="U18" s="3">
        <v>47.5431892512525</v>
      </c>
      <c r="V18" s="3"/>
      <c r="W18" s="3"/>
      <c r="X18" s="3">
        <v>2.9444994134251798</v>
      </c>
      <c r="Y18" s="3"/>
      <c r="Z18" s="3"/>
      <c r="AA18" s="3">
        <v>24.267742321525098</v>
      </c>
      <c r="AB18" s="3"/>
      <c r="AC18" s="3"/>
      <c r="AD18" s="3"/>
      <c r="AE18" t="s">
        <v>5317</v>
      </c>
      <c r="AF18" s="4" t="s">
        <v>752</v>
      </c>
    </row>
    <row r="19" spans="1:32" ht="100.8" x14ac:dyDescent="0.3">
      <c r="A19" t="s">
        <v>1826</v>
      </c>
      <c r="B19" s="1" t="s">
        <v>1205</v>
      </c>
      <c r="C19" s="5" t="s">
        <v>2087</v>
      </c>
      <c r="D19" s="2" t="s">
        <v>3602</v>
      </c>
      <c r="E19" s="1" t="s">
        <v>257</v>
      </c>
      <c r="F19" s="3"/>
      <c r="G19" s="3"/>
      <c r="H19" s="3"/>
      <c r="I19" s="3"/>
      <c r="J19" s="3"/>
      <c r="K19" s="3"/>
      <c r="L19" s="3"/>
      <c r="M19" s="3"/>
      <c r="N19" s="3">
        <v>4.5482328493168902</v>
      </c>
      <c r="O19" s="3"/>
      <c r="P19" s="3"/>
      <c r="Q19" s="3"/>
      <c r="R19" s="3"/>
      <c r="S19" s="3"/>
      <c r="T19" s="3"/>
      <c r="U19" s="3">
        <v>14.7420353506139</v>
      </c>
      <c r="V19" s="3"/>
      <c r="W19" s="3"/>
      <c r="X19" s="3">
        <v>1.0426319070249099</v>
      </c>
      <c r="Y19" s="3"/>
      <c r="Z19" s="3"/>
      <c r="AA19" s="3"/>
      <c r="AB19" s="3"/>
      <c r="AC19" s="3"/>
      <c r="AD19" s="3"/>
      <c r="AE19" t="s">
        <v>5318</v>
      </c>
      <c r="AF19" s="4" t="s">
        <v>752</v>
      </c>
    </row>
    <row r="20" spans="1:32" ht="100.8" x14ac:dyDescent="0.3">
      <c r="A20" t="s">
        <v>1826</v>
      </c>
      <c r="B20" s="1" t="s">
        <v>1205</v>
      </c>
      <c r="C20" s="5" t="s">
        <v>2088</v>
      </c>
      <c r="D20" s="2" t="s">
        <v>3603</v>
      </c>
      <c r="E20" s="1" t="s">
        <v>723</v>
      </c>
      <c r="F20" s="3"/>
      <c r="G20" s="3"/>
      <c r="H20" s="3"/>
      <c r="I20" s="3"/>
      <c r="J20" s="3"/>
      <c r="K20" s="3"/>
      <c r="L20" s="3"/>
      <c r="M20" s="3"/>
      <c r="N20" s="3"/>
      <c r="O20" s="3"/>
      <c r="P20" s="3"/>
      <c r="Q20" s="3"/>
      <c r="R20" s="3"/>
      <c r="S20" s="3"/>
      <c r="T20" s="3"/>
      <c r="U20" s="3"/>
      <c r="V20" s="3"/>
      <c r="W20" s="3"/>
      <c r="X20" s="3"/>
      <c r="Y20" s="3"/>
      <c r="Z20" s="3"/>
      <c r="AA20" s="3"/>
      <c r="AB20" s="3"/>
      <c r="AC20" s="3"/>
      <c r="AD20" s="3"/>
      <c r="AE20" t="s">
        <v>5319</v>
      </c>
      <c r="AF20" s="4" t="s">
        <v>752</v>
      </c>
    </row>
    <row r="21" spans="1:32" ht="201.6" x14ac:dyDescent="0.3">
      <c r="A21" t="s">
        <v>1826</v>
      </c>
      <c r="B21" s="1" t="s">
        <v>1205</v>
      </c>
      <c r="C21" s="5" t="s">
        <v>2089</v>
      </c>
      <c r="D21" s="2" t="s">
        <v>3604</v>
      </c>
      <c r="E21" s="1" t="s">
        <v>217</v>
      </c>
      <c r="F21" s="3">
        <v>56.508389999999999</v>
      </c>
      <c r="G21" s="3">
        <v>60.608490000000003</v>
      </c>
      <c r="H21" s="3">
        <v>60.662860000000002</v>
      </c>
      <c r="I21" s="3">
        <v>56.082900000000002</v>
      </c>
      <c r="J21" s="3"/>
      <c r="K21" s="3"/>
      <c r="L21" s="3"/>
      <c r="M21" s="3"/>
      <c r="N21" s="3"/>
      <c r="O21" s="3">
        <v>55.838340000000002</v>
      </c>
      <c r="P21" s="3"/>
      <c r="Q21" s="3"/>
      <c r="R21" s="3"/>
      <c r="S21" s="3">
        <v>68.275739999999999</v>
      </c>
      <c r="T21" s="3">
        <v>72.856620000000007</v>
      </c>
      <c r="U21" s="3">
        <v>76.735950000000003</v>
      </c>
      <c r="V21" s="3">
        <v>86.90249</v>
      </c>
      <c r="W21" s="3">
        <v>88.608369999999994</v>
      </c>
      <c r="X21" s="3">
        <v>93.692350000000005</v>
      </c>
      <c r="Y21" s="3"/>
      <c r="Z21" s="3"/>
      <c r="AA21" s="3"/>
      <c r="AB21" s="3"/>
      <c r="AC21" s="3"/>
      <c r="AD21" s="3"/>
      <c r="AE21" t="s">
        <v>5320</v>
      </c>
      <c r="AF21" s="4" t="s">
        <v>1726</v>
      </c>
    </row>
    <row r="22" spans="1:32" ht="216" x14ac:dyDescent="0.3">
      <c r="A22" t="s">
        <v>1826</v>
      </c>
      <c r="B22" s="1" t="s">
        <v>1205</v>
      </c>
      <c r="C22" s="5" t="s">
        <v>2090</v>
      </c>
      <c r="D22" s="2" t="s">
        <v>3605</v>
      </c>
      <c r="E22" s="1" t="s">
        <v>1488</v>
      </c>
      <c r="F22" s="3">
        <v>47.860239999999997</v>
      </c>
      <c r="G22" s="3">
        <v>51.945230000000002</v>
      </c>
      <c r="H22" s="3">
        <v>51.188299999999998</v>
      </c>
      <c r="I22" s="3">
        <v>49.879820000000002</v>
      </c>
      <c r="J22" s="3"/>
      <c r="K22" s="3"/>
      <c r="L22" s="3"/>
      <c r="M22" s="3"/>
      <c r="N22" s="3"/>
      <c r="O22" s="3">
        <v>50.483910000000002</v>
      </c>
      <c r="P22" s="3"/>
      <c r="Q22" s="3"/>
      <c r="R22" s="3"/>
      <c r="S22" s="3">
        <v>65.356660000000005</v>
      </c>
      <c r="T22" s="3">
        <v>68.262289999999993</v>
      </c>
      <c r="U22" s="3">
        <v>72.054069999999996</v>
      </c>
      <c r="V22" s="3">
        <v>82.34393</v>
      </c>
      <c r="W22" s="3">
        <v>84.707099999999997</v>
      </c>
      <c r="X22" s="3">
        <v>89.732900000000001</v>
      </c>
      <c r="Y22" s="3"/>
      <c r="Z22" s="3"/>
      <c r="AA22" s="3"/>
      <c r="AB22" s="3"/>
      <c r="AC22" s="3"/>
      <c r="AD22" s="3"/>
      <c r="AE22" t="s">
        <v>5320</v>
      </c>
      <c r="AF22" s="4" t="s">
        <v>511</v>
      </c>
    </row>
    <row r="23" spans="1:32" ht="216" x14ac:dyDescent="0.3">
      <c r="A23" t="s">
        <v>1826</v>
      </c>
      <c r="B23" s="1" t="s">
        <v>1205</v>
      </c>
      <c r="C23" s="5" t="s">
        <v>2091</v>
      </c>
      <c r="D23" s="2" t="s">
        <v>3606</v>
      </c>
      <c r="E23" s="1" t="s">
        <v>728</v>
      </c>
      <c r="F23" s="3">
        <v>65.141710000000003</v>
      </c>
      <c r="G23" s="3">
        <v>69.265749999999997</v>
      </c>
      <c r="H23" s="3">
        <v>70.129499999999993</v>
      </c>
      <c r="I23" s="3">
        <v>62.282919999999997</v>
      </c>
      <c r="J23" s="3"/>
      <c r="K23" s="3"/>
      <c r="L23" s="3"/>
      <c r="M23" s="3"/>
      <c r="N23" s="3"/>
      <c r="O23" s="3">
        <v>61.206580000000002</v>
      </c>
      <c r="P23" s="3"/>
      <c r="Q23" s="3"/>
      <c r="R23" s="3"/>
      <c r="S23" s="3">
        <v>71.189930000000004</v>
      </c>
      <c r="T23" s="3">
        <v>77.436880000000002</v>
      </c>
      <c r="U23" s="3">
        <v>81.398060000000001</v>
      </c>
      <c r="V23" s="3">
        <v>91.438010000000006</v>
      </c>
      <c r="W23" s="3">
        <v>92.485020000000006</v>
      </c>
      <c r="X23" s="3">
        <v>97.622399999999999</v>
      </c>
      <c r="Y23" s="3"/>
      <c r="Z23" s="3"/>
      <c r="AA23" s="3"/>
      <c r="AB23" s="3"/>
      <c r="AC23" s="3"/>
      <c r="AD23" s="3"/>
      <c r="AE23" t="s">
        <v>5320</v>
      </c>
      <c r="AF23" s="4" t="s">
        <v>511</v>
      </c>
    </row>
    <row r="24" spans="1:32" ht="187.2" x14ac:dyDescent="0.3">
      <c r="A24" t="s">
        <v>1826</v>
      </c>
      <c r="B24" s="1" t="s">
        <v>1205</v>
      </c>
      <c r="C24" s="5" t="s">
        <v>2092</v>
      </c>
      <c r="D24" s="2" t="s">
        <v>3607</v>
      </c>
      <c r="E24" s="1" t="s">
        <v>885</v>
      </c>
      <c r="F24" s="3"/>
      <c r="G24" s="3"/>
      <c r="H24" s="3"/>
      <c r="I24" s="3"/>
      <c r="J24" s="3"/>
      <c r="K24" s="3"/>
      <c r="L24" s="3"/>
      <c r="M24" s="3"/>
      <c r="N24" s="3"/>
      <c r="O24" s="3">
        <v>4.5065602327268834</v>
      </c>
      <c r="P24" s="3">
        <v>6.3259493123068324</v>
      </c>
      <c r="Q24" s="3">
        <v>-16.488493020086636</v>
      </c>
      <c r="R24" s="3">
        <v>32.789636321808644</v>
      </c>
      <c r="S24" s="3">
        <v>7.099703927323759</v>
      </c>
      <c r="T24" s="3">
        <v>65.021982970638248</v>
      </c>
      <c r="U24" s="3">
        <v>8.1664541445001078</v>
      </c>
      <c r="V24" s="3">
        <v>5.4497651839055408</v>
      </c>
      <c r="W24" s="3">
        <v>2.7472166823116595</v>
      </c>
      <c r="X24" s="3">
        <v>4.7493285891358141</v>
      </c>
      <c r="Y24" s="3">
        <v>5.0499778403432032</v>
      </c>
      <c r="Z24" s="3">
        <v>3.1689027781976336</v>
      </c>
      <c r="AA24" s="3">
        <v>3.336852415276411</v>
      </c>
      <c r="AB24" s="3"/>
      <c r="AC24" s="3"/>
      <c r="AD24" s="3"/>
      <c r="AE24" t="s">
        <v>5321</v>
      </c>
      <c r="AF24" s="4" t="s">
        <v>718</v>
      </c>
    </row>
    <row r="25" spans="1:32" ht="187.2" x14ac:dyDescent="0.3">
      <c r="A25" t="s">
        <v>1826</v>
      </c>
      <c r="B25" s="1" t="s">
        <v>1205</v>
      </c>
      <c r="C25" s="5" t="s">
        <v>2093</v>
      </c>
      <c r="D25" s="2" t="s">
        <v>3608</v>
      </c>
      <c r="E25" s="1" t="s">
        <v>77</v>
      </c>
      <c r="F25" s="3"/>
      <c r="G25" s="3"/>
      <c r="H25" s="3"/>
      <c r="I25" s="3"/>
      <c r="J25" s="3"/>
      <c r="K25" s="3"/>
      <c r="L25" s="3"/>
      <c r="M25" s="3"/>
      <c r="N25" s="3">
        <v>18386513033.605667</v>
      </c>
      <c r="O25" s="3">
        <v>19215112318.163284</v>
      </c>
      <c r="P25" s="3">
        <v>20430650583.71312</v>
      </c>
      <c r="Q25" s="3">
        <v>17061944188.259291</v>
      </c>
      <c r="R25" s="3">
        <v>22656493637.019478</v>
      </c>
      <c r="S25" s="3">
        <v>24265037605.560806</v>
      </c>
      <c r="T25" s="3">
        <v>40042646225.267525</v>
      </c>
      <c r="U25" s="3">
        <v>43312710567.498398</v>
      </c>
      <c r="V25" s="3">
        <v>45673151588.2117</v>
      </c>
      <c r="W25" s="3">
        <v>46927892027.980545</v>
      </c>
      <c r="X25" s="3">
        <v>49156651820.344215</v>
      </c>
      <c r="Y25" s="3">
        <v>51639051844.326263</v>
      </c>
      <c r="Z25" s="3">
        <v>53275443192.856033</v>
      </c>
      <c r="AA25" s="3">
        <v>55053166105.786064</v>
      </c>
      <c r="AB25" s="3"/>
      <c r="AC25" s="3"/>
      <c r="AD25" s="3"/>
      <c r="AE25" t="s">
        <v>5322</v>
      </c>
      <c r="AF25" s="4" t="s">
        <v>718</v>
      </c>
    </row>
    <row r="26" spans="1:32" ht="187.2" x14ac:dyDescent="0.3">
      <c r="A26" t="s">
        <v>1826</v>
      </c>
      <c r="B26" s="1" t="s">
        <v>1205</v>
      </c>
      <c r="C26" s="5" t="s">
        <v>2094</v>
      </c>
      <c r="D26" s="2" t="s">
        <v>3609</v>
      </c>
      <c r="E26" s="1" t="s">
        <v>1997</v>
      </c>
      <c r="F26" s="3">
        <v>8874045381.0289001</v>
      </c>
      <c r="G26" s="3">
        <v>9171707515.2884903</v>
      </c>
      <c r="H26" s="3">
        <v>10071580849.011101</v>
      </c>
      <c r="I26" s="3">
        <v>12218485826.294701</v>
      </c>
      <c r="J26" s="3">
        <v>13726981840.861099</v>
      </c>
      <c r="K26" s="3">
        <v>15012596776.695801</v>
      </c>
      <c r="L26" s="3">
        <v>15403947281.575199</v>
      </c>
      <c r="M26" s="3">
        <v>17919385048.605499</v>
      </c>
      <c r="N26" s="3">
        <v>21433654179.231201</v>
      </c>
      <c r="O26" s="3">
        <v>21911682257.808701</v>
      </c>
      <c r="P26" s="3">
        <v>22618513884.7215</v>
      </c>
      <c r="Q26" s="3">
        <v>22582385043.7393</v>
      </c>
      <c r="R26" s="3">
        <v>24422563751.903599</v>
      </c>
      <c r="S26" s="3">
        <v>28330452385.394798</v>
      </c>
      <c r="T26" s="3">
        <v>46466479800.327499</v>
      </c>
      <c r="U26" s="3">
        <v>43312710567.498398</v>
      </c>
      <c r="V26" s="3">
        <v>44717062439.029198</v>
      </c>
      <c r="W26" s="3">
        <v>47669715730.704903</v>
      </c>
      <c r="X26" s="3">
        <v>53492303164.534302</v>
      </c>
      <c r="Y26" s="3">
        <v>54385585138.212799</v>
      </c>
      <c r="Z26" s="3">
        <v>57024604628.698502</v>
      </c>
      <c r="AA26" s="3">
        <v>64141668493.102203</v>
      </c>
      <c r="AB26" s="3"/>
      <c r="AC26" s="3"/>
      <c r="AD26" s="3"/>
      <c r="AE26" t="s">
        <v>5323</v>
      </c>
      <c r="AF26" s="4" t="s">
        <v>718</v>
      </c>
    </row>
    <row r="27" spans="1:32" ht="187.2" x14ac:dyDescent="0.3">
      <c r="A27" t="s">
        <v>1826</v>
      </c>
      <c r="B27" s="1" t="s">
        <v>1205</v>
      </c>
      <c r="C27" s="5" t="s">
        <v>2095</v>
      </c>
      <c r="D27" s="2" t="s">
        <v>3610</v>
      </c>
      <c r="E27" s="1" t="s">
        <v>1096</v>
      </c>
      <c r="F27" s="3"/>
      <c r="G27" s="3"/>
      <c r="H27" s="3"/>
      <c r="I27" s="3"/>
      <c r="J27" s="3"/>
      <c r="K27" s="3"/>
      <c r="L27" s="3"/>
      <c r="M27" s="3"/>
      <c r="N27" s="3"/>
      <c r="O27" s="3">
        <v>2.2095712247068633</v>
      </c>
      <c r="P27" s="3">
        <v>4.0085864842158259</v>
      </c>
      <c r="Q27" s="3">
        <v>-18.283343607508243</v>
      </c>
      <c r="R27" s="3">
        <v>30.044798161398973</v>
      </c>
      <c r="S27" s="3">
        <v>4.984992792931962</v>
      </c>
      <c r="T27" s="3">
        <v>61.068435615397021</v>
      </c>
      <c r="U27" s="3">
        <v>5.0861683863563627</v>
      </c>
      <c r="V27" s="3">
        <v>2.434851265451158</v>
      </c>
      <c r="W27" s="3">
        <v>-0.11215094828463634</v>
      </c>
      <c r="X27" s="3">
        <v>1.9620276905335317</v>
      </c>
      <c r="Y27" s="3">
        <v>2.3342618396408739</v>
      </c>
      <c r="Z27" s="3">
        <v>0.59127231764068711</v>
      </c>
      <c r="AA27" s="3">
        <v>0.81167679207577237</v>
      </c>
      <c r="AB27" s="3"/>
      <c r="AC27" s="3"/>
      <c r="AD27" s="3"/>
      <c r="AE27" t="s">
        <v>5324</v>
      </c>
      <c r="AF27" s="4" t="s">
        <v>1575</v>
      </c>
    </row>
    <row r="28" spans="1:32" ht="187.2" x14ac:dyDescent="0.3">
      <c r="A28" t="s">
        <v>1826</v>
      </c>
      <c r="B28" s="1" t="s">
        <v>1205</v>
      </c>
      <c r="C28" s="5" t="s">
        <v>2096</v>
      </c>
      <c r="D28" s="2" t="s">
        <v>3611</v>
      </c>
      <c r="E28" s="1" t="s">
        <v>1351</v>
      </c>
      <c r="F28" s="3"/>
      <c r="G28" s="3"/>
      <c r="H28" s="3"/>
      <c r="I28" s="3"/>
      <c r="J28" s="3"/>
      <c r="K28" s="3"/>
      <c r="L28" s="3"/>
      <c r="M28" s="3"/>
      <c r="N28" s="3">
        <v>854.61271072909074</v>
      </c>
      <c r="O28" s="3">
        <v>873.495987268048</v>
      </c>
      <c r="P28" s="3">
        <v>908.51082935384261</v>
      </c>
      <c r="Q28" s="3">
        <v>742.40467271165653</v>
      </c>
      <c r="R28" s="3">
        <v>965.45865816866842</v>
      </c>
      <c r="S28" s="3">
        <v>1013.5867026971142</v>
      </c>
      <c r="T28" s="3">
        <v>1632.5682456399272</v>
      </c>
      <c r="U28" s="3">
        <v>1715.603415635358</v>
      </c>
      <c r="V28" s="3">
        <v>1757.3758071110785</v>
      </c>
      <c r="W28" s="3">
        <v>1755.4048934784787</v>
      </c>
      <c r="X28" s="3">
        <v>1789.8464235695069</v>
      </c>
      <c r="Y28" s="3">
        <v>1831.6261256230671</v>
      </c>
      <c r="Z28" s="3">
        <v>1842.4560238665508</v>
      </c>
      <c r="AA28" s="3">
        <v>1857.4108118164772</v>
      </c>
      <c r="AB28" s="3"/>
      <c r="AC28" s="3"/>
      <c r="AD28" s="3"/>
      <c r="AE28" t="s">
        <v>5325</v>
      </c>
      <c r="AF28" s="4" t="s">
        <v>1575</v>
      </c>
    </row>
    <row r="29" spans="1:32" ht="187.2" x14ac:dyDescent="0.3">
      <c r="A29" t="s">
        <v>1826</v>
      </c>
      <c r="B29" s="1" t="s">
        <v>1205</v>
      </c>
      <c r="C29" s="5" t="s">
        <v>2097</v>
      </c>
      <c r="D29" s="2" t="s">
        <v>3612</v>
      </c>
      <c r="E29" s="1" t="s">
        <v>1196</v>
      </c>
      <c r="F29" s="3">
        <v>501.38670972834967</v>
      </c>
      <c r="G29" s="3">
        <v>504.5245287927001</v>
      </c>
      <c r="H29" s="3">
        <v>539.89303052881758</v>
      </c>
      <c r="I29" s="3">
        <v>638.85697076164956</v>
      </c>
      <c r="J29" s="3">
        <v>700.53492425930585</v>
      </c>
      <c r="K29" s="3">
        <v>748.06927252187495</v>
      </c>
      <c r="L29" s="3">
        <v>749.70047803912257</v>
      </c>
      <c r="M29" s="3">
        <v>852.06417483575558</v>
      </c>
      <c r="N29" s="3">
        <v>996.24508820477263</v>
      </c>
      <c r="O29" s="3">
        <v>996.07882637231944</v>
      </c>
      <c r="P29" s="3">
        <v>1005.8008052147439</v>
      </c>
      <c r="Q29" s="3">
        <v>982.61182855013919</v>
      </c>
      <c r="R29" s="3">
        <v>1040.7160086953986</v>
      </c>
      <c r="S29" s="3">
        <v>1183.4051232893707</v>
      </c>
      <c r="T29" s="3">
        <v>1894.4726824975705</v>
      </c>
      <c r="U29" s="3">
        <v>1715.603415635358</v>
      </c>
      <c r="V29" s="3">
        <v>1720.5881565595364</v>
      </c>
      <c r="W29" s="3">
        <v>1783.1538696541875</v>
      </c>
      <c r="X29" s="3">
        <v>1947.7121399043874</v>
      </c>
      <c r="Y29" s="3">
        <v>1929.0450741959753</v>
      </c>
      <c r="Z29" s="3">
        <v>1972.1154815440875</v>
      </c>
      <c r="AA29" s="3">
        <v>2164.0431781545626</v>
      </c>
      <c r="AB29" s="3"/>
      <c r="AC29" s="3"/>
      <c r="AD29" s="3"/>
      <c r="AE29" t="s">
        <v>5323</v>
      </c>
      <c r="AF29" s="4" t="s">
        <v>1575</v>
      </c>
    </row>
    <row r="30" spans="1:32" ht="187.2" x14ac:dyDescent="0.3">
      <c r="A30" t="s">
        <v>1826</v>
      </c>
      <c r="B30" s="1" t="s">
        <v>1205</v>
      </c>
      <c r="C30" s="5" t="s">
        <v>2098</v>
      </c>
      <c r="D30" s="2" t="s">
        <v>3613</v>
      </c>
      <c r="E30" s="1" t="s">
        <v>847</v>
      </c>
      <c r="F30" s="3"/>
      <c r="G30" s="3"/>
      <c r="H30" s="3"/>
      <c r="I30" s="3"/>
      <c r="J30" s="3"/>
      <c r="K30" s="3">
        <v>-32.870951785806199</v>
      </c>
      <c r="L30" s="3">
        <v>-33.726031234268397</v>
      </c>
      <c r="M30" s="3">
        <v>-34.211026801490803</v>
      </c>
      <c r="N30" s="3">
        <v>-25.331353439496301</v>
      </c>
      <c r="O30" s="3">
        <v>-20.712648281754898</v>
      </c>
      <c r="P30" s="3">
        <v>-18.649031598947101</v>
      </c>
      <c r="Q30" s="3">
        <v>-22.977233196825999</v>
      </c>
      <c r="R30" s="3">
        <v>-16.4419948083581</v>
      </c>
      <c r="S30" s="3">
        <v>-13.547204270161499</v>
      </c>
      <c r="T30" s="3">
        <v>24.074338967297798</v>
      </c>
      <c r="U30" s="3">
        <v>22.301134456738001</v>
      </c>
      <c r="V30" s="3">
        <v>19.2056476277488</v>
      </c>
      <c r="W30" s="3">
        <v>16.094777447109699</v>
      </c>
      <c r="X30" s="3">
        <v>14.608291132173299</v>
      </c>
      <c r="Y30" s="3">
        <v>15.901430283028599</v>
      </c>
      <c r="Z30" s="3">
        <v>20.056665374704998</v>
      </c>
      <c r="AA30" s="3"/>
      <c r="AB30" s="3"/>
      <c r="AC30" s="3"/>
      <c r="AD30" s="3"/>
      <c r="AE30" t="s">
        <v>5326</v>
      </c>
      <c r="AF30" s="4" t="s">
        <v>718</v>
      </c>
    </row>
    <row r="31" spans="1:32" ht="187.2" x14ac:dyDescent="0.3">
      <c r="A31" t="s">
        <v>1826</v>
      </c>
      <c r="B31" s="1" t="s">
        <v>1205</v>
      </c>
      <c r="C31" s="5" t="s">
        <v>2099</v>
      </c>
      <c r="D31" s="2" t="s">
        <v>3614</v>
      </c>
      <c r="E31" s="1" t="s">
        <v>404</v>
      </c>
      <c r="F31" s="3"/>
      <c r="G31" s="3"/>
      <c r="H31" s="3"/>
      <c r="I31" s="3"/>
      <c r="J31" s="3"/>
      <c r="K31" s="3">
        <v>-5403783837.4808598</v>
      </c>
      <c r="L31" s="3">
        <v>-5769333875.3551197</v>
      </c>
      <c r="M31" s="3">
        <v>-6692092683.6477299</v>
      </c>
      <c r="N31" s="3">
        <v>-5932980865.02565</v>
      </c>
      <c r="O31" s="3">
        <v>-4854370595.5626402</v>
      </c>
      <c r="P31" s="3">
        <v>-4474945070.8319597</v>
      </c>
      <c r="Q31" s="3">
        <v>-5612252679.8958797</v>
      </c>
      <c r="R31" s="3">
        <v>-4262860363.6728902</v>
      </c>
      <c r="S31" s="3">
        <v>-4045436914.0627999</v>
      </c>
      <c r="T31" s="3">
        <v>11539710568.7899</v>
      </c>
      <c r="U31" s="3">
        <v>9992555077.9253101</v>
      </c>
      <c r="V31" s="3">
        <v>9005073611.7415295</v>
      </c>
      <c r="W31" s="3">
        <v>8055752700.22929</v>
      </c>
      <c r="X31" s="3">
        <v>8152763890.06394</v>
      </c>
      <c r="Y31" s="3">
        <v>9059935897.5227604</v>
      </c>
      <c r="Z31" s="3">
        <v>11934151521.127899</v>
      </c>
      <c r="AA31" s="3"/>
      <c r="AB31" s="3"/>
      <c r="AC31" s="3"/>
      <c r="AD31" s="3"/>
      <c r="AE31" t="s">
        <v>5327</v>
      </c>
      <c r="AF31" s="4" t="s">
        <v>718</v>
      </c>
    </row>
    <row r="32" spans="1:32" ht="187.2" x14ac:dyDescent="0.3">
      <c r="A32" t="s">
        <v>1826</v>
      </c>
      <c r="B32" s="1" t="s">
        <v>1205</v>
      </c>
      <c r="C32" s="5" t="s">
        <v>2100</v>
      </c>
      <c r="D32" s="2" t="s">
        <v>3615</v>
      </c>
      <c r="E32" s="1" t="s">
        <v>1559</v>
      </c>
      <c r="F32" s="3"/>
      <c r="G32" s="3"/>
      <c r="H32" s="3"/>
      <c r="I32" s="3"/>
      <c r="J32" s="3"/>
      <c r="K32" s="3">
        <v>-36.6782549110075</v>
      </c>
      <c r="L32" s="3">
        <v>-37.421423121060698</v>
      </c>
      <c r="M32" s="3">
        <v>-37.767018260278199</v>
      </c>
      <c r="N32" s="3">
        <v>-28.608189108107599</v>
      </c>
      <c r="O32" s="3">
        <v>-23.797098648083299</v>
      </c>
      <c r="P32" s="3">
        <v>-21.5191911997955</v>
      </c>
      <c r="Q32" s="3">
        <v>-25.9728351685125</v>
      </c>
      <c r="R32" s="3">
        <v>-19.018908593837299</v>
      </c>
      <c r="S32" s="3">
        <v>-15.9623412128614</v>
      </c>
      <c r="T32" s="3">
        <v>22.500153331494101</v>
      </c>
      <c r="U32" s="3">
        <v>20.836304648892099</v>
      </c>
      <c r="V32" s="3">
        <v>17.862934718656401</v>
      </c>
      <c r="W32" s="3">
        <v>14.876434085131301</v>
      </c>
      <c r="X32" s="3">
        <v>13.4420582230823</v>
      </c>
      <c r="Y32" s="3">
        <v>14.8203988308974</v>
      </c>
      <c r="Z32" s="3">
        <v>19.005719332756801</v>
      </c>
      <c r="AA32" s="3"/>
      <c r="AB32" s="3"/>
      <c r="AC32" s="3"/>
      <c r="AD32" s="3"/>
      <c r="AE32" t="s">
        <v>5328</v>
      </c>
      <c r="AF32" s="4" t="s">
        <v>718</v>
      </c>
    </row>
    <row r="33" spans="1:32" ht="187.2" x14ac:dyDescent="0.3">
      <c r="A33" t="s">
        <v>1826</v>
      </c>
      <c r="B33" s="1" t="s">
        <v>1205</v>
      </c>
      <c r="C33" s="5" t="s">
        <v>2101</v>
      </c>
      <c r="D33" s="2" t="s">
        <v>3616</v>
      </c>
      <c r="E33" s="1" t="s">
        <v>926</v>
      </c>
      <c r="F33" s="3"/>
      <c r="G33" s="3"/>
      <c r="H33" s="3"/>
      <c r="I33" s="3"/>
      <c r="J33" s="3"/>
      <c r="K33" s="3">
        <v>-6029681232.4335899</v>
      </c>
      <c r="L33" s="3">
        <v>-6401485030.2624502</v>
      </c>
      <c r="M33" s="3">
        <v>-7387687836.7118998</v>
      </c>
      <c r="N33" s="3">
        <v>-6700464661.9786901</v>
      </c>
      <c r="O33" s="3">
        <v>-5577265367.7857704</v>
      </c>
      <c r="P33" s="3">
        <v>-5163656787.0501299</v>
      </c>
      <c r="Q33" s="3">
        <v>-6343936736.43501</v>
      </c>
      <c r="R33" s="3">
        <v>-4930968082.0342398</v>
      </c>
      <c r="S33" s="3">
        <v>-4766639897.7687702</v>
      </c>
      <c r="T33" s="3">
        <v>10785145858.066299</v>
      </c>
      <c r="U33" s="3">
        <v>9336203152.7314701</v>
      </c>
      <c r="V33" s="3">
        <v>8375507308.11203</v>
      </c>
      <c r="W33" s="3">
        <v>7445947882.4667101</v>
      </c>
      <c r="X33" s="3">
        <v>7501899154.2358799</v>
      </c>
      <c r="Y33" s="3">
        <v>8444011701.6994896</v>
      </c>
      <c r="Z33" s="3">
        <v>11308815800.018499</v>
      </c>
      <c r="AA33" s="3"/>
      <c r="AB33" s="3"/>
      <c r="AC33" s="3"/>
      <c r="AD33" s="3"/>
      <c r="AE33" t="s">
        <v>5329</v>
      </c>
      <c r="AF33" s="4" t="s">
        <v>718</v>
      </c>
    </row>
    <row r="34" spans="1:32" ht="187.2" x14ac:dyDescent="0.3">
      <c r="A34" t="s">
        <v>1826</v>
      </c>
      <c r="B34" s="1" t="s">
        <v>1205</v>
      </c>
      <c r="C34" s="5" t="s">
        <v>2102</v>
      </c>
      <c r="D34" s="2" t="s">
        <v>3617</v>
      </c>
      <c r="E34" s="1" t="s">
        <v>37</v>
      </c>
      <c r="F34" s="3">
        <v>1.23689955335447</v>
      </c>
      <c r="G34" s="3">
        <v>1.26960625232108</v>
      </c>
      <c r="H34" s="3">
        <v>1.26955994685454</v>
      </c>
      <c r="I34" s="3">
        <v>0.85520268067734595</v>
      </c>
      <c r="J34" s="3">
        <v>0.81598823723268099</v>
      </c>
      <c r="K34" s="3">
        <v>0.83218132569828696</v>
      </c>
      <c r="L34" s="3">
        <v>0.81715035606014397</v>
      </c>
      <c r="M34" s="3">
        <v>0.74516524988458299</v>
      </c>
      <c r="N34" s="3">
        <v>0.74137109491173803</v>
      </c>
      <c r="O34" s="3">
        <v>0.71056535713567803</v>
      </c>
      <c r="P34" s="3">
        <v>0.75627163750658999</v>
      </c>
      <c r="Q34" s="3">
        <v>0.74738039258432498</v>
      </c>
      <c r="R34" s="3">
        <v>0.96349924406194898</v>
      </c>
      <c r="S34" s="3">
        <v>0.94069258772134101</v>
      </c>
      <c r="T34" s="3">
        <v>0.64624940032814004</v>
      </c>
      <c r="U34" s="3">
        <v>0.76130613704324301</v>
      </c>
      <c r="V34" s="3">
        <v>0.73450457533673497</v>
      </c>
      <c r="W34" s="3">
        <v>0.789428546750368</v>
      </c>
      <c r="X34" s="3">
        <v>0.71535109114512596</v>
      </c>
      <c r="Y34" s="3">
        <v>0.77513124981301496</v>
      </c>
      <c r="Z34" s="3">
        <v>0.77750497871844604</v>
      </c>
      <c r="AA34" s="3">
        <v>0.77236708924931197</v>
      </c>
      <c r="AB34" s="3"/>
      <c r="AC34" s="3"/>
      <c r="AD34" s="3"/>
      <c r="AE34" t="s">
        <v>5330</v>
      </c>
      <c r="AF34" s="4" t="s">
        <v>718</v>
      </c>
    </row>
    <row r="35" spans="1:32" ht="187.2" x14ac:dyDescent="0.3">
      <c r="A35" t="s">
        <v>1826</v>
      </c>
      <c r="B35" s="1" t="s">
        <v>1205</v>
      </c>
      <c r="C35" s="5" t="s">
        <v>2103</v>
      </c>
      <c r="D35" s="2" t="s">
        <v>3618</v>
      </c>
      <c r="E35" s="1" t="s">
        <v>1264</v>
      </c>
      <c r="F35" s="3">
        <v>120464857.064375</v>
      </c>
      <c r="G35" s="3">
        <v>125950397.543428</v>
      </c>
      <c r="H35" s="3">
        <v>137844894.69065201</v>
      </c>
      <c r="I35" s="3">
        <v>111578406.889185</v>
      </c>
      <c r="J35" s="3">
        <v>120681519.58816101</v>
      </c>
      <c r="K35" s="3">
        <v>136805530.517178</v>
      </c>
      <c r="L35" s="3">
        <v>139785591.66149601</v>
      </c>
      <c r="M35" s="3">
        <v>145763380.49707001</v>
      </c>
      <c r="N35" s="3">
        <v>173640170.095938</v>
      </c>
      <c r="O35" s="3">
        <v>166533392.01164901</v>
      </c>
      <c r="P35" s="3">
        <v>181471837.747392</v>
      </c>
      <c r="Q35" s="3">
        <v>182549725.42831799</v>
      </c>
      <c r="R35" s="3">
        <v>249803189.078529</v>
      </c>
      <c r="S35" s="3">
        <v>280907591.20942998</v>
      </c>
      <c r="T35" s="3">
        <v>309770957.58147103</v>
      </c>
      <c r="U35" s="3">
        <v>341121368.52610701</v>
      </c>
      <c r="V35" s="3">
        <v>344391811.05831599</v>
      </c>
      <c r="W35" s="3">
        <v>395124515.88849998</v>
      </c>
      <c r="X35" s="3">
        <v>399231401.663486</v>
      </c>
      <c r="Y35" s="3">
        <v>441635708.89392298</v>
      </c>
      <c r="Z35" s="3">
        <v>462632349.45124602</v>
      </c>
      <c r="AA35" s="3">
        <v>524676339.44529599</v>
      </c>
      <c r="AB35" s="3"/>
      <c r="AC35" s="3"/>
      <c r="AD35" s="3"/>
      <c r="AE35" t="s">
        <v>5331</v>
      </c>
      <c r="AF35" s="4" t="s">
        <v>718</v>
      </c>
    </row>
    <row r="36" spans="1:32" ht="187.2" x14ac:dyDescent="0.3">
      <c r="A36" t="s">
        <v>1826</v>
      </c>
      <c r="B36" s="1" t="s">
        <v>1205</v>
      </c>
      <c r="C36" s="5" t="s">
        <v>2104</v>
      </c>
      <c r="D36" s="2" t="s">
        <v>3619</v>
      </c>
      <c r="E36" s="1" t="s">
        <v>108</v>
      </c>
      <c r="F36" s="3">
        <v>8.4088373117290995</v>
      </c>
      <c r="G36" s="3">
        <v>7.2194717794864802</v>
      </c>
      <c r="H36" s="3">
        <v>6.57202724199571</v>
      </c>
      <c r="I36" s="3">
        <v>5.5543408565175403</v>
      </c>
      <c r="J36" s="3">
        <v>5.9358357214938602</v>
      </c>
      <c r="K36" s="3">
        <v>5.9360809723493704</v>
      </c>
      <c r="L36" s="3">
        <v>4.99644088711704</v>
      </c>
      <c r="M36" s="3">
        <v>4.6139668455586804</v>
      </c>
      <c r="N36" s="3">
        <v>4.2451392923226496</v>
      </c>
      <c r="O36" s="3">
        <v>4.23520973489582</v>
      </c>
      <c r="P36" s="3">
        <v>4.0508248651404299</v>
      </c>
      <c r="Q36" s="3">
        <v>4.4607826584086299</v>
      </c>
      <c r="R36" s="3">
        <v>3.74915598279703</v>
      </c>
      <c r="S36" s="3">
        <v>3.6000814747467098</v>
      </c>
      <c r="T36" s="3">
        <v>2.3062161839466602</v>
      </c>
      <c r="U36" s="3">
        <v>2.7500048186515502</v>
      </c>
      <c r="V36" s="3">
        <v>3.9161198630428902</v>
      </c>
      <c r="W36" s="3">
        <v>3.8824799628368298</v>
      </c>
      <c r="X36" s="3">
        <v>3.1140265077872602</v>
      </c>
      <c r="Y36" s="3">
        <v>3.4617578498933601</v>
      </c>
      <c r="Z36" s="3">
        <v>3.3161058251643598</v>
      </c>
      <c r="AA36" s="3">
        <v>3.1585720774024901</v>
      </c>
      <c r="AB36" s="3"/>
      <c r="AC36" s="3"/>
      <c r="AD36" s="3"/>
      <c r="AE36" t="s">
        <v>5332</v>
      </c>
      <c r="AF36" s="4" t="s">
        <v>718</v>
      </c>
    </row>
    <row r="37" spans="1:32" ht="187.2" x14ac:dyDescent="0.3">
      <c r="A37" t="s">
        <v>1826</v>
      </c>
      <c r="B37" s="1" t="s">
        <v>1205</v>
      </c>
      <c r="C37" s="5" t="s">
        <v>2105</v>
      </c>
      <c r="D37" s="2" t="s">
        <v>3620</v>
      </c>
      <c r="E37" s="1" t="s">
        <v>1273</v>
      </c>
      <c r="F37" s="3">
        <v>818958485.42256701</v>
      </c>
      <c r="G37" s="3">
        <v>716202632.91671896</v>
      </c>
      <c r="H37" s="3">
        <v>713570403.13180602</v>
      </c>
      <c r="I37" s="3">
        <v>724675586.37548101</v>
      </c>
      <c r="J37" s="3">
        <v>877887256.46948302</v>
      </c>
      <c r="K37" s="3">
        <v>975855479.49390996</v>
      </c>
      <c r="L37" s="3">
        <v>854714729.58146405</v>
      </c>
      <c r="M37" s="3">
        <v>902547998.60058403</v>
      </c>
      <c r="N37" s="3">
        <v>994274950.64075899</v>
      </c>
      <c r="O37" s="3">
        <v>992595312.94358504</v>
      </c>
      <c r="P37" s="3">
        <v>972019306.57284701</v>
      </c>
      <c r="Q37" s="3">
        <v>1089558486.63908</v>
      </c>
      <c r="R37" s="3">
        <v>972030986.66398799</v>
      </c>
      <c r="S37" s="3">
        <v>1075048563.61041</v>
      </c>
      <c r="T37" s="3">
        <v>1105453707.69907</v>
      </c>
      <c r="U37" s="3">
        <v>1232205234.59214</v>
      </c>
      <c r="V37" s="3">
        <v>1836175916.7211201</v>
      </c>
      <c r="W37" s="3">
        <v>1943257590.6680501</v>
      </c>
      <c r="X37" s="3">
        <v>1737911890.9723499</v>
      </c>
      <c r="Y37" s="3">
        <v>1972357432.9193399</v>
      </c>
      <c r="Z37" s="3">
        <v>1973154990.53582</v>
      </c>
      <c r="AA37" s="3">
        <v>2145648174.9583299</v>
      </c>
      <c r="AB37" s="3"/>
      <c r="AC37" s="3"/>
      <c r="AD37" s="3"/>
      <c r="AE37" t="s">
        <v>5333</v>
      </c>
      <c r="AF37" s="4" t="s">
        <v>718</v>
      </c>
    </row>
    <row r="38" spans="1:32" ht="187.2" x14ac:dyDescent="0.3">
      <c r="A38" t="s">
        <v>1826</v>
      </c>
      <c r="B38" s="1" t="s">
        <v>1205</v>
      </c>
      <c r="C38" s="5" t="s">
        <v>2106</v>
      </c>
      <c r="D38" s="2" t="s">
        <v>3621</v>
      </c>
      <c r="E38" s="1" t="s">
        <v>1375</v>
      </c>
      <c r="F38" s="3">
        <v>3.94</v>
      </c>
      <c r="G38" s="3">
        <v>3.96</v>
      </c>
      <c r="H38" s="3">
        <v>4.41</v>
      </c>
      <c r="I38" s="3">
        <v>4.43</v>
      </c>
      <c r="J38" s="3">
        <v>4.32</v>
      </c>
      <c r="K38" s="3">
        <v>4.0599999999999996</v>
      </c>
      <c r="L38" s="3">
        <v>4.04</v>
      </c>
      <c r="M38" s="3">
        <v>4.1900000000000004</v>
      </c>
      <c r="N38" s="3">
        <v>4.2442747309401296</v>
      </c>
      <c r="O38" s="3">
        <v>4.1948144298249801</v>
      </c>
      <c r="P38" s="3">
        <v>4.3967807096178397</v>
      </c>
      <c r="Q38" s="3">
        <v>4.0171461570900604</v>
      </c>
      <c r="R38" s="3">
        <v>4.1858400133876197</v>
      </c>
      <c r="S38" s="3">
        <v>4.4275188586455201</v>
      </c>
      <c r="T38" s="3">
        <v>4.5599999999999996</v>
      </c>
      <c r="U38" s="3">
        <v>3.3622455984771999</v>
      </c>
      <c r="V38" s="3">
        <v>3.7961523304403699</v>
      </c>
      <c r="W38" s="3">
        <v>3.66676233692437</v>
      </c>
      <c r="X38" s="3">
        <v>3.1864478485421199</v>
      </c>
      <c r="Y38" s="3">
        <v>3.1864478485421199</v>
      </c>
      <c r="Z38" s="3">
        <v>3.1864478485421199</v>
      </c>
      <c r="AA38" s="3">
        <v>3.1864478485421199</v>
      </c>
      <c r="AB38" s="3"/>
      <c r="AC38" s="3"/>
      <c r="AD38" s="3"/>
      <c r="AE38" t="s">
        <v>5334</v>
      </c>
      <c r="AF38" s="4" t="s">
        <v>718</v>
      </c>
    </row>
    <row r="39" spans="1:32" ht="187.2" x14ac:dyDescent="0.3">
      <c r="A39" t="s">
        <v>1826</v>
      </c>
      <c r="B39" s="1" t="s">
        <v>1205</v>
      </c>
      <c r="C39" s="5" t="s">
        <v>2107</v>
      </c>
      <c r="D39" s="2" t="s">
        <v>3622</v>
      </c>
      <c r="E39" s="1" t="s">
        <v>400</v>
      </c>
      <c r="F39" s="3">
        <v>383726823.69108802</v>
      </c>
      <c r="G39" s="3">
        <v>392849021.78147203</v>
      </c>
      <c r="H39" s="3">
        <v>478824168.24183398</v>
      </c>
      <c r="I39" s="3">
        <v>577982686.078107</v>
      </c>
      <c r="J39" s="3">
        <v>638911372.53268194</v>
      </c>
      <c r="K39" s="3">
        <v>667439218.77083397</v>
      </c>
      <c r="L39" s="3">
        <v>691101443.111745</v>
      </c>
      <c r="M39" s="3">
        <v>819614930.21490097</v>
      </c>
      <c r="N39" s="3">
        <v>994072457.46756899</v>
      </c>
      <c r="O39" s="3">
        <v>983127968.23386097</v>
      </c>
      <c r="P39" s="3">
        <v>1055033450.91357</v>
      </c>
      <c r="Q39" s="3">
        <v>981199045.70479405</v>
      </c>
      <c r="R39" s="3">
        <v>1085248577.7866499</v>
      </c>
      <c r="S39" s="3">
        <v>1322136130.1773801</v>
      </c>
      <c r="T39" s="3">
        <v>2185774665.0971999</v>
      </c>
      <c r="U39" s="3">
        <v>1506534315.25966</v>
      </c>
      <c r="V39" s="3">
        <v>1779925980.0856199</v>
      </c>
      <c r="W39" s="3">
        <v>1835286675.6838601</v>
      </c>
      <c r="X39" s="3">
        <v>1778329629.5315101</v>
      </c>
      <c r="Y39" s="3">
        <v>1815497897.65783</v>
      </c>
      <c r="Z39" s="3">
        <v>1896005678.3234301</v>
      </c>
      <c r="AA39" s="3">
        <v>2164584452.4931102</v>
      </c>
      <c r="AB39" s="3"/>
      <c r="AC39" s="3"/>
      <c r="AD39" s="3"/>
      <c r="AE39" t="s">
        <v>5335</v>
      </c>
      <c r="AF39" s="4" t="s">
        <v>718</v>
      </c>
    </row>
    <row r="40" spans="1:32" ht="187.2" x14ac:dyDescent="0.3">
      <c r="A40" t="s">
        <v>1826</v>
      </c>
      <c r="B40" s="1" t="s">
        <v>1205</v>
      </c>
      <c r="C40" s="5" t="s">
        <v>2108</v>
      </c>
      <c r="D40" s="2" t="s">
        <v>3623</v>
      </c>
      <c r="E40" s="1" t="s">
        <v>683</v>
      </c>
      <c r="F40" s="3">
        <v>0.47493978538409098</v>
      </c>
      <c r="G40" s="3">
        <v>0.32780529952853299</v>
      </c>
      <c r="H40" s="3">
        <v>0.66809451872006798</v>
      </c>
      <c r="I40" s="3">
        <v>0.78183557140598903</v>
      </c>
      <c r="J40" s="3">
        <v>1.24916034854166</v>
      </c>
      <c r="K40" s="3">
        <v>2.74302987517689</v>
      </c>
      <c r="L40" s="3">
        <v>4.9465121824447396</v>
      </c>
      <c r="M40" s="3">
        <v>3.7793278764266698</v>
      </c>
      <c r="N40" s="3">
        <v>4.1334646047796797</v>
      </c>
      <c r="O40" s="3">
        <v>2.0281947279467798</v>
      </c>
      <c r="P40" s="3">
        <v>1.5880177250626599</v>
      </c>
      <c r="Q40" s="3">
        <v>2.3345814159940699</v>
      </c>
      <c r="R40" s="3">
        <v>1.4825047595740899</v>
      </c>
      <c r="S40" s="3">
        <v>1.1225796462751201</v>
      </c>
      <c r="T40" s="3">
        <v>0.47987546633015299</v>
      </c>
      <c r="U40" s="3">
        <v>0.30212426116501001</v>
      </c>
      <c r="V40" s="3">
        <v>0.27374586168735399</v>
      </c>
      <c r="W40" s="3">
        <v>0.56012141758838696</v>
      </c>
      <c r="X40" s="3">
        <v>0.67189779588644205</v>
      </c>
      <c r="Y40" s="3">
        <v>0.62282418029925501</v>
      </c>
      <c r="Z40" s="3">
        <v>0.300225436080994</v>
      </c>
      <c r="AA40" s="3">
        <v>0.53180670219214499</v>
      </c>
      <c r="AB40" s="3"/>
      <c r="AC40" s="3"/>
      <c r="AD40" s="3"/>
      <c r="AE40" t="s">
        <v>5336</v>
      </c>
      <c r="AF40" s="4" t="s">
        <v>718</v>
      </c>
    </row>
    <row r="41" spans="1:32" ht="187.2" x14ac:dyDescent="0.3">
      <c r="A41" t="s">
        <v>1826</v>
      </c>
      <c r="B41" s="1" t="s">
        <v>1205</v>
      </c>
      <c r="C41" s="5" t="s">
        <v>2109</v>
      </c>
      <c r="D41" s="2" t="s">
        <v>3624</v>
      </c>
      <c r="E41" s="1" t="s">
        <v>734</v>
      </c>
      <c r="F41" s="3">
        <v>46255618.093899503</v>
      </c>
      <c r="G41" s="3">
        <v>32519694.761254199</v>
      </c>
      <c r="H41" s="3">
        <v>72539637.694572493</v>
      </c>
      <c r="I41" s="3">
        <v>102006190.436263</v>
      </c>
      <c r="J41" s="3">
        <v>184746007.59262899</v>
      </c>
      <c r="K41" s="3">
        <v>450937368.70766598</v>
      </c>
      <c r="L41" s="3">
        <v>846173690.01420403</v>
      </c>
      <c r="M41" s="3">
        <v>739282471.04932594</v>
      </c>
      <c r="N41" s="3">
        <v>968119072.87123203</v>
      </c>
      <c r="O41" s="3">
        <v>475342829.92159402</v>
      </c>
      <c r="P41" s="3">
        <v>381054214.71665698</v>
      </c>
      <c r="Q41" s="3">
        <v>570227959.82928598</v>
      </c>
      <c r="R41" s="3">
        <v>384363993.06805599</v>
      </c>
      <c r="S41" s="3">
        <v>335222312.25371498</v>
      </c>
      <c r="T41" s="3">
        <v>230021850.15485901</v>
      </c>
      <c r="U41" s="3">
        <v>135373979.558099</v>
      </c>
      <c r="V41" s="3">
        <v>128352955.50474399</v>
      </c>
      <c r="W41" s="3">
        <v>280351787.219289</v>
      </c>
      <c r="X41" s="3">
        <v>374980484.61343801</v>
      </c>
      <c r="Y41" s="3">
        <v>354857836.59101701</v>
      </c>
      <c r="Z41" s="3">
        <v>178640655.25099599</v>
      </c>
      <c r="AA41" s="3">
        <v>361261371.28634501</v>
      </c>
      <c r="AB41" s="3"/>
      <c r="AC41" s="3"/>
      <c r="AD41" s="3"/>
      <c r="AE41" t="s">
        <v>5337</v>
      </c>
      <c r="AF41" s="4" t="s">
        <v>718</v>
      </c>
    </row>
    <row r="42" spans="1:32" ht="187.2" x14ac:dyDescent="0.3">
      <c r="A42" t="s">
        <v>1826</v>
      </c>
      <c r="B42" s="1" t="s">
        <v>1205</v>
      </c>
      <c r="C42" s="5" t="s">
        <v>2110</v>
      </c>
      <c r="D42" s="2" t="s">
        <v>3625</v>
      </c>
      <c r="E42" s="1" t="s">
        <v>1140</v>
      </c>
      <c r="F42" s="3"/>
      <c r="G42" s="3"/>
      <c r="H42" s="3"/>
      <c r="I42" s="3"/>
      <c r="J42" s="3"/>
      <c r="K42" s="3">
        <v>-27.4196596125817</v>
      </c>
      <c r="L42" s="3">
        <v>-26.996366146592401</v>
      </c>
      <c r="M42" s="3">
        <v>-29.262566829620798</v>
      </c>
      <c r="N42" s="3">
        <v>-20.347019692819099</v>
      </c>
      <c r="O42" s="3">
        <v>-17.689752696478202</v>
      </c>
      <c r="P42" s="3">
        <v>-16.550670915272502</v>
      </c>
      <c r="Q42" s="3">
        <v>-18.701982171413899</v>
      </c>
      <c r="R42" s="3">
        <v>-13.862979717557399</v>
      </c>
      <c r="S42" s="3">
        <v>-11.9059649412645</v>
      </c>
      <c r="T42" s="3">
        <v>23.2214339008179</v>
      </c>
      <c r="U42" s="3">
        <v>23.0359710286642</v>
      </c>
      <c r="V42" s="3">
        <v>20.773303176480699</v>
      </c>
      <c r="W42" s="3">
        <v>17.976999442350799</v>
      </c>
      <c r="X42" s="3">
        <v>16.2885780656066</v>
      </c>
      <c r="Y42" s="3">
        <v>18.035951507118</v>
      </c>
      <c r="Z42" s="3">
        <v>21.811549222026201</v>
      </c>
      <c r="AA42" s="3"/>
      <c r="AB42" s="3"/>
      <c r="AC42" s="3"/>
      <c r="AD42" s="3"/>
      <c r="AE42" t="s">
        <v>5338</v>
      </c>
      <c r="AF42" s="4" t="s">
        <v>718</v>
      </c>
    </row>
    <row r="43" spans="1:32" ht="187.2" x14ac:dyDescent="0.3">
      <c r="A43" t="s">
        <v>1826</v>
      </c>
      <c r="B43" s="1" t="s">
        <v>1205</v>
      </c>
      <c r="C43" s="5" t="s">
        <v>2111</v>
      </c>
      <c r="D43" s="2" t="s">
        <v>3626</v>
      </c>
      <c r="E43" s="1" t="s">
        <v>1569</v>
      </c>
      <c r="F43" s="3">
        <v>0</v>
      </c>
      <c r="G43" s="3">
        <v>0</v>
      </c>
      <c r="H43" s="3">
        <v>0</v>
      </c>
      <c r="I43" s="3">
        <v>1.41459705385937E-2</v>
      </c>
      <c r="J43" s="3">
        <v>0</v>
      </c>
      <c r="K43" s="3">
        <v>0</v>
      </c>
      <c r="L43" s="3">
        <v>9.5616620540439207E-3</v>
      </c>
      <c r="M43" s="3">
        <v>0</v>
      </c>
      <c r="N43" s="3">
        <v>0.108633485603264</v>
      </c>
      <c r="O43" s="3">
        <v>0.24374019512346201</v>
      </c>
      <c r="P43" s="3">
        <v>0.100027165582819</v>
      </c>
      <c r="Q43" s="3">
        <v>0.74965271551506696</v>
      </c>
      <c r="R43" s="3">
        <v>0.56969511775529702</v>
      </c>
      <c r="S43" s="3">
        <v>0.40540447879934799</v>
      </c>
      <c r="T43" s="3">
        <v>0.274753882915241</v>
      </c>
      <c r="U43" s="3">
        <v>0.28364695354362202</v>
      </c>
      <c r="V43" s="3">
        <v>0.43943757910539999</v>
      </c>
      <c r="W43" s="3">
        <v>0.31695440498995597</v>
      </c>
      <c r="X43" s="3">
        <v>0.36545938715662102</v>
      </c>
      <c r="Y43" s="3">
        <v>0.461255792625971</v>
      </c>
      <c r="Z43" s="3">
        <v>0.54749545589947302</v>
      </c>
      <c r="AA43" s="3">
        <v>1.88776517485187</v>
      </c>
      <c r="AB43" s="3"/>
      <c r="AC43" s="3"/>
      <c r="AD43" s="3"/>
      <c r="AE43" t="s">
        <v>5339</v>
      </c>
      <c r="AF43" s="4" t="s">
        <v>718</v>
      </c>
    </row>
    <row r="44" spans="1:32" ht="187.2" x14ac:dyDescent="0.3">
      <c r="A44" t="s">
        <v>1826</v>
      </c>
      <c r="B44" s="1" t="s">
        <v>1205</v>
      </c>
      <c r="C44" s="5" t="s">
        <v>2112</v>
      </c>
      <c r="D44" s="2" t="s">
        <v>3627</v>
      </c>
      <c r="E44" s="1" t="s">
        <v>1956</v>
      </c>
      <c r="F44" s="3">
        <v>0</v>
      </c>
      <c r="G44" s="3">
        <v>0</v>
      </c>
      <c r="H44" s="3">
        <v>0</v>
      </c>
      <c r="I44" s="3">
        <v>1845626.64764744</v>
      </c>
      <c r="J44" s="3">
        <v>0</v>
      </c>
      <c r="K44" s="3">
        <v>0</v>
      </c>
      <c r="L44" s="3">
        <v>1635662.9812120199</v>
      </c>
      <c r="M44" s="3">
        <v>0</v>
      </c>
      <c r="N44" s="3">
        <v>25443582.907033999</v>
      </c>
      <c r="O44" s="3">
        <v>57124768.405703098</v>
      </c>
      <c r="P44" s="3">
        <v>24002108.055809099</v>
      </c>
      <c r="Q44" s="3">
        <v>183104746.58114401</v>
      </c>
      <c r="R44" s="3">
        <v>147702925.65854001</v>
      </c>
      <c r="S44" s="3">
        <v>121061010.888686</v>
      </c>
      <c r="T44" s="3">
        <v>131699578.16079301</v>
      </c>
      <c r="U44" s="3">
        <v>127094781.275309</v>
      </c>
      <c r="V44" s="3">
        <v>206041880.196334</v>
      </c>
      <c r="W44" s="3">
        <v>158641914.26306</v>
      </c>
      <c r="X44" s="3">
        <v>203959797.07259101</v>
      </c>
      <c r="Y44" s="3">
        <v>262803272.35799</v>
      </c>
      <c r="Z44" s="3">
        <v>325771687.65420401</v>
      </c>
      <c r="AA44" s="3">
        <v>1282376910.4872899</v>
      </c>
      <c r="AB44" s="3"/>
      <c r="AC44" s="3"/>
      <c r="AD44" s="3"/>
      <c r="AE44" t="s">
        <v>5340</v>
      </c>
      <c r="AF44" s="4" t="s">
        <v>718</v>
      </c>
    </row>
    <row r="45" spans="1:32" ht="187.2" x14ac:dyDescent="0.3">
      <c r="A45" t="s">
        <v>1826</v>
      </c>
      <c r="B45" s="1" t="s">
        <v>1205</v>
      </c>
      <c r="C45" s="5" t="s">
        <v>2113</v>
      </c>
      <c r="D45" s="2" t="s">
        <v>3628</v>
      </c>
      <c r="E45" s="1" t="s">
        <v>2039</v>
      </c>
      <c r="F45" s="3">
        <v>0.47493978538409098</v>
      </c>
      <c r="G45" s="3">
        <v>0.32780529952853299</v>
      </c>
      <c r="H45" s="3">
        <v>0.66809451872006798</v>
      </c>
      <c r="I45" s="3">
        <v>0.7959815419445827</v>
      </c>
      <c r="J45" s="3">
        <v>1.24916034854166</v>
      </c>
      <c r="K45" s="3">
        <v>2.74302987517689</v>
      </c>
      <c r="L45" s="3">
        <v>4.9560738444987837</v>
      </c>
      <c r="M45" s="3">
        <v>3.7793278764266698</v>
      </c>
      <c r="N45" s="3">
        <v>4.2420980903829433</v>
      </c>
      <c r="O45" s="3">
        <v>2.2719349230702419</v>
      </c>
      <c r="P45" s="3">
        <v>1.688044890645479</v>
      </c>
      <c r="Q45" s="3">
        <v>3.0842341315091368</v>
      </c>
      <c r="R45" s="3">
        <v>2.0521998773293868</v>
      </c>
      <c r="S45" s="3">
        <v>1.5279841250744681</v>
      </c>
      <c r="T45" s="3">
        <v>0.75462934924539393</v>
      </c>
      <c r="U45" s="3">
        <v>0.58577121470863203</v>
      </c>
      <c r="V45" s="3">
        <v>0.71318344079275398</v>
      </c>
      <c r="W45" s="3">
        <v>0.87707582257834293</v>
      </c>
      <c r="X45" s="3">
        <v>1.037357183043063</v>
      </c>
      <c r="Y45" s="3">
        <v>1.084079972925226</v>
      </c>
      <c r="Z45" s="3">
        <v>0.84772089198046707</v>
      </c>
      <c r="AA45" s="3">
        <v>2.4195718770440151</v>
      </c>
      <c r="AB45" s="3"/>
      <c r="AC45" s="3"/>
      <c r="AD45" s="3"/>
      <c r="AE45" t="s">
        <v>5341</v>
      </c>
      <c r="AF45" s="4" t="s">
        <v>718</v>
      </c>
    </row>
    <row r="46" spans="1:32" ht="187.2" x14ac:dyDescent="0.3">
      <c r="A46" t="s">
        <v>1826</v>
      </c>
      <c r="B46" s="1" t="s">
        <v>1205</v>
      </c>
      <c r="C46" s="5" t="s">
        <v>2114</v>
      </c>
      <c r="D46" s="2" t="s">
        <v>3629</v>
      </c>
      <c r="E46" s="1" t="s">
        <v>1474</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c r="AC46" s="3"/>
      <c r="AD46" s="3"/>
      <c r="AE46" t="s">
        <v>5342</v>
      </c>
      <c r="AF46" s="4" t="s">
        <v>718</v>
      </c>
    </row>
    <row r="47" spans="1:32" ht="187.2" x14ac:dyDescent="0.3">
      <c r="A47" t="s">
        <v>1826</v>
      </c>
      <c r="B47" s="1" t="s">
        <v>1205</v>
      </c>
      <c r="C47" s="5" t="s">
        <v>2115</v>
      </c>
      <c r="D47" s="2" t="s">
        <v>3630</v>
      </c>
      <c r="E47" s="1" t="s">
        <v>3</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c r="AC47" s="3"/>
      <c r="AD47" s="3"/>
      <c r="AE47" t="s">
        <v>5343</v>
      </c>
      <c r="AF47" s="4" t="s">
        <v>718</v>
      </c>
    </row>
    <row r="48" spans="1:32" ht="187.2" x14ac:dyDescent="0.3">
      <c r="A48" t="s">
        <v>1826</v>
      </c>
      <c r="B48" s="1" t="s">
        <v>1205</v>
      </c>
      <c r="C48" s="5" t="s">
        <v>2116</v>
      </c>
      <c r="D48" s="2" t="s">
        <v>3631</v>
      </c>
      <c r="E48" s="1" t="s">
        <v>1771</v>
      </c>
      <c r="F48" s="3"/>
      <c r="G48" s="3"/>
      <c r="H48" s="3"/>
      <c r="I48" s="3"/>
      <c r="J48" s="3"/>
      <c r="K48" s="3">
        <v>-33.355740584931098</v>
      </c>
      <c r="L48" s="3">
        <v>-31.9928070337095</v>
      </c>
      <c r="M48" s="3">
        <v>-33.876533675179502</v>
      </c>
      <c r="N48" s="3">
        <v>-24.592158985141801</v>
      </c>
      <c r="O48" s="3">
        <v>-21.924962431373999</v>
      </c>
      <c r="P48" s="3">
        <v>-20.6014957804129</v>
      </c>
      <c r="Q48" s="3">
        <v>-23.162764829822599</v>
      </c>
      <c r="R48" s="3">
        <v>-17.612135700354401</v>
      </c>
      <c r="S48" s="3">
        <v>-15.5060464160112</v>
      </c>
      <c r="T48" s="3">
        <v>20.9152177168714</v>
      </c>
      <c r="U48" s="3">
        <v>20.285966210012599</v>
      </c>
      <c r="V48" s="3">
        <v>16.857183313437901</v>
      </c>
      <c r="W48" s="3">
        <v>14.094519479514</v>
      </c>
      <c r="X48" s="3">
        <v>13.174551557819401</v>
      </c>
      <c r="Y48" s="3">
        <v>14.574193657224701</v>
      </c>
      <c r="Z48" s="3">
        <v>18.495443396861798</v>
      </c>
      <c r="AA48" s="3"/>
      <c r="AB48" s="3"/>
      <c r="AC48" s="3"/>
      <c r="AD48" s="3"/>
      <c r="AE48" t="s">
        <v>5344</v>
      </c>
      <c r="AF48" s="4" t="s">
        <v>718</v>
      </c>
    </row>
    <row r="49" spans="1:32" ht="187.2" x14ac:dyDescent="0.3">
      <c r="A49" t="s">
        <v>1826</v>
      </c>
      <c r="B49" s="1" t="s">
        <v>1205</v>
      </c>
      <c r="C49" s="5" t="s">
        <v>2117</v>
      </c>
      <c r="D49" s="2" t="s">
        <v>3632</v>
      </c>
      <c r="E49" s="1" t="s">
        <v>1150</v>
      </c>
      <c r="F49" s="3"/>
      <c r="G49" s="3"/>
      <c r="H49" s="3"/>
      <c r="I49" s="3"/>
      <c r="J49" s="3"/>
      <c r="K49" s="3">
        <v>-5483480157.0268497</v>
      </c>
      <c r="L49" s="3">
        <v>-5472840373.8099499</v>
      </c>
      <c r="M49" s="3">
        <v>-6626661762.3162298</v>
      </c>
      <c r="N49" s="3">
        <v>-5759850496.6190205</v>
      </c>
      <c r="O49" s="3">
        <v>-5138497573.45755</v>
      </c>
      <c r="P49" s="3">
        <v>-4943450361.2256699</v>
      </c>
      <c r="Q49" s="3">
        <v>-5657569293.7619305</v>
      </c>
      <c r="R49" s="3">
        <v>-4566238833.6544104</v>
      </c>
      <c r="S49" s="3">
        <v>-4630382129.88834</v>
      </c>
      <c r="T49" s="3">
        <v>10025428289.5898</v>
      </c>
      <c r="U49" s="3">
        <v>9089610892.0251598</v>
      </c>
      <c r="V49" s="3">
        <v>7903934278.4153099</v>
      </c>
      <c r="W49" s="3">
        <v>7054584241.9162798</v>
      </c>
      <c r="X49" s="3">
        <v>7352605943.8819504</v>
      </c>
      <c r="Y49" s="3">
        <v>8303734817.70786</v>
      </c>
      <c r="Z49" s="3">
        <v>11005190535.1609</v>
      </c>
      <c r="AA49" s="3"/>
      <c r="AB49" s="3"/>
      <c r="AC49" s="3"/>
      <c r="AD49" s="3"/>
      <c r="AE49" t="s">
        <v>5345</v>
      </c>
      <c r="AF49" s="4" t="s">
        <v>718</v>
      </c>
    </row>
    <row r="50" spans="1:32" ht="187.2" x14ac:dyDescent="0.3">
      <c r="A50" t="s">
        <v>1826</v>
      </c>
      <c r="B50" s="1" t="s">
        <v>1205</v>
      </c>
      <c r="C50" s="5" t="s">
        <v>2118</v>
      </c>
      <c r="D50" s="2" t="s">
        <v>3633</v>
      </c>
      <c r="E50" s="1" t="s">
        <v>19</v>
      </c>
      <c r="F50" s="3">
        <v>4.7031873587142501</v>
      </c>
      <c r="G50" s="3">
        <v>4.7965150505123297</v>
      </c>
      <c r="H50" s="3">
        <v>4.7374679471804697</v>
      </c>
      <c r="I50" s="3">
        <v>4.7028204142156902</v>
      </c>
      <c r="J50" s="3">
        <v>4.3130163183388399</v>
      </c>
      <c r="K50" s="3">
        <v>3.8073031252012899</v>
      </c>
      <c r="L50" s="3">
        <v>3.6953918867923199</v>
      </c>
      <c r="M50" s="3">
        <v>3.5559914587874801</v>
      </c>
      <c r="N50" s="3">
        <v>3.2768356686112301</v>
      </c>
      <c r="O50" s="3">
        <v>3.08445036632842</v>
      </c>
      <c r="P50" s="3">
        <v>2.87015960084844</v>
      </c>
      <c r="Q50" s="3">
        <v>2.9956019716865199</v>
      </c>
      <c r="R50" s="3">
        <v>2.5769137854791602</v>
      </c>
      <c r="S50" s="3">
        <v>2.4151369426998501</v>
      </c>
      <c r="T50" s="3">
        <v>1.57418563580379</v>
      </c>
      <c r="U50" s="3">
        <v>1.4648298078458899</v>
      </c>
      <c r="V50" s="3">
        <v>1.3427129090923899</v>
      </c>
      <c r="W50" s="3">
        <v>1.2183433619784101</v>
      </c>
      <c r="X50" s="3">
        <v>1.16623290909101</v>
      </c>
      <c r="Y50" s="3">
        <v>1.0810314521311499</v>
      </c>
      <c r="Z50" s="3">
        <v>1.0509460419482399</v>
      </c>
      <c r="AA50" s="3">
        <v>0.96735664194545301</v>
      </c>
      <c r="AB50" s="3"/>
      <c r="AC50" s="3"/>
      <c r="AD50" s="3"/>
      <c r="AE50" t="s">
        <v>5346</v>
      </c>
      <c r="AF50" s="4" t="s">
        <v>718</v>
      </c>
    </row>
    <row r="51" spans="1:32" ht="187.2" x14ac:dyDescent="0.3">
      <c r="A51" t="s">
        <v>1826</v>
      </c>
      <c r="B51" s="1" t="s">
        <v>1205</v>
      </c>
      <c r="C51" s="5" t="s">
        <v>2119</v>
      </c>
      <c r="D51" s="2" t="s">
        <v>3634</v>
      </c>
      <c r="E51" s="1" t="s">
        <v>329</v>
      </c>
      <c r="F51" s="3">
        <v>458055620.90951598</v>
      </c>
      <c r="G51" s="3">
        <v>475834910.49340302</v>
      </c>
      <c r="H51" s="3">
        <v>514379625.70998502</v>
      </c>
      <c r="I51" s="3">
        <v>613577601.61429799</v>
      </c>
      <c r="J51" s="3">
        <v>637878512.89484298</v>
      </c>
      <c r="K51" s="3">
        <v>625897394.95273602</v>
      </c>
      <c r="L51" s="3">
        <v>632151154.90732896</v>
      </c>
      <c r="M51" s="3">
        <v>695595153.06417203</v>
      </c>
      <c r="N51" s="3">
        <v>767483796.953035</v>
      </c>
      <c r="O51" s="3">
        <v>722894772.22313404</v>
      </c>
      <c r="P51" s="3">
        <v>688711716.21817005</v>
      </c>
      <c r="Q51" s="3">
        <v>731684056.53912401</v>
      </c>
      <c r="R51" s="3">
        <v>668107718.36135399</v>
      </c>
      <c r="S51" s="3">
        <v>721202983.705971</v>
      </c>
      <c r="T51" s="3">
        <v>754564710.72365105</v>
      </c>
      <c r="U51" s="3">
        <v>656351925.19384503</v>
      </c>
      <c r="V51" s="3">
        <v>629566303.62950599</v>
      </c>
      <c r="W51" s="3">
        <v>609804817.76258099</v>
      </c>
      <c r="X51" s="3">
        <v>650864735.82806599</v>
      </c>
      <c r="Y51" s="3">
        <v>615924195.82327199</v>
      </c>
      <c r="Z51" s="3">
        <v>625335721.10933805</v>
      </c>
      <c r="AA51" s="3">
        <v>657134604.64419496</v>
      </c>
      <c r="AB51" s="3"/>
      <c r="AC51" s="3"/>
      <c r="AD51" s="3"/>
      <c r="AE51" t="s">
        <v>5347</v>
      </c>
      <c r="AF51" s="4" t="s">
        <v>718</v>
      </c>
    </row>
    <row r="52" spans="1:32" ht="144" x14ac:dyDescent="0.3">
      <c r="A52" t="s">
        <v>1826</v>
      </c>
      <c r="B52" s="1" t="s">
        <v>1205</v>
      </c>
      <c r="C52" s="5" t="s">
        <v>2120</v>
      </c>
      <c r="D52" s="2" t="s">
        <v>3635</v>
      </c>
      <c r="E52" s="1" t="s">
        <v>38</v>
      </c>
      <c r="F52" s="3">
        <v>138.56</v>
      </c>
      <c r="G52" s="3">
        <v>139.28399999999999</v>
      </c>
      <c r="H52" s="3">
        <v>139.304</v>
      </c>
      <c r="I52" s="3">
        <v>137.98099999999999</v>
      </c>
      <c r="J52" s="3">
        <v>135.625</v>
      </c>
      <c r="K52" s="3">
        <v>133.791</v>
      </c>
      <c r="L52" s="3">
        <v>134.46299999999999</v>
      </c>
      <c r="M52" s="3">
        <v>132.84899999999999</v>
      </c>
      <c r="N52" s="3">
        <v>129.77600000000001</v>
      </c>
      <c r="O52" s="3">
        <v>128.39599999999999</v>
      </c>
      <c r="P52" s="3">
        <v>128.816</v>
      </c>
      <c r="Q52" s="3">
        <v>122.92100000000001</v>
      </c>
      <c r="R52" s="3">
        <v>120.393</v>
      </c>
      <c r="S52" s="3">
        <v>118.623</v>
      </c>
      <c r="T52" s="3">
        <v>117.527</v>
      </c>
      <c r="U52" s="3">
        <v>116.181</v>
      </c>
      <c r="V52" s="3">
        <v>113.001</v>
      </c>
      <c r="W52" s="3">
        <v>106.786</v>
      </c>
      <c r="X52" s="3">
        <v>102.06100000000001</v>
      </c>
      <c r="Y52" s="3">
        <v>99.013999999999996</v>
      </c>
      <c r="Z52" s="3">
        <v>96.903000000000006</v>
      </c>
      <c r="AA52" s="3">
        <v>94.608999999999995</v>
      </c>
      <c r="AB52" s="3">
        <v>93.194000000000003</v>
      </c>
      <c r="AC52" s="3">
        <v>92.084999999999994</v>
      </c>
      <c r="AD52" s="3"/>
      <c r="AE52" t="s">
        <v>5348</v>
      </c>
      <c r="AF52" s="4" t="s">
        <v>236</v>
      </c>
    </row>
    <row r="53" spans="1:32" ht="244.8" x14ac:dyDescent="0.3">
      <c r="A53" t="s">
        <v>1826</v>
      </c>
      <c r="B53" s="1" t="s">
        <v>1205</v>
      </c>
      <c r="C53" s="5" t="s">
        <v>2121</v>
      </c>
      <c r="D53" s="2" t="s">
        <v>3636</v>
      </c>
      <c r="E53" s="1" t="s">
        <v>127</v>
      </c>
      <c r="F53" s="3"/>
      <c r="G53" s="3"/>
      <c r="H53" s="3"/>
      <c r="I53" s="3"/>
      <c r="J53" s="3"/>
      <c r="K53" s="3"/>
      <c r="L53" s="3"/>
      <c r="M53" s="3"/>
      <c r="N53" s="3"/>
      <c r="O53" s="3"/>
      <c r="P53" s="3"/>
      <c r="Q53" s="3"/>
      <c r="R53" s="3"/>
      <c r="S53" s="3">
        <v>57.934108734130902</v>
      </c>
      <c r="T53" s="3">
        <v>51.668529510497997</v>
      </c>
      <c r="U53" s="3">
        <v>53.231575012207003</v>
      </c>
      <c r="V53" s="3">
        <v>47.9993286132812</v>
      </c>
      <c r="W53" s="3">
        <v>46.204891204833999</v>
      </c>
      <c r="X53" s="3">
        <v>48.387641906738303</v>
      </c>
      <c r="Y53" s="3">
        <v>47.278060913085902</v>
      </c>
      <c r="Z53" s="3">
        <v>45.157299041747997</v>
      </c>
      <c r="AA53" s="3">
        <v>42.315769195556598</v>
      </c>
      <c r="AB53" s="3">
        <v>44.609321594238303</v>
      </c>
      <c r="AC53" s="3">
        <v>28.1863307952881</v>
      </c>
      <c r="AD53" s="3"/>
      <c r="AE53" t="s">
        <v>5349</v>
      </c>
      <c r="AF53" s="4" t="s">
        <v>1366</v>
      </c>
    </row>
    <row r="54" spans="1:32" ht="244.8" x14ac:dyDescent="0.3">
      <c r="A54" t="s">
        <v>1826</v>
      </c>
      <c r="B54" s="1" t="s">
        <v>1205</v>
      </c>
      <c r="C54" s="5" t="s">
        <v>2122</v>
      </c>
      <c r="D54" s="2" t="s">
        <v>3637</v>
      </c>
      <c r="E54" s="1" t="s">
        <v>1300</v>
      </c>
      <c r="F54" s="3"/>
      <c r="G54" s="3"/>
      <c r="H54" s="3"/>
      <c r="I54" s="3"/>
      <c r="J54" s="3"/>
      <c r="K54" s="3"/>
      <c r="L54" s="3"/>
      <c r="M54" s="3"/>
      <c r="N54" s="3"/>
      <c r="O54" s="3"/>
      <c r="P54" s="3"/>
      <c r="Q54" s="3"/>
      <c r="R54" s="3"/>
      <c r="S54" s="3">
        <v>63.787403106689503</v>
      </c>
      <c r="T54" s="3">
        <v>58.551319122314503</v>
      </c>
      <c r="U54" s="3">
        <v>59.378326416015597</v>
      </c>
      <c r="V54" s="3">
        <v>54.367210388183601</v>
      </c>
      <c r="W54" s="3">
        <v>51.824268341064503</v>
      </c>
      <c r="X54" s="3">
        <v>51.959438323974602</v>
      </c>
      <c r="Y54" s="3">
        <v>50.180179595947301</v>
      </c>
      <c r="Z54" s="3">
        <v>48.046310424804702</v>
      </c>
      <c r="AA54" s="3">
        <v>44.439289093017599</v>
      </c>
      <c r="AB54" s="3">
        <v>43.786880493164098</v>
      </c>
      <c r="AC54" s="3">
        <v>29.599239349365199</v>
      </c>
      <c r="AD54" s="3"/>
      <c r="AE54" t="s">
        <v>5349</v>
      </c>
      <c r="AF54" s="4" t="s">
        <v>1366</v>
      </c>
    </row>
    <row r="55" spans="1:32" ht="244.8" x14ac:dyDescent="0.3">
      <c r="A55" t="s">
        <v>1826</v>
      </c>
      <c r="B55" s="1" t="s">
        <v>1205</v>
      </c>
      <c r="C55" s="5" t="s">
        <v>2123</v>
      </c>
      <c r="D55" s="2" t="s">
        <v>3638</v>
      </c>
      <c r="E55" s="1" t="s">
        <v>23</v>
      </c>
      <c r="F55" s="3"/>
      <c r="G55" s="3"/>
      <c r="H55" s="3"/>
      <c r="I55" s="3"/>
      <c r="J55" s="3"/>
      <c r="K55" s="3"/>
      <c r="L55" s="3"/>
      <c r="M55" s="3"/>
      <c r="N55" s="3"/>
      <c r="O55" s="3"/>
      <c r="P55" s="3"/>
      <c r="Q55" s="3"/>
      <c r="R55" s="3"/>
      <c r="S55" s="3">
        <v>52.219440460205099</v>
      </c>
      <c r="T55" s="3">
        <v>44.978351593017599</v>
      </c>
      <c r="U55" s="3">
        <v>47.274730682372997</v>
      </c>
      <c r="V55" s="3">
        <v>41.8385009765625</v>
      </c>
      <c r="W55" s="3">
        <v>40.769241333007798</v>
      </c>
      <c r="X55" s="3">
        <v>44.927680969238303</v>
      </c>
      <c r="Y55" s="3">
        <v>44.460380554199197</v>
      </c>
      <c r="Z55" s="3">
        <v>42.343860626220703</v>
      </c>
      <c r="AA55" s="3">
        <v>40.2399711608887</v>
      </c>
      <c r="AB55" s="3">
        <v>45.416839599609403</v>
      </c>
      <c r="AC55" s="3">
        <v>26.7924098968506</v>
      </c>
      <c r="AD55" s="3"/>
      <c r="AE55" t="s">
        <v>5349</v>
      </c>
      <c r="AF55" s="4" t="s">
        <v>1366</v>
      </c>
    </row>
    <row r="56" spans="1:32" ht="216" x14ac:dyDescent="0.3">
      <c r="A56" t="s">
        <v>1826</v>
      </c>
      <c r="B56" s="1" t="s">
        <v>1205</v>
      </c>
      <c r="C56" s="5" t="s">
        <v>2124</v>
      </c>
      <c r="D56" s="2" t="s">
        <v>3639</v>
      </c>
      <c r="E56" s="1" t="s">
        <v>550</v>
      </c>
      <c r="F56" s="3">
        <v>62000</v>
      </c>
      <c r="G56" s="3">
        <v>56000</v>
      </c>
      <c r="H56" s="3">
        <v>52000</v>
      </c>
      <c r="I56" s="3">
        <v>48000</v>
      </c>
      <c r="J56" s="3">
        <v>46000</v>
      </c>
      <c r="K56" s="3">
        <v>40000</v>
      </c>
      <c r="L56" s="3">
        <v>38000</v>
      </c>
      <c r="M56" s="3">
        <v>34000</v>
      </c>
      <c r="N56" s="3">
        <v>30000</v>
      </c>
      <c r="O56" s="3">
        <v>28000</v>
      </c>
      <c r="P56" s="3">
        <v>26000</v>
      </c>
      <c r="Q56" s="3">
        <v>26000</v>
      </c>
      <c r="R56" s="3">
        <v>22000</v>
      </c>
      <c r="S56" s="3">
        <v>20000</v>
      </c>
      <c r="T56" s="3">
        <v>18000</v>
      </c>
      <c r="U56" s="3">
        <v>17000</v>
      </c>
      <c r="V56" s="3">
        <v>17000</v>
      </c>
      <c r="W56" s="3">
        <v>14000</v>
      </c>
      <c r="X56" s="3">
        <v>13000</v>
      </c>
      <c r="Y56" s="3">
        <v>11000</v>
      </c>
      <c r="Z56" s="3">
        <v>10000</v>
      </c>
      <c r="AA56" s="3">
        <v>9900</v>
      </c>
      <c r="AB56" s="3">
        <v>9000</v>
      </c>
      <c r="AC56" s="3"/>
      <c r="AD56" s="3"/>
      <c r="AE56" t="s">
        <v>5350</v>
      </c>
      <c r="AF56" s="4" t="s">
        <v>1170</v>
      </c>
    </row>
    <row r="57" spans="1:32" ht="216" x14ac:dyDescent="0.3">
      <c r="A57" t="s">
        <v>1826</v>
      </c>
      <c r="B57" s="1" t="s">
        <v>1205</v>
      </c>
      <c r="C57" s="5" t="s">
        <v>2125</v>
      </c>
      <c r="D57" s="2" t="s">
        <v>3640</v>
      </c>
      <c r="E57" s="1" t="s">
        <v>1978</v>
      </c>
      <c r="F57" s="3">
        <v>39000</v>
      </c>
      <c r="G57" s="3">
        <v>34000</v>
      </c>
      <c r="H57" s="3">
        <v>32000</v>
      </c>
      <c r="I57" s="3">
        <v>29000</v>
      </c>
      <c r="J57" s="3">
        <v>28000</v>
      </c>
      <c r="K57" s="3">
        <v>24000</v>
      </c>
      <c r="L57" s="3">
        <v>23000</v>
      </c>
      <c r="M57" s="3">
        <v>22000</v>
      </c>
      <c r="N57" s="3">
        <v>20000</v>
      </c>
      <c r="O57" s="3">
        <v>19000</v>
      </c>
      <c r="P57" s="3">
        <v>18000</v>
      </c>
      <c r="Q57" s="3">
        <v>18000</v>
      </c>
      <c r="R57" s="3">
        <v>16000</v>
      </c>
      <c r="S57" s="3">
        <v>15000</v>
      </c>
      <c r="T57" s="3">
        <v>14000</v>
      </c>
      <c r="U57" s="3">
        <v>13000</v>
      </c>
      <c r="V57" s="3">
        <v>12000</v>
      </c>
      <c r="W57" s="3">
        <v>10000</v>
      </c>
      <c r="X57" s="3">
        <v>9000</v>
      </c>
      <c r="Y57" s="3">
        <v>8100</v>
      </c>
      <c r="Z57" s="3">
        <v>7400</v>
      </c>
      <c r="AA57" s="3">
        <v>7400</v>
      </c>
      <c r="AB57" s="3">
        <v>6500</v>
      </c>
      <c r="AC57" s="3"/>
      <c r="AD57" s="3"/>
      <c r="AE57" t="s">
        <v>5351</v>
      </c>
      <c r="AF57" s="4" t="s">
        <v>1170</v>
      </c>
    </row>
    <row r="58" spans="1:32" ht="115.2" x14ac:dyDescent="0.3">
      <c r="A58" t="s">
        <v>1826</v>
      </c>
      <c r="B58" s="1" t="s">
        <v>1205</v>
      </c>
      <c r="C58" s="5" t="s">
        <v>2126</v>
      </c>
      <c r="D58" s="2" t="s">
        <v>3641</v>
      </c>
      <c r="E58" s="1" t="s">
        <v>1325</v>
      </c>
      <c r="F58" s="3">
        <v>94.053057094392827</v>
      </c>
      <c r="G58" s="3">
        <v>94.199227429665328</v>
      </c>
      <c r="H58" s="3">
        <v>94.340592867451207</v>
      </c>
      <c r="I58" s="3">
        <v>94.47573367390622</v>
      </c>
      <c r="J58" s="3">
        <v>94.577160841681518</v>
      </c>
      <c r="K58" s="3">
        <v>94.602228953393023</v>
      </c>
      <c r="L58" s="3">
        <v>94.553601847098165</v>
      </c>
      <c r="M58" s="3">
        <v>94.433802590847321</v>
      </c>
      <c r="N58" s="3">
        <v>92.468949426715639</v>
      </c>
      <c r="O58" s="3">
        <v>89.072006995631767</v>
      </c>
      <c r="P58" s="3">
        <v>86.24733752725416</v>
      </c>
      <c r="Q58" s="3">
        <v>83.982565286311768</v>
      </c>
      <c r="R58" s="3">
        <v>82.199691968868933</v>
      </c>
      <c r="S58" s="3">
        <v>80.759072922247796</v>
      </c>
      <c r="T58" s="3">
        <v>80.441273957999144</v>
      </c>
      <c r="U58" s="3">
        <v>80.974066852116096</v>
      </c>
      <c r="V58" s="3">
        <v>81.306192079577315</v>
      </c>
      <c r="W58" s="3">
        <v>81.458213233402049</v>
      </c>
      <c r="X58" s="3">
        <v>81.370200173616098</v>
      </c>
      <c r="Y58" s="3">
        <v>81.114393106695758</v>
      </c>
      <c r="Z58" s="3">
        <v>80.755651284723584</v>
      </c>
      <c r="AA58" s="3">
        <v>80.139300462519685</v>
      </c>
      <c r="AB58" s="3">
        <v>79.197001777112902</v>
      </c>
      <c r="AC58" s="3">
        <v>78.077474446432944</v>
      </c>
      <c r="AD58" s="3">
        <v>76.929548151982132</v>
      </c>
      <c r="AE58" t="s">
        <v>5352</v>
      </c>
      <c r="AF58" s="4" t="s">
        <v>1679</v>
      </c>
    </row>
    <row r="59" spans="1:32" ht="115.2" x14ac:dyDescent="0.3">
      <c r="A59" t="s">
        <v>1826</v>
      </c>
      <c r="B59" s="1" t="s">
        <v>1205</v>
      </c>
      <c r="C59" s="5" t="s">
        <v>2126</v>
      </c>
      <c r="D59" s="2" t="s">
        <v>3642</v>
      </c>
      <c r="E59" s="1" t="s">
        <v>1081</v>
      </c>
      <c r="F59" s="3">
        <v>4.7146475441640847</v>
      </c>
      <c r="G59" s="3">
        <v>4.6665833418794653</v>
      </c>
      <c r="H59" s="3">
        <v>4.6177891905299804</v>
      </c>
      <c r="I59" s="3">
        <v>4.5656018002096719</v>
      </c>
      <c r="J59" s="3">
        <v>4.5080434990921558</v>
      </c>
      <c r="K59" s="3">
        <v>4.4454753347691884</v>
      </c>
      <c r="L59" s="3">
        <v>4.3780710875998645</v>
      </c>
      <c r="M59" s="3">
        <v>4.307865891750299</v>
      </c>
      <c r="N59" s="3">
        <v>4.2675723633683074</v>
      </c>
      <c r="O59" s="3">
        <v>4.2687174534703933</v>
      </c>
      <c r="P59" s="3">
        <v>4.2948652435561074</v>
      </c>
      <c r="Q59" s="3">
        <v>4.3498163256467386</v>
      </c>
      <c r="R59" s="3">
        <v>4.4377632160332086</v>
      </c>
      <c r="S59" s="3">
        <v>4.5645417133040533</v>
      </c>
      <c r="T59" s="3">
        <v>4.6089286939968472</v>
      </c>
      <c r="U59" s="3">
        <v>4.5604474298460804</v>
      </c>
      <c r="V59" s="3">
        <v>4.5266753626799838</v>
      </c>
      <c r="W59" s="3">
        <v>4.5073474516211514</v>
      </c>
      <c r="X59" s="3">
        <v>4.5008966422884304</v>
      </c>
      <c r="Y59" s="3">
        <v>4.506890156432986</v>
      </c>
      <c r="Z59" s="3">
        <v>4.5118072896500108</v>
      </c>
      <c r="AA59" s="3">
        <v>4.5170272665512972</v>
      </c>
      <c r="AB59" s="3">
        <v>4.5387391807499462</v>
      </c>
      <c r="AC59" s="3">
        <v>4.5734638304612316</v>
      </c>
      <c r="AD59" s="3">
        <v>4.6160361706237012</v>
      </c>
      <c r="AE59" t="s">
        <v>5353</v>
      </c>
      <c r="AF59" s="4" t="s">
        <v>951</v>
      </c>
    </row>
    <row r="60" spans="1:32" ht="115.2" x14ac:dyDescent="0.3">
      <c r="A60" t="s">
        <v>1826</v>
      </c>
      <c r="B60" s="1" t="s">
        <v>1205</v>
      </c>
      <c r="C60" s="5" t="s">
        <v>2127</v>
      </c>
      <c r="D60" s="2" t="s">
        <v>3643</v>
      </c>
      <c r="E60" s="1" t="s">
        <v>1080</v>
      </c>
      <c r="F60" s="3">
        <v>89.338409550228747</v>
      </c>
      <c r="G60" s="3">
        <v>89.532644087785869</v>
      </c>
      <c r="H60" s="3">
        <v>89.722803676921231</v>
      </c>
      <c r="I60" s="3">
        <v>89.910131873696542</v>
      </c>
      <c r="J60" s="3">
        <v>90.069117342589351</v>
      </c>
      <c r="K60" s="3">
        <v>90.156753618623824</v>
      </c>
      <c r="L60" s="3">
        <v>90.175530759498301</v>
      </c>
      <c r="M60" s="3">
        <v>90.125936699097025</v>
      </c>
      <c r="N60" s="3">
        <v>88.201377063347337</v>
      </c>
      <c r="O60" s="3">
        <v>84.80328954216138</v>
      </c>
      <c r="P60" s="3">
        <v>81.952472283698057</v>
      </c>
      <c r="Q60" s="3">
        <v>79.632748960665026</v>
      </c>
      <c r="R60" s="3">
        <v>77.761928752835729</v>
      </c>
      <c r="S60" s="3">
        <v>76.194531208943744</v>
      </c>
      <c r="T60" s="3">
        <v>75.832345264002285</v>
      </c>
      <c r="U60" s="3">
        <v>76.413619422270017</v>
      </c>
      <c r="V60" s="3">
        <v>76.779516716897334</v>
      </c>
      <c r="W60" s="3">
        <v>76.950865781780891</v>
      </c>
      <c r="X60" s="3">
        <v>76.869303531327674</v>
      </c>
      <c r="Y60" s="3">
        <v>76.60750295026277</v>
      </c>
      <c r="Z60" s="3">
        <v>76.243843995073561</v>
      </c>
      <c r="AA60" s="3">
        <v>75.62227319596839</v>
      </c>
      <c r="AB60" s="3">
        <v>74.658262596362974</v>
      </c>
      <c r="AC60" s="3">
        <v>73.504010615971708</v>
      </c>
      <c r="AD60" s="3">
        <v>72.313511981358431</v>
      </c>
      <c r="AE60" t="s">
        <v>5354</v>
      </c>
      <c r="AF60" s="4" t="s">
        <v>1294</v>
      </c>
    </row>
    <row r="61" spans="1:32" ht="100.8" x14ac:dyDescent="0.3">
      <c r="A61" t="s">
        <v>1826</v>
      </c>
      <c r="B61" s="1" t="s">
        <v>1205</v>
      </c>
      <c r="C61" s="5" t="s">
        <v>2128</v>
      </c>
      <c r="D61" s="2" t="s">
        <v>3644</v>
      </c>
      <c r="E61" s="1" t="s">
        <v>1775</v>
      </c>
      <c r="F61" s="3"/>
      <c r="G61" s="3"/>
      <c r="H61" s="3"/>
      <c r="I61" s="3"/>
      <c r="J61" s="3"/>
      <c r="K61" s="3"/>
      <c r="L61" s="3"/>
      <c r="M61" s="3"/>
      <c r="N61" s="3"/>
      <c r="O61" s="3"/>
      <c r="P61" s="3"/>
      <c r="Q61" s="3"/>
      <c r="R61" s="3"/>
      <c r="S61" s="3"/>
      <c r="T61" s="3"/>
      <c r="U61" s="3"/>
      <c r="V61" s="3"/>
      <c r="W61" s="3"/>
      <c r="X61" s="3"/>
      <c r="Y61" s="3"/>
      <c r="Z61" s="3"/>
      <c r="AA61" s="3"/>
      <c r="AB61" s="3"/>
      <c r="AC61" s="3"/>
      <c r="AD61" s="3"/>
      <c r="AE61" t="s">
        <v>5355</v>
      </c>
      <c r="AF61" s="4" t="s">
        <v>1896</v>
      </c>
    </row>
    <row r="62" spans="1:32" ht="409.6" x14ac:dyDescent="0.3">
      <c r="A62" t="s">
        <v>1826</v>
      </c>
      <c r="B62" s="1" t="s">
        <v>1205</v>
      </c>
      <c r="C62" s="5" t="s">
        <v>2129</v>
      </c>
      <c r="D62" s="2" t="s">
        <v>3645</v>
      </c>
      <c r="E62" s="1" t="s">
        <v>724</v>
      </c>
      <c r="F62" s="3">
        <v>62.124572327044028</v>
      </c>
      <c r="G62" s="3">
        <v>60.584169811320756</v>
      </c>
      <c r="H62" s="3">
        <v>60.959943396226414</v>
      </c>
      <c r="I62" s="3">
        <v>61.084908805031446</v>
      </c>
      <c r="J62" s="3">
        <v>63.403606918238999</v>
      </c>
      <c r="K62" s="3">
        <v>64.165588050314469</v>
      </c>
      <c r="L62" s="3">
        <v>65.036402515723267</v>
      </c>
      <c r="M62" s="3">
        <v>66.060600628930814</v>
      </c>
      <c r="N62" s="3">
        <v>65.795512578616353</v>
      </c>
      <c r="O62" s="3">
        <v>65.698125786163516</v>
      </c>
      <c r="P62" s="3">
        <v>65.735808176100633</v>
      </c>
      <c r="Q62" s="3">
        <v>66.200179245283024</v>
      </c>
      <c r="R62" s="3">
        <v>68.963858490566025</v>
      </c>
      <c r="S62" s="3">
        <v>70.886880503144653</v>
      </c>
      <c r="T62" s="3">
        <v>72.591720125786168</v>
      </c>
      <c r="U62" s="3">
        <v>76.936811949685534</v>
      </c>
      <c r="V62" s="3">
        <v>75.426636477987415</v>
      </c>
      <c r="W62" s="3">
        <v>77.704480817610062</v>
      </c>
      <c r="X62" s="3">
        <v>81.342073899371073</v>
      </c>
      <c r="Y62" s="3">
        <v>81.524799999999999</v>
      </c>
      <c r="Z62" s="3">
        <v>82.62582295597484</v>
      </c>
      <c r="AA62" s="3">
        <v>84.392867295597483</v>
      </c>
      <c r="AB62" s="3">
        <v>84.156812578616353</v>
      </c>
      <c r="AC62" s="3"/>
      <c r="AD62" s="3"/>
      <c r="AE62" t="s">
        <v>5356</v>
      </c>
      <c r="AF62" s="4" t="s">
        <v>872</v>
      </c>
    </row>
    <row r="63" spans="1:32" ht="374.4" x14ac:dyDescent="0.3">
      <c r="A63" t="s">
        <v>1826</v>
      </c>
      <c r="B63" s="1" t="s">
        <v>1205</v>
      </c>
      <c r="C63" s="5" t="s">
        <v>2130</v>
      </c>
      <c r="D63" s="2" t="s">
        <v>3646</v>
      </c>
      <c r="E63" s="1" t="s">
        <v>1905</v>
      </c>
      <c r="F63" s="3">
        <v>196000</v>
      </c>
      <c r="G63" s="3">
        <v>196000</v>
      </c>
      <c r="H63" s="3">
        <v>196000</v>
      </c>
      <c r="I63" s="3">
        <v>196000</v>
      </c>
      <c r="J63" s="3">
        <v>200000</v>
      </c>
      <c r="K63" s="3">
        <v>202000</v>
      </c>
      <c r="L63" s="3">
        <v>203000</v>
      </c>
      <c r="M63" s="3">
        <v>206000</v>
      </c>
      <c r="N63" s="3">
        <v>206000</v>
      </c>
      <c r="O63" s="3">
        <v>206000</v>
      </c>
      <c r="P63" s="3">
        <v>206000</v>
      </c>
      <c r="Q63" s="3">
        <v>206000</v>
      </c>
      <c r="R63" s="3">
        <v>207000</v>
      </c>
      <c r="S63" s="3">
        <v>212000</v>
      </c>
      <c r="T63" s="3">
        <v>213500</v>
      </c>
      <c r="U63" s="3">
        <v>222000</v>
      </c>
      <c r="V63" s="3">
        <v>219000</v>
      </c>
      <c r="W63" s="3">
        <v>220000</v>
      </c>
      <c r="X63" s="3">
        <v>231500</v>
      </c>
      <c r="Y63" s="3">
        <v>232300</v>
      </c>
      <c r="Z63" s="3">
        <v>233000</v>
      </c>
      <c r="AA63" s="3">
        <v>235000</v>
      </c>
      <c r="AB63" s="3"/>
      <c r="AC63" s="3"/>
      <c r="AD63" s="3"/>
      <c r="AE63" t="s">
        <v>5356</v>
      </c>
      <c r="AF63" s="4" t="s">
        <v>378</v>
      </c>
    </row>
    <row r="64" spans="1:32" ht="129.6" x14ac:dyDescent="0.3">
      <c r="A64" t="s">
        <v>1826</v>
      </c>
      <c r="B64" s="1" t="s">
        <v>1205</v>
      </c>
      <c r="C64" s="5" t="s">
        <v>2131</v>
      </c>
      <c r="D64" s="2" t="s">
        <v>3647</v>
      </c>
      <c r="E64" s="1" t="s">
        <v>1337</v>
      </c>
      <c r="F64" s="3">
        <v>13.837360731556469</v>
      </c>
      <c r="G64" s="3">
        <v>11.091637171811872</v>
      </c>
      <c r="H64" s="3">
        <v>8.3447291117058917</v>
      </c>
      <c r="I64" s="3">
        <v>9.059221306946764</v>
      </c>
      <c r="J64" s="3">
        <v>9.0062461806858671</v>
      </c>
      <c r="K64" s="3">
        <v>8.2492038399360172</v>
      </c>
      <c r="L64" s="3">
        <v>7.997780035459737</v>
      </c>
      <c r="M64" s="3">
        <v>8.8326817704302822</v>
      </c>
      <c r="N64" s="3">
        <v>8.6688702718629838</v>
      </c>
      <c r="O64" s="3">
        <v>5.5473916529627036</v>
      </c>
      <c r="P64" s="3">
        <v>9.4765256008199739</v>
      </c>
      <c r="Q64" s="3">
        <v>12.755116405898596</v>
      </c>
      <c r="R64" s="3">
        <v>10.782872334906932</v>
      </c>
      <c r="S64" s="3">
        <v>8.5692464344336283</v>
      </c>
      <c r="T64" s="3">
        <v>8.5854721298703307</v>
      </c>
      <c r="U64" s="3">
        <v>6.7466739681382393</v>
      </c>
      <c r="V64" s="3">
        <v>7.6023724740023919</v>
      </c>
      <c r="W64" s="3">
        <v>9.0519053722984584</v>
      </c>
      <c r="X64" s="3">
        <v>9.4836616962987215</v>
      </c>
      <c r="Y64" s="3">
        <v>10.49833932382969</v>
      </c>
      <c r="Z64" s="3">
        <v>11.162014712156983</v>
      </c>
      <c r="AA64" s="3">
        <v>13.58194837876864</v>
      </c>
      <c r="AB64" s="3">
        <v>14.075038043445831</v>
      </c>
      <c r="AC64" s="3">
        <v>12.607741473926732</v>
      </c>
      <c r="AD64" s="3"/>
      <c r="AE64" t="s">
        <v>5357</v>
      </c>
      <c r="AF64" s="4" t="s">
        <v>1098</v>
      </c>
    </row>
    <row r="65" spans="1:32" ht="129.6" x14ac:dyDescent="0.3">
      <c r="A65" t="s">
        <v>1826</v>
      </c>
      <c r="B65" s="1" t="s">
        <v>1205</v>
      </c>
      <c r="C65" s="5" t="s">
        <v>2132</v>
      </c>
      <c r="D65" s="2" t="s">
        <v>3648</v>
      </c>
      <c r="E65" s="1" t="s">
        <v>311</v>
      </c>
      <c r="F65" s="3">
        <v>1.0578251670044023</v>
      </c>
      <c r="G65" s="3">
        <v>0.89528759971408878</v>
      </c>
      <c r="H65" s="3">
        <v>1.030111627368351</v>
      </c>
      <c r="I65" s="3">
        <v>0.57638557995612683</v>
      </c>
      <c r="J65" s="3">
        <v>0.47896654808442379</v>
      </c>
      <c r="K65" s="3">
        <v>0.45791654453353003</v>
      </c>
      <c r="L65" s="3">
        <v>0.55607301959679034</v>
      </c>
      <c r="M65" s="3">
        <v>0.57671430715872873</v>
      </c>
      <c r="N65" s="3">
        <v>0.64026026817865989</v>
      </c>
      <c r="O65" s="3">
        <v>0.7697777256690882</v>
      </c>
      <c r="P65" s="3">
        <v>0.86011641770618619</v>
      </c>
      <c r="Q65" s="3">
        <v>0.85671669139764306</v>
      </c>
      <c r="R65" s="3">
        <v>0.69318879972112402</v>
      </c>
      <c r="S65" s="3">
        <v>0.53324123031526105</v>
      </c>
      <c r="T65" s="3">
        <v>0.53388627695048585</v>
      </c>
      <c r="U65" s="3">
        <v>0.50991407754565177</v>
      </c>
      <c r="V65" s="3">
        <v>0.59236249855153633</v>
      </c>
      <c r="W65" s="3">
        <v>0.58278272289550381</v>
      </c>
      <c r="X65" s="3">
        <v>0.60849160201551533</v>
      </c>
      <c r="Y65" s="3">
        <v>0.68007149245226972</v>
      </c>
      <c r="Z65" s="3">
        <v>0.62520881995844391</v>
      </c>
      <c r="AA65" s="3">
        <v>0.65255629591859599</v>
      </c>
      <c r="AB65" s="3">
        <v>0.46355283307215994</v>
      </c>
      <c r="AC65" s="3">
        <v>0.4845196989118945</v>
      </c>
      <c r="AD65" s="3"/>
      <c r="AE65" t="s">
        <v>5358</v>
      </c>
      <c r="AF65" s="4" t="s">
        <v>1098</v>
      </c>
    </row>
    <row r="66" spans="1:32" ht="187.2" x14ac:dyDescent="0.3">
      <c r="A66" t="s">
        <v>1826</v>
      </c>
      <c r="B66" s="1" t="s">
        <v>1205</v>
      </c>
      <c r="C66" s="5" t="s">
        <v>2133</v>
      </c>
      <c r="D66" s="2" t="s">
        <v>3649</v>
      </c>
      <c r="E66" s="1" t="s">
        <v>1093</v>
      </c>
      <c r="F66" s="3">
        <v>16.195154514693002</v>
      </c>
      <c r="G66" s="3">
        <v>17.277097552718367</v>
      </c>
      <c r="H66" s="3">
        <v>18.73731415722601</v>
      </c>
      <c r="I66" s="3">
        <v>20.77602022027288</v>
      </c>
      <c r="J66" s="3">
        <v>16.640018984398033</v>
      </c>
      <c r="K66" s="3">
        <v>16.065185358480296</v>
      </c>
      <c r="L66" s="3">
        <v>15.944794906629218</v>
      </c>
      <c r="M66" s="3">
        <v>15.578746325539919</v>
      </c>
      <c r="N66" s="3">
        <v>16.185484182972566</v>
      </c>
      <c r="O66" s="3">
        <v>15.249581638575915</v>
      </c>
      <c r="P66" s="3">
        <v>17.488917070784215</v>
      </c>
      <c r="Q66" s="3">
        <v>18.486671488644724</v>
      </c>
      <c r="R66" s="3">
        <v>16.37514987588612</v>
      </c>
      <c r="S66" s="3">
        <v>15.342901935494455</v>
      </c>
      <c r="T66" s="3">
        <v>15.241755525618547</v>
      </c>
      <c r="U66" s="3">
        <v>18.362041686875173</v>
      </c>
      <c r="V66" s="3">
        <v>17.434968407497117</v>
      </c>
      <c r="W66" s="3">
        <v>16.940987149693818</v>
      </c>
      <c r="X66" s="3">
        <v>17.852601402265908</v>
      </c>
      <c r="Y66" s="3">
        <v>15.688206363531499</v>
      </c>
      <c r="Z66" s="3">
        <v>16.933415476894368</v>
      </c>
      <c r="AA66" s="3">
        <v>16.180552963013543</v>
      </c>
      <c r="AB66" s="3">
        <v>16.584333209761567</v>
      </c>
      <c r="AC66" s="3">
        <v>15.204748838608467</v>
      </c>
      <c r="AD66" s="3">
        <v>17.922662240256194</v>
      </c>
      <c r="AE66" t="s">
        <v>5359</v>
      </c>
      <c r="AF66" s="4" t="s">
        <v>718</v>
      </c>
    </row>
    <row r="67" spans="1:32" ht="187.2" x14ac:dyDescent="0.3">
      <c r="A67" t="s">
        <v>1826</v>
      </c>
      <c r="B67" s="1" t="s">
        <v>1205</v>
      </c>
      <c r="C67" s="5" t="s">
        <v>2134</v>
      </c>
      <c r="D67" s="2" t="s">
        <v>3650</v>
      </c>
      <c r="E67" s="1" t="s">
        <v>1227</v>
      </c>
      <c r="F67" s="3"/>
      <c r="G67" s="3"/>
      <c r="H67" s="3"/>
      <c r="I67" s="3"/>
      <c r="J67" s="3"/>
      <c r="K67" s="3"/>
      <c r="L67" s="3"/>
      <c r="M67" s="3"/>
      <c r="N67" s="3"/>
      <c r="O67" s="3">
        <v>-2.9409576764311396</v>
      </c>
      <c r="P67" s="3">
        <v>-4.0504269664837835</v>
      </c>
      <c r="Q67" s="3">
        <v>7.1559322900145474</v>
      </c>
      <c r="R67" s="3">
        <v>-2.6572646488803429</v>
      </c>
      <c r="S67" s="3">
        <v>4.1572511934761422</v>
      </c>
      <c r="T67" s="3">
        <v>16.182719555963644</v>
      </c>
      <c r="U67" s="3">
        <v>2.8783697619937385</v>
      </c>
      <c r="V67" s="3">
        <v>3.0764575429114842</v>
      </c>
      <c r="W67" s="3">
        <v>13.675545369942512</v>
      </c>
      <c r="X67" s="3">
        <v>11.403314163601365</v>
      </c>
      <c r="Y67" s="3">
        <v>-6.3658824033826988</v>
      </c>
      <c r="Z67" s="3">
        <v>3.9309512473772941</v>
      </c>
      <c r="AA67" s="3">
        <v>7.46035875106395</v>
      </c>
      <c r="AB67" s="3">
        <v>5.9115396408660104</v>
      </c>
      <c r="AC67" s="3">
        <v>-2.1090458891144976</v>
      </c>
      <c r="AD67" s="3">
        <v>3.4554200006519267</v>
      </c>
      <c r="AE67" t="s">
        <v>5360</v>
      </c>
      <c r="AF67" s="4" t="s">
        <v>718</v>
      </c>
    </row>
    <row r="68" spans="1:32" ht="187.2" x14ac:dyDescent="0.3">
      <c r="A68" t="s">
        <v>1826</v>
      </c>
      <c r="B68" s="1" t="s">
        <v>1205</v>
      </c>
      <c r="C68" s="5" t="s">
        <v>2135</v>
      </c>
      <c r="D68" s="2" t="s">
        <v>3651</v>
      </c>
      <c r="E68" s="1" t="s">
        <v>73</v>
      </c>
      <c r="F68" s="3"/>
      <c r="G68" s="3"/>
      <c r="H68" s="3"/>
      <c r="I68" s="3"/>
      <c r="J68" s="3"/>
      <c r="K68" s="3"/>
      <c r="L68" s="3"/>
      <c r="M68" s="3"/>
      <c r="N68" s="3">
        <v>6956243468.8157997</v>
      </c>
      <c r="O68" s="3">
        <v>6751663292.5284224</v>
      </c>
      <c r="P68" s="3">
        <v>6478192101.8416643</v>
      </c>
      <c r="Q68" s="3">
        <v>6941767142.2665243</v>
      </c>
      <c r="R68" s="3">
        <v>6757306017.9874849</v>
      </c>
      <c r="S68" s="3">
        <v>7038224203.0671043</v>
      </c>
      <c r="T68" s="3">
        <v>8177200287.5694113</v>
      </c>
      <c r="U68" s="3">
        <v>8412570348.0244741</v>
      </c>
      <c r="V68" s="3">
        <v>8671379503.0490074</v>
      </c>
      <c r="W68" s="3">
        <v>9857237941.1883698</v>
      </c>
      <c r="X68" s="3">
        <v>10981289751.47579</v>
      </c>
      <c r="Y68" s="3">
        <v>10282233759.522125</v>
      </c>
      <c r="Z68" s="3">
        <v>10686423355.750311</v>
      </c>
      <c r="AA68" s="3">
        <v>11483668875.746771</v>
      </c>
      <c r="AB68" s="3">
        <v>12162530513.562334</v>
      </c>
      <c r="AC68" s="3">
        <v>11906017163.753752</v>
      </c>
      <c r="AD68" s="3">
        <v>12317420062.111151</v>
      </c>
      <c r="AE68" t="s">
        <v>5361</v>
      </c>
      <c r="AF68" s="4" t="s">
        <v>718</v>
      </c>
    </row>
    <row r="69" spans="1:32" ht="187.2" x14ac:dyDescent="0.3">
      <c r="A69" t="s">
        <v>1826</v>
      </c>
      <c r="B69" s="1" t="s">
        <v>1205</v>
      </c>
      <c r="C69" s="5" t="s">
        <v>2136</v>
      </c>
      <c r="D69" s="2" t="s">
        <v>3652</v>
      </c>
      <c r="E69" s="1" t="s">
        <v>2066</v>
      </c>
      <c r="F69" s="3"/>
      <c r="G69" s="3"/>
      <c r="H69" s="3"/>
      <c r="I69" s="3"/>
      <c r="J69" s="3"/>
      <c r="K69" s="3"/>
      <c r="L69" s="3"/>
      <c r="M69" s="3"/>
      <c r="N69" s="3">
        <v>4112612512900</v>
      </c>
      <c r="O69" s="3">
        <v>3991662319500</v>
      </c>
      <c r="P69" s="3">
        <v>3829982952500</v>
      </c>
      <c r="Q69" s="3">
        <v>4104053939300</v>
      </c>
      <c r="R69" s="3">
        <v>3994998364800</v>
      </c>
      <c r="S69" s="3">
        <v>4161080482000</v>
      </c>
      <c r="T69" s="3">
        <v>4834456466900</v>
      </c>
      <c r="U69" s="3">
        <v>4973610000000</v>
      </c>
      <c r="V69" s="3">
        <v>5126621000000</v>
      </c>
      <c r="W69" s="3">
        <v>5827714380800</v>
      </c>
      <c r="X69" s="3">
        <v>6492266960200</v>
      </c>
      <c r="Y69" s="3">
        <v>6078976880200</v>
      </c>
      <c r="Z69" s="3">
        <v>6317938497700</v>
      </c>
      <c r="AA69" s="3">
        <v>6789279375300</v>
      </c>
      <c r="AB69" s="3">
        <v>7190630316900</v>
      </c>
      <c r="AC69" s="3">
        <v>7038976623800</v>
      </c>
      <c r="AD69" s="3">
        <v>7282202829900</v>
      </c>
      <c r="AE69" t="s">
        <v>5362</v>
      </c>
      <c r="AF69" s="4" t="s">
        <v>718</v>
      </c>
    </row>
    <row r="70" spans="1:32" ht="187.2" x14ac:dyDescent="0.3">
      <c r="A70" t="s">
        <v>1826</v>
      </c>
      <c r="B70" s="1" t="s">
        <v>1205</v>
      </c>
      <c r="C70" s="5" t="s">
        <v>2137</v>
      </c>
      <c r="D70" s="2" t="s">
        <v>3653</v>
      </c>
      <c r="E70" s="1" t="s">
        <v>1900</v>
      </c>
      <c r="F70" s="3">
        <v>1906736000000</v>
      </c>
      <c r="G70" s="3">
        <v>2127156000000</v>
      </c>
      <c r="H70" s="3">
        <v>2346767000000</v>
      </c>
      <c r="I70" s="3">
        <v>2560403000000</v>
      </c>
      <c r="J70" s="3">
        <v>2063033000000</v>
      </c>
      <c r="K70" s="3">
        <v>2036048000000</v>
      </c>
      <c r="L70" s="3">
        <v>2105934000000</v>
      </c>
      <c r="M70" s="3">
        <v>2144500000000</v>
      </c>
      <c r="N70" s="3">
        <v>2460015000000</v>
      </c>
      <c r="O70" s="3">
        <v>2430287000000</v>
      </c>
      <c r="P70" s="3">
        <v>3023184000000</v>
      </c>
      <c r="Q70" s="3">
        <v>3196689500000</v>
      </c>
      <c r="R70" s="3">
        <v>3035031000000</v>
      </c>
      <c r="S70" s="3">
        <v>3240308000000</v>
      </c>
      <c r="T70" s="3">
        <v>3675792000000</v>
      </c>
      <c r="U70" s="3">
        <v>4973610000000</v>
      </c>
      <c r="V70" s="3">
        <v>5001519000000</v>
      </c>
      <c r="W70" s="3">
        <v>5165586000000</v>
      </c>
      <c r="X70" s="3">
        <v>5803185000000</v>
      </c>
      <c r="Y70" s="3">
        <v>5550331000000</v>
      </c>
      <c r="Z70" s="3">
        <v>6143096000000</v>
      </c>
      <c r="AA70" s="3">
        <v>6531581000000</v>
      </c>
      <c r="AB70" s="3">
        <v>7336710000000</v>
      </c>
      <c r="AC70" s="3">
        <v>7342966888600</v>
      </c>
      <c r="AD70" s="3">
        <v>9404408068800</v>
      </c>
      <c r="AE70" t="s">
        <v>5363</v>
      </c>
      <c r="AF70" s="4" t="s">
        <v>718</v>
      </c>
    </row>
    <row r="71" spans="1:32" ht="187.2" x14ac:dyDescent="0.3">
      <c r="A71" t="s">
        <v>1826</v>
      </c>
      <c r="B71" s="1" t="s">
        <v>1205</v>
      </c>
      <c r="C71" s="5" t="s">
        <v>2138</v>
      </c>
      <c r="D71" s="2" t="s">
        <v>3654</v>
      </c>
      <c r="E71" s="1" t="s">
        <v>1993</v>
      </c>
      <c r="F71" s="3">
        <v>2684757228.5153308</v>
      </c>
      <c r="G71" s="3">
        <v>2904372884.2002239</v>
      </c>
      <c r="H71" s="3">
        <v>3382906521.976984</v>
      </c>
      <c r="I71" s="3">
        <v>4415268778.9305687</v>
      </c>
      <c r="J71" s="3">
        <v>3912164256.7210097</v>
      </c>
      <c r="K71" s="3">
        <v>3861575544.1322412</v>
      </c>
      <c r="L71" s="3">
        <v>4031069494.341898</v>
      </c>
      <c r="M71" s="3">
        <v>4480461612.6104183</v>
      </c>
      <c r="N71" s="3">
        <v>5515728192.5003233</v>
      </c>
      <c r="O71" s="3">
        <v>5167597251.3015556</v>
      </c>
      <c r="P71" s="3">
        <v>6109981930.2269917</v>
      </c>
      <c r="Q71" s="3">
        <v>6783445772.8477278</v>
      </c>
      <c r="R71" s="3">
        <v>5944556504.555625</v>
      </c>
      <c r="S71" s="3">
        <v>6560660997.7901096</v>
      </c>
      <c r="T71" s="3">
        <v>7444531507.0056782</v>
      </c>
      <c r="U71" s="3">
        <v>8412570348.0244741</v>
      </c>
      <c r="V71" s="3">
        <v>8439877843.5469275</v>
      </c>
      <c r="W71" s="3">
        <v>8896109448.4822578</v>
      </c>
      <c r="X71" s="3">
        <v>10447784689.987167</v>
      </c>
      <c r="Y71" s="3">
        <v>9472993128.3950787</v>
      </c>
      <c r="Z71" s="3">
        <v>10672768181.707268</v>
      </c>
      <c r="AA71" s="3">
        <v>11778574737.294973</v>
      </c>
      <c r="AB71" s="3">
        <v>11762077590.588804</v>
      </c>
      <c r="AC71" s="3">
        <v>12105725494.210121</v>
      </c>
      <c r="AD71" s="3">
        <v>15509987635.564798</v>
      </c>
      <c r="AE71" t="s">
        <v>5364</v>
      </c>
      <c r="AF71" s="4" t="s">
        <v>718</v>
      </c>
    </row>
    <row r="72" spans="1:32" ht="201.6" x14ac:dyDescent="0.3">
      <c r="A72" t="s">
        <v>1826</v>
      </c>
      <c r="B72" s="1" t="s">
        <v>1205</v>
      </c>
      <c r="C72" s="5" t="s">
        <v>2139</v>
      </c>
      <c r="D72" s="2" t="s">
        <v>3655</v>
      </c>
      <c r="E72" s="1" t="s">
        <v>1957</v>
      </c>
      <c r="F72" s="3"/>
      <c r="G72" s="3"/>
      <c r="H72" s="3"/>
      <c r="I72" s="3"/>
      <c r="J72" s="3"/>
      <c r="K72" s="3"/>
      <c r="L72" s="3"/>
      <c r="M72" s="3"/>
      <c r="N72" s="3">
        <v>1946.2254142403833</v>
      </c>
      <c r="O72" s="3">
        <v>1843.3249683368779</v>
      </c>
      <c r="P72" s="3">
        <v>1725.4274674485036</v>
      </c>
      <c r="Q72" s="3">
        <v>1801.6628268184895</v>
      </c>
      <c r="R72" s="3">
        <v>1740.7166869022035</v>
      </c>
      <c r="S72" s="3">
        <v>1749.7766881068526</v>
      </c>
      <c r="T72" s="3">
        <v>1996.4323955222944</v>
      </c>
      <c r="U72" s="3">
        <v>2029.9429252419916</v>
      </c>
      <c r="V72" s="3">
        <v>2065.2449871187241</v>
      </c>
      <c r="W72" s="3">
        <v>2389.5321524684091</v>
      </c>
      <c r="X72" s="3">
        <v>2483.1517892546435</v>
      </c>
      <c r="Y72" s="3">
        <v>2179.0831112314104</v>
      </c>
      <c r="Z72" s="3">
        <v>2183.3053733070483</v>
      </c>
      <c r="AA72" s="3">
        <v>2233.0133343572693</v>
      </c>
      <c r="AB72" s="3">
        <v>2292.7851309526859</v>
      </c>
      <c r="AC72" s="3">
        <v>2204.7563317608578</v>
      </c>
      <c r="AD72" s="3"/>
      <c r="AE72" t="s">
        <v>5361</v>
      </c>
      <c r="AF72" s="4" t="s">
        <v>1480</v>
      </c>
    </row>
    <row r="73" spans="1:32" ht="259.2" x14ac:dyDescent="0.3">
      <c r="A73" t="s">
        <v>1826</v>
      </c>
      <c r="B73" s="1" t="s">
        <v>1205</v>
      </c>
      <c r="C73" s="5" t="s">
        <v>2140</v>
      </c>
      <c r="D73" s="2" t="s">
        <v>3656</v>
      </c>
      <c r="E73" s="1" t="s">
        <v>852</v>
      </c>
      <c r="F73" s="3">
        <v>12.292</v>
      </c>
      <c r="G73" s="3">
        <v>7.3639999999999999</v>
      </c>
      <c r="H73" s="3"/>
      <c r="I73" s="3"/>
      <c r="J73" s="3"/>
      <c r="K73" s="3"/>
      <c r="L73" s="3"/>
      <c r="M73" s="3"/>
      <c r="N73" s="3"/>
      <c r="O73" s="3"/>
      <c r="P73" s="3">
        <v>15.376963961</v>
      </c>
      <c r="Q73" s="3">
        <v>2.7086036169840302</v>
      </c>
      <c r="R73" s="3">
        <v>0</v>
      </c>
      <c r="S73" s="3">
        <v>4.5639479999999999</v>
      </c>
      <c r="T73" s="3">
        <v>4.7191200000000002</v>
      </c>
      <c r="U73" s="3">
        <v>0.98336807284282501</v>
      </c>
      <c r="V73" s="3">
        <v>1.20223033825879</v>
      </c>
      <c r="W73" s="3">
        <v>5.4194066666666698</v>
      </c>
      <c r="X73" s="3">
        <v>4.1602689844241203</v>
      </c>
      <c r="Y73" s="3">
        <v>9.1668620000000001</v>
      </c>
      <c r="Z73" s="3">
        <v>4.3178330000000003</v>
      </c>
      <c r="AA73" s="3">
        <v>4.028365</v>
      </c>
      <c r="AB73" s="3"/>
      <c r="AC73" s="3"/>
      <c r="AD73" s="3"/>
      <c r="AE73" t="s">
        <v>5365</v>
      </c>
      <c r="AF73" s="4" t="s">
        <v>1860</v>
      </c>
    </row>
    <row r="74" spans="1:32" ht="316.8" x14ac:dyDescent="0.3">
      <c r="A74" t="s">
        <v>1826</v>
      </c>
      <c r="B74" s="1" t="s">
        <v>1205</v>
      </c>
      <c r="C74" s="5" t="s">
        <v>2141</v>
      </c>
      <c r="D74" s="2" t="s">
        <v>3657</v>
      </c>
      <c r="E74" s="1" t="s">
        <v>480</v>
      </c>
      <c r="F74" s="3">
        <v>107979</v>
      </c>
      <c r="G74" s="3">
        <v>46364</v>
      </c>
      <c r="H74" s="3"/>
      <c r="I74" s="3"/>
      <c r="J74" s="3"/>
      <c r="K74" s="3"/>
      <c r="L74" s="3"/>
      <c r="M74" s="3"/>
      <c r="N74" s="3"/>
      <c r="O74" s="3"/>
      <c r="P74" s="3">
        <v>516085</v>
      </c>
      <c r="Q74" s="3">
        <v>89791.867766357405</v>
      </c>
      <c r="R74" s="3">
        <v>39485.472201925797</v>
      </c>
      <c r="S74" s="3">
        <v>234996</v>
      </c>
      <c r="T74" s="3">
        <v>237120</v>
      </c>
      <c r="U74" s="3">
        <v>642893</v>
      </c>
      <c r="V74" s="3">
        <v>667062</v>
      </c>
      <c r="W74" s="3">
        <v>808471</v>
      </c>
      <c r="X74" s="3">
        <v>825257</v>
      </c>
      <c r="Y74" s="3">
        <v>748540</v>
      </c>
      <c r="Z74" s="3">
        <v>322841</v>
      </c>
      <c r="AA74" s="3">
        <v>569309</v>
      </c>
      <c r="AB74" s="3"/>
      <c r="AC74" s="3"/>
      <c r="AD74" s="3"/>
      <c r="AE74" t="s">
        <v>5366</v>
      </c>
      <c r="AF74" s="4" t="s">
        <v>432</v>
      </c>
    </row>
    <row r="75" spans="1:32" ht="302.39999999999998" x14ac:dyDescent="0.3">
      <c r="A75" t="s">
        <v>1826</v>
      </c>
      <c r="B75" s="1" t="s">
        <v>1205</v>
      </c>
      <c r="C75" s="5" t="s">
        <v>2142</v>
      </c>
      <c r="D75" s="2" t="s">
        <v>3658</v>
      </c>
      <c r="E75" s="1" t="s">
        <v>874</v>
      </c>
      <c r="F75" s="3">
        <v>2342</v>
      </c>
      <c r="G75" s="3">
        <v>716</v>
      </c>
      <c r="H75" s="3"/>
      <c r="I75" s="3"/>
      <c r="J75" s="3"/>
      <c r="K75" s="3"/>
      <c r="L75" s="3"/>
      <c r="M75" s="3"/>
      <c r="N75" s="3"/>
      <c r="O75" s="3"/>
      <c r="P75" s="3">
        <v>5604</v>
      </c>
      <c r="Q75" s="3">
        <v>907</v>
      </c>
      <c r="R75" s="3">
        <v>415</v>
      </c>
      <c r="S75" s="3">
        <v>3912</v>
      </c>
      <c r="T75" s="3">
        <v>4032</v>
      </c>
      <c r="U75" s="3">
        <v>9068</v>
      </c>
      <c r="V75" s="3">
        <v>9463</v>
      </c>
      <c r="W75" s="3">
        <v>14884</v>
      </c>
      <c r="X75" s="3">
        <v>14666</v>
      </c>
      <c r="Y75" s="3">
        <v>16616</v>
      </c>
      <c r="Z75" s="3">
        <v>8030</v>
      </c>
      <c r="AA75" s="3">
        <v>11812</v>
      </c>
      <c r="AB75" s="3"/>
      <c r="AC75" s="3"/>
      <c r="AD75" s="3"/>
      <c r="AE75" t="s">
        <v>5367</v>
      </c>
      <c r="AF75" s="4" t="s">
        <v>161</v>
      </c>
    </row>
    <row r="76" spans="1:32" ht="43.2" x14ac:dyDescent="0.3">
      <c r="A76" t="s">
        <v>1826</v>
      </c>
      <c r="B76" s="1" t="s">
        <v>1205</v>
      </c>
      <c r="C76" s="5" t="s">
        <v>2143</v>
      </c>
      <c r="D76" s="2" t="s">
        <v>3659</v>
      </c>
      <c r="E76" s="1" t="s">
        <v>586</v>
      </c>
      <c r="F76" s="3">
        <v>2.23</v>
      </c>
      <c r="G76" s="3">
        <v>2.37</v>
      </c>
      <c r="H76" s="3">
        <v>2.13</v>
      </c>
      <c r="I76" s="3">
        <v>2.39</v>
      </c>
      <c r="J76" s="3">
        <v>1.62</v>
      </c>
      <c r="K76" s="3">
        <v>1.28</v>
      </c>
      <c r="L76" s="3">
        <v>1.37</v>
      </c>
      <c r="M76" s="3">
        <v>1.52</v>
      </c>
      <c r="N76" s="3">
        <v>1.59</v>
      </c>
      <c r="O76" s="3">
        <v>1.95</v>
      </c>
      <c r="P76" s="3">
        <v>1.67</v>
      </c>
      <c r="Q76" s="3">
        <v>1.61</v>
      </c>
      <c r="R76" s="3">
        <v>1.48</v>
      </c>
      <c r="S76" s="3">
        <v>1.29</v>
      </c>
      <c r="T76" s="3">
        <v>1.53</v>
      </c>
      <c r="U76" s="3">
        <v>1.2</v>
      </c>
      <c r="V76" s="3">
        <v>1.29</v>
      </c>
      <c r="W76" s="3">
        <v>1.68</v>
      </c>
      <c r="X76" s="3">
        <v>2.59</v>
      </c>
      <c r="Y76" s="3">
        <v>2.9</v>
      </c>
      <c r="Z76" s="3">
        <v>2.66</v>
      </c>
      <c r="AA76" s="3">
        <v>1.62</v>
      </c>
      <c r="AB76" s="3">
        <v>1.71</v>
      </c>
      <c r="AC76" s="3"/>
      <c r="AD76" s="3"/>
      <c r="AE76" t="s">
        <v>5368</v>
      </c>
      <c r="AF76" s="4" t="s">
        <v>148</v>
      </c>
    </row>
    <row r="77" spans="1:32" ht="115.2" x14ac:dyDescent="0.3">
      <c r="A77" t="s">
        <v>1826</v>
      </c>
      <c r="B77" s="1" t="s">
        <v>1205</v>
      </c>
      <c r="C77" s="5" t="s">
        <v>2144</v>
      </c>
      <c r="D77" s="2" t="s">
        <v>3660</v>
      </c>
      <c r="E77" s="1" t="s">
        <v>1025</v>
      </c>
      <c r="F77" s="3">
        <v>42.589437819399997</v>
      </c>
      <c r="G77" s="3">
        <v>41.691720950899999</v>
      </c>
      <c r="H77" s="3">
        <v>40.828418523400003</v>
      </c>
      <c r="I77" s="3">
        <v>39.997588812099998</v>
      </c>
      <c r="J77" s="3">
        <v>39.197433470100002</v>
      </c>
      <c r="K77" s="3">
        <v>38.426284533999997</v>
      </c>
      <c r="L77" s="3">
        <v>39.523886806900002</v>
      </c>
      <c r="M77" s="3">
        <v>40.715099931600001</v>
      </c>
      <c r="N77" s="3">
        <v>41.964894141999999</v>
      </c>
      <c r="O77" s="3">
        <v>43.326132164999997</v>
      </c>
      <c r="P77" s="3">
        <v>44.774701185300003</v>
      </c>
      <c r="Q77" s="3">
        <v>46.319283878199997</v>
      </c>
      <c r="R77" s="3">
        <v>47.9496812792</v>
      </c>
      <c r="S77" s="3">
        <v>49.726607162599997</v>
      </c>
      <c r="T77" s="3">
        <v>51.635111876099998</v>
      </c>
      <c r="U77" s="3">
        <v>51.635111876099998</v>
      </c>
      <c r="V77" s="3">
        <v>51.635111876099998</v>
      </c>
      <c r="W77" s="3">
        <v>51.635111876099998</v>
      </c>
      <c r="X77" s="3">
        <v>51.635111876099998</v>
      </c>
      <c r="Y77" s="3">
        <v>51.635111876099998</v>
      </c>
      <c r="Z77" s="3">
        <v>51.635111876099998</v>
      </c>
      <c r="AA77" s="3">
        <v>51.635111876099998</v>
      </c>
      <c r="AB77" s="3"/>
      <c r="AC77" s="3"/>
      <c r="AD77" s="3"/>
      <c r="AE77" t="s">
        <v>5369</v>
      </c>
      <c r="AF77" s="4" t="s">
        <v>712</v>
      </c>
    </row>
    <row r="78" spans="1:32" ht="129.6" x14ac:dyDescent="0.3">
      <c r="A78" t="s">
        <v>1826</v>
      </c>
      <c r="B78" s="1" t="s">
        <v>1205</v>
      </c>
      <c r="C78" s="5" t="s">
        <v>2145</v>
      </c>
      <c r="D78" s="2" t="s">
        <v>3661</v>
      </c>
      <c r="E78" s="1" t="s">
        <v>1845</v>
      </c>
      <c r="F78" s="3">
        <v>38.273708120400002</v>
      </c>
      <c r="G78" s="3">
        <v>38.871722064499998</v>
      </c>
      <c r="H78" s="3">
        <v>39.446810834399997</v>
      </c>
      <c r="I78" s="3">
        <v>40.000267909800002</v>
      </c>
      <c r="J78" s="3">
        <v>40.533291259099997</v>
      </c>
      <c r="K78" s="3">
        <v>41.046991995900001</v>
      </c>
      <c r="L78" s="3">
        <v>39.889049544099997</v>
      </c>
      <c r="M78" s="3">
        <v>38.690629987100003</v>
      </c>
      <c r="N78" s="3">
        <v>37.403952346300002</v>
      </c>
      <c r="O78" s="3">
        <v>36.0152637849</v>
      </c>
      <c r="P78" s="3">
        <v>34.537483121299999</v>
      </c>
      <c r="Q78" s="3">
        <v>32.961752586599999</v>
      </c>
      <c r="R78" s="3">
        <v>31.264912218199999</v>
      </c>
      <c r="S78" s="3">
        <v>29.4683362225</v>
      </c>
      <c r="T78" s="3">
        <v>27.538726333900001</v>
      </c>
      <c r="U78" s="3">
        <v>27.538726333900001</v>
      </c>
      <c r="V78" s="3">
        <v>27.538726333900001</v>
      </c>
      <c r="W78" s="3">
        <v>27.538726333900001</v>
      </c>
      <c r="X78" s="3">
        <v>27.538726333900001</v>
      </c>
      <c r="Y78" s="3">
        <v>27.538726333900001</v>
      </c>
      <c r="Z78" s="3">
        <v>27.538726333900001</v>
      </c>
      <c r="AA78" s="3">
        <v>27.538726333900001</v>
      </c>
      <c r="AB78" s="3"/>
      <c r="AC78" s="3"/>
      <c r="AD78" s="3"/>
      <c r="AE78" t="s">
        <v>5370</v>
      </c>
      <c r="AF78" s="4" t="s">
        <v>1495</v>
      </c>
    </row>
    <row r="79" spans="1:32" ht="100.8" x14ac:dyDescent="0.3">
      <c r="A79" t="s">
        <v>1826</v>
      </c>
      <c r="B79" s="1" t="s">
        <v>1205</v>
      </c>
      <c r="C79" s="5" t="s">
        <v>2146</v>
      </c>
      <c r="D79" s="2" t="s">
        <v>3662</v>
      </c>
      <c r="E79" s="1" t="s">
        <v>2069</v>
      </c>
      <c r="F79" s="3">
        <v>19.136854060200001</v>
      </c>
      <c r="G79" s="3">
        <v>19.436556984599999</v>
      </c>
      <c r="H79" s="3">
        <v>19.724770642199999</v>
      </c>
      <c r="I79" s="3">
        <v>20.0021432781</v>
      </c>
      <c r="J79" s="3">
        <v>20.2692752709</v>
      </c>
      <c r="K79" s="3">
        <v>20.5267234702</v>
      </c>
      <c r="L79" s="3">
        <v>20.552391631500001</v>
      </c>
      <c r="M79" s="3">
        <v>20.594270081299999</v>
      </c>
      <c r="N79" s="3">
        <v>20.631153511800001</v>
      </c>
      <c r="O79" s="3">
        <v>20.658604050200001</v>
      </c>
      <c r="P79" s="3">
        <v>20.687815693400001</v>
      </c>
      <c r="Q79" s="3">
        <v>20.718963535099999</v>
      </c>
      <c r="R79" s="3">
        <v>20.743563263399999</v>
      </c>
      <c r="S79" s="3">
        <v>20.783388042599999</v>
      </c>
      <c r="T79" s="3">
        <v>20.82616179</v>
      </c>
      <c r="U79" s="3">
        <v>20.82616179</v>
      </c>
      <c r="V79" s="3">
        <v>20.82616179</v>
      </c>
      <c r="W79" s="3">
        <v>20.82616179</v>
      </c>
      <c r="X79" s="3">
        <v>20.82616179</v>
      </c>
      <c r="Y79" s="3">
        <v>20.82616179</v>
      </c>
      <c r="Z79" s="3">
        <v>20.82616179</v>
      </c>
      <c r="AA79" s="3">
        <v>20.82616179</v>
      </c>
      <c r="AB79" s="3"/>
      <c r="AC79" s="3"/>
      <c r="AD79" s="3"/>
      <c r="AE79" t="s">
        <v>5371</v>
      </c>
      <c r="AF79" s="4" t="s">
        <v>451</v>
      </c>
    </row>
    <row r="80" spans="1:32" ht="100.8" x14ac:dyDescent="0.3">
      <c r="A80" t="s">
        <v>1826</v>
      </c>
      <c r="B80" s="1" t="s">
        <v>1205</v>
      </c>
      <c r="C80" s="5" t="s">
        <v>2147</v>
      </c>
      <c r="D80" s="2" t="s">
        <v>3663</v>
      </c>
      <c r="E80" s="1" t="s">
        <v>1862</v>
      </c>
      <c r="F80" s="3">
        <v>1.8334200937011973</v>
      </c>
      <c r="G80" s="3">
        <v>1.869963560645497</v>
      </c>
      <c r="H80" s="3">
        <v>1.9065070275897971</v>
      </c>
      <c r="I80" s="3">
        <v>1.9430504945340967</v>
      </c>
      <c r="J80" s="3">
        <v>1.9795939614783966</v>
      </c>
      <c r="K80" s="3">
        <v>2.0161374284226965</v>
      </c>
      <c r="L80" s="3">
        <v>1.9601480710567412</v>
      </c>
      <c r="M80" s="3">
        <v>1.9027994678552835</v>
      </c>
      <c r="N80" s="3">
        <v>1.8461304876366478</v>
      </c>
      <c r="O80" s="3">
        <v>1.7904809416970326</v>
      </c>
      <c r="P80" s="3">
        <v>1.7348313956272774</v>
      </c>
      <c r="Q80" s="3">
        <v>1.6791818496876623</v>
      </c>
      <c r="R80" s="3">
        <v>1.6242119266007289</v>
      </c>
      <c r="S80" s="3">
        <v>1.5682225692347735</v>
      </c>
      <c r="T80" s="3">
        <v>1.5122332118688182</v>
      </c>
      <c r="U80" s="3">
        <v>1.5122332118688182</v>
      </c>
      <c r="V80" s="3">
        <v>1.5122332118688182</v>
      </c>
      <c r="W80" s="3">
        <v>1.5122332118688182</v>
      </c>
      <c r="X80" s="3">
        <v>1.5122332118688182</v>
      </c>
      <c r="Y80" s="3">
        <v>1.5122332118688182</v>
      </c>
      <c r="Z80" s="3">
        <v>1.5122332118688182</v>
      </c>
      <c r="AA80" s="3">
        <v>1.5122332118688182</v>
      </c>
      <c r="AB80" s="3"/>
      <c r="AC80" s="3"/>
      <c r="AD80" s="3"/>
      <c r="AE80" t="s">
        <v>5372</v>
      </c>
      <c r="AF80" s="4" t="s">
        <v>648</v>
      </c>
    </row>
    <row r="81" spans="1:32" ht="100.8" x14ac:dyDescent="0.3">
      <c r="A81" t="s">
        <v>1826</v>
      </c>
      <c r="B81" s="1" t="s">
        <v>1205</v>
      </c>
      <c r="C81" s="5" t="s">
        <v>2148</v>
      </c>
      <c r="D81" s="2" t="s">
        <v>3664</v>
      </c>
      <c r="E81" s="1" t="s">
        <v>645</v>
      </c>
      <c r="F81" s="3">
        <v>1.4088000000000001</v>
      </c>
      <c r="G81" s="3">
        <v>1.4368799999999999</v>
      </c>
      <c r="H81" s="3">
        <v>1.46496</v>
      </c>
      <c r="I81" s="3">
        <v>1.4930399999999999</v>
      </c>
      <c r="J81" s="3">
        <v>1.52112</v>
      </c>
      <c r="K81" s="3">
        <v>1.5491999999999999</v>
      </c>
      <c r="L81" s="3">
        <v>1.5061777778000001</v>
      </c>
      <c r="M81" s="3">
        <v>1.4621111111</v>
      </c>
      <c r="N81" s="3">
        <v>1.4185666667000001</v>
      </c>
      <c r="O81" s="3">
        <v>1.3758055556</v>
      </c>
      <c r="P81" s="3">
        <v>1.3330444444</v>
      </c>
      <c r="Q81" s="3">
        <v>1.2902833332999999</v>
      </c>
      <c r="R81" s="3">
        <v>1.2480444444000001</v>
      </c>
      <c r="S81" s="3">
        <v>1.2050222222</v>
      </c>
      <c r="T81" s="3">
        <v>1.1619999999999999</v>
      </c>
      <c r="U81" s="3">
        <v>1.1619999999999999</v>
      </c>
      <c r="V81" s="3">
        <v>1.1619999999999999</v>
      </c>
      <c r="W81" s="3">
        <v>1.1619999999999999</v>
      </c>
      <c r="X81" s="3">
        <v>1.1619999999999999</v>
      </c>
      <c r="Y81" s="3">
        <v>1.1619999999999999</v>
      </c>
      <c r="Z81" s="3">
        <v>1.1619999999999999</v>
      </c>
      <c r="AA81" s="3">
        <v>1.1619999999999999</v>
      </c>
      <c r="AB81" s="3"/>
      <c r="AC81" s="3"/>
      <c r="AD81" s="3"/>
      <c r="AE81" t="s">
        <v>5373</v>
      </c>
      <c r="AF81" s="4" t="s">
        <v>685</v>
      </c>
    </row>
    <row r="82" spans="1:32" ht="100.8" x14ac:dyDescent="0.3">
      <c r="A82" t="s">
        <v>1826</v>
      </c>
      <c r="B82" s="1" t="s">
        <v>1205</v>
      </c>
      <c r="C82" s="5" t="s">
        <v>2149</v>
      </c>
      <c r="D82" s="2" t="s">
        <v>3665</v>
      </c>
      <c r="E82" s="1" t="s">
        <v>1242</v>
      </c>
      <c r="F82" s="3"/>
      <c r="G82" s="3"/>
      <c r="H82" s="3"/>
      <c r="I82" s="3"/>
      <c r="J82" s="3"/>
      <c r="K82" s="3"/>
      <c r="L82" s="3"/>
      <c r="M82" s="3"/>
      <c r="N82" s="3"/>
      <c r="O82" s="3"/>
      <c r="P82" s="3"/>
      <c r="Q82" s="3"/>
      <c r="R82" s="3"/>
      <c r="S82" s="3"/>
      <c r="T82" s="3"/>
      <c r="U82" s="3"/>
      <c r="V82" s="3"/>
      <c r="W82" s="3"/>
      <c r="X82" s="3"/>
      <c r="Y82" s="3"/>
      <c r="Z82" s="3"/>
      <c r="AA82" s="3">
        <v>1.21</v>
      </c>
      <c r="AB82" s="3"/>
      <c r="AC82" s="3"/>
      <c r="AD82" s="3"/>
      <c r="AE82" t="s">
        <v>5374</v>
      </c>
      <c r="AF82" s="4" t="s">
        <v>1403</v>
      </c>
    </row>
    <row r="83" spans="1:32" ht="100.8" x14ac:dyDescent="0.3">
      <c r="A83" t="s">
        <v>1826</v>
      </c>
      <c r="B83" s="1" t="s">
        <v>1205</v>
      </c>
      <c r="C83" s="5" t="s">
        <v>2150</v>
      </c>
      <c r="D83" s="2" t="s">
        <v>3666</v>
      </c>
      <c r="E83" s="1" t="s">
        <v>1855</v>
      </c>
      <c r="F83" s="3"/>
      <c r="G83" s="3"/>
      <c r="H83" s="3"/>
      <c r="I83" s="3"/>
      <c r="J83" s="3"/>
      <c r="K83" s="3"/>
      <c r="L83" s="3"/>
      <c r="M83" s="3"/>
      <c r="N83" s="3"/>
      <c r="O83" s="3"/>
      <c r="P83" s="3"/>
      <c r="Q83" s="3"/>
      <c r="R83" s="3"/>
      <c r="S83" s="3"/>
      <c r="T83" s="3"/>
      <c r="U83" s="3"/>
      <c r="V83" s="3"/>
      <c r="W83" s="3"/>
      <c r="X83" s="3"/>
      <c r="Y83" s="3"/>
      <c r="Z83" s="3"/>
      <c r="AA83" s="3">
        <v>-0.67</v>
      </c>
      <c r="AB83" s="3"/>
      <c r="AC83" s="3"/>
      <c r="AD83" s="3"/>
      <c r="AE83" t="s">
        <v>5375</v>
      </c>
      <c r="AF83" s="4" t="s">
        <v>1117</v>
      </c>
    </row>
    <row r="84" spans="1:32" ht="57.6" x14ac:dyDescent="0.3">
      <c r="A84" t="s">
        <v>1826</v>
      </c>
      <c r="B84" s="1" t="s">
        <v>1205</v>
      </c>
      <c r="C84" s="5" t="s">
        <v>2151</v>
      </c>
      <c r="D84" s="2" t="s">
        <v>3667</v>
      </c>
      <c r="E84" s="1" t="s">
        <v>1338</v>
      </c>
      <c r="F84" s="3">
        <v>0</v>
      </c>
      <c r="G84" s="3">
        <v>0</v>
      </c>
      <c r="H84" s="3">
        <v>0</v>
      </c>
      <c r="I84" s="3">
        <v>0</v>
      </c>
      <c r="J84" s="3">
        <v>1</v>
      </c>
      <c r="K84" s="3">
        <v>3</v>
      </c>
      <c r="L84" s="3">
        <v>5</v>
      </c>
      <c r="M84" s="3">
        <v>6</v>
      </c>
      <c r="N84" s="3">
        <v>10</v>
      </c>
      <c r="O84" s="3">
        <v>14</v>
      </c>
      <c r="P84" s="3">
        <v>16</v>
      </c>
      <c r="Q84" s="3">
        <v>19</v>
      </c>
      <c r="R84" s="3">
        <v>22</v>
      </c>
      <c r="S84" s="3">
        <v>26</v>
      </c>
      <c r="T84" s="3">
        <v>30</v>
      </c>
      <c r="U84" s="3">
        <v>35</v>
      </c>
      <c r="V84" s="3">
        <v>42</v>
      </c>
      <c r="W84" s="3">
        <v>52</v>
      </c>
      <c r="X84" s="3">
        <v>58</v>
      </c>
      <c r="Y84" s="3">
        <v>63</v>
      </c>
      <c r="Z84" s="3">
        <v>67</v>
      </c>
      <c r="AA84" s="3">
        <v>70</v>
      </c>
      <c r="AB84" s="3">
        <v>72</v>
      </c>
      <c r="AC84" s="3"/>
      <c r="AD84" s="3"/>
      <c r="AE84" t="s">
        <v>5376</v>
      </c>
      <c r="AF84" s="4" t="s">
        <v>419</v>
      </c>
    </row>
    <row r="85" spans="1:32" ht="158.4" x14ac:dyDescent="0.3">
      <c r="A85" t="s">
        <v>1826</v>
      </c>
      <c r="B85" s="1" t="s">
        <v>1205</v>
      </c>
      <c r="C85" s="5" t="s">
        <v>2152</v>
      </c>
      <c r="D85" s="2" t="s">
        <v>3668</v>
      </c>
      <c r="E85" s="1" t="s">
        <v>1728</v>
      </c>
      <c r="F85" s="3">
        <v>0</v>
      </c>
      <c r="G85" s="3">
        <v>1</v>
      </c>
      <c r="H85" s="3">
        <v>2</v>
      </c>
      <c r="I85" s="3">
        <v>4</v>
      </c>
      <c r="J85" s="3">
        <v>6</v>
      </c>
      <c r="K85" s="3">
        <v>15</v>
      </c>
      <c r="L85" s="3">
        <v>9</v>
      </c>
      <c r="M85" s="3">
        <v>17</v>
      </c>
      <c r="N85" s="3">
        <v>33</v>
      </c>
      <c r="O85" s="3">
        <v>42</v>
      </c>
      <c r="P85" s="3">
        <v>46</v>
      </c>
      <c r="Q85" s="3">
        <v>44</v>
      </c>
      <c r="R85" s="3">
        <v>58</v>
      </c>
      <c r="S85" s="3">
        <v>74</v>
      </c>
      <c r="T85" s="3">
        <v>86</v>
      </c>
      <c r="U85" s="3">
        <v>89</v>
      </c>
      <c r="V85" s="3">
        <v>88</v>
      </c>
      <c r="W85" s="3">
        <v>92</v>
      </c>
      <c r="X85" s="3">
        <v>92</v>
      </c>
      <c r="Y85" s="3">
        <v>86</v>
      </c>
      <c r="Z85" s="3">
        <v>82</v>
      </c>
      <c r="AA85" s="3">
        <v>84</v>
      </c>
      <c r="AB85" s="3">
        <v>80</v>
      </c>
      <c r="AC85" s="3"/>
      <c r="AD85" s="3"/>
      <c r="AE85" t="s">
        <v>5377</v>
      </c>
      <c r="AF85" s="4" t="s">
        <v>1806</v>
      </c>
    </row>
    <row r="86" spans="1:32" ht="28.8" x14ac:dyDescent="0.3">
      <c r="A86" t="s">
        <v>1826</v>
      </c>
      <c r="B86" s="1" t="s">
        <v>1205</v>
      </c>
      <c r="C86" s="5" t="s">
        <v>2153</v>
      </c>
      <c r="D86" s="2" t="s">
        <v>3669</v>
      </c>
      <c r="E86" s="1" t="s">
        <v>297</v>
      </c>
      <c r="F86" s="3">
        <v>1197</v>
      </c>
      <c r="G86" s="3">
        <v>1025</v>
      </c>
      <c r="H86" s="3">
        <v>806</v>
      </c>
      <c r="I86" s="3">
        <v>866</v>
      </c>
      <c r="J86" s="3">
        <v>866</v>
      </c>
      <c r="K86" s="3">
        <v>866</v>
      </c>
      <c r="L86" s="3">
        <v>866</v>
      </c>
      <c r="M86" s="3">
        <v>1290</v>
      </c>
      <c r="N86" s="3">
        <v>1290</v>
      </c>
      <c r="O86" s="3">
        <v>1340</v>
      </c>
      <c r="P86" s="3">
        <v>1700</v>
      </c>
      <c r="Q86" s="3">
        <v>3394</v>
      </c>
      <c r="R86" s="3">
        <v>3720</v>
      </c>
      <c r="S86" s="3">
        <v>3720</v>
      </c>
      <c r="T86" s="3">
        <v>3750</v>
      </c>
      <c r="U86" s="3">
        <v>4000</v>
      </c>
      <c r="V86" s="3">
        <v>4392</v>
      </c>
      <c r="W86" s="3">
        <v>4500</v>
      </c>
      <c r="X86" s="3">
        <v>4700</v>
      </c>
      <c r="Y86" s="3">
        <v>5020</v>
      </c>
      <c r="Z86" s="3">
        <v>5420</v>
      </c>
      <c r="AA86" s="3">
        <v>5720</v>
      </c>
      <c r="AB86" s="3">
        <v>6200</v>
      </c>
      <c r="AC86" s="3"/>
      <c r="AD86" s="3"/>
      <c r="AE86" t="s">
        <v>5378</v>
      </c>
      <c r="AF86" s="4" t="s">
        <v>1940</v>
      </c>
    </row>
    <row r="87" spans="1:32" ht="115.2" x14ac:dyDescent="0.3">
      <c r="A87" t="s">
        <v>1826</v>
      </c>
      <c r="B87" s="1" t="s">
        <v>1205</v>
      </c>
      <c r="C87" s="5" t="s">
        <v>2154</v>
      </c>
      <c r="D87" s="2" t="s">
        <v>3670</v>
      </c>
      <c r="E87" s="1" t="s">
        <v>34</v>
      </c>
      <c r="F87" s="3">
        <v>8.8050314465408803</v>
      </c>
      <c r="G87" s="3">
        <v>8.8050314465408803</v>
      </c>
      <c r="H87" s="3">
        <v>8.8050314465408803</v>
      </c>
      <c r="I87" s="3">
        <v>8.8050314465408803</v>
      </c>
      <c r="J87" s="3">
        <v>8.8050314465408803</v>
      </c>
      <c r="K87" s="3">
        <v>8.8050314465408803</v>
      </c>
      <c r="L87" s="3">
        <v>8.8050314465408803</v>
      </c>
      <c r="M87" s="3">
        <v>9.1194968553459113</v>
      </c>
      <c r="N87" s="3">
        <v>9.1194968553459113</v>
      </c>
      <c r="O87" s="3">
        <v>9.1194968553459113</v>
      </c>
      <c r="P87" s="3">
        <v>9.1194968553459113</v>
      </c>
      <c r="Q87" s="3">
        <v>9.1194968553459113</v>
      </c>
      <c r="R87" s="3">
        <v>9.433962264150944</v>
      </c>
      <c r="S87" s="3">
        <v>11.0062893081761</v>
      </c>
      <c r="T87" s="3">
        <v>11.0062893081761</v>
      </c>
      <c r="U87" s="3">
        <v>12.118705031446542</v>
      </c>
      <c r="V87" s="3">
        <v>11.888658490566037</v>
      </c>
      <c r="W87" s="3">
        <v>12.526446226415095</v>
      </c>
      <c r="X87" s="3">
        <v>12.819372641509434</v>
      </c>
      <c r="Y87" s="3">
        <v>13.039834591194968</v>
      </c>
      <c r="Z87" s="3">
        <v>12.991895283018867</v>
      </c>
      <c r="AA87" s="3">
        <v>13.355367295597484</v>
      </c>
      <c r="AB87" s="3">
        <v>13.549796855345914</v>
      </c>
      <c r="AC87" s="3"/>
      <c r="AD87" s="3"/>
      <c r="AE87" t="s">
        <v>5379</v>
      </c>
      <c r="AF87" s="4" t="s">
        <v>1975</v>
      </c>
    </row>
    <row r="88" spans="1:32" ht="86.4" x14ac:dyDescent="0.3">
      <c r="A88" t="s">
        <v>1826</v>
      </c>
      <c r="B88" s="1" t="s">
        <v>1205</v>
      </c>
      <c r="C88" s="5" t="s">
        <v>2155</v>
      </c>
      <c r="D88" s="2" t="s">
        <v>3671</v>
      </c>
      <c r="E88" s="1" t="s">
        <v>526</v>
      </c>
      <c r="F88" s="3">
        <v>0.15820099255302728</v>
      </c>
      <c r="G88" s="3">
        <v>0.15402461082244026</v>
      </c>
      <c r="H88" s="3">
        <v>0.15009565113396461</v>
      </c>
      <c r="I88" s="3">
        <v>0.14640107977070663</v>
      </c>
      <c r="J88" s="3">
        <v>0.14289359530492474</v>
      </c>
      <c r="K88" s="3">
        <v>0.13952242867887507</v>
      </c>
      <c r="L88" s="3">
        <v>0.13627424842075181</v>
      </c>
      <c r="M88" s="3">
        <v>0.13789458177952293</v>
      </c>
      <c r="N88" s="3">
        <v>0.1347931963273595</v>
      </c>
      <c r="O88" s="3">
        <v>0.13183052594924796</v>
      </c>
      <c r="P88" s="3">
        <v>0.12895729356883306</v>
      </c>
      <c r="Q88" s="3">
        <v>0.12618571055608738</v>
      </c>
      <c r="R88" s="3">
        <v>0.12783866828243379</v>
      </c>
      <c r="S88" s="3">
        <v>0.14620020447142881</v>
      </c>
      <c r="T88" s="3">
        <v>0.14269758366104512</v>
      </c>
      <c r="U88" s="3">
        <v>0.13863394546425775</v>
      </c>
      <c r="V88" s="3">
        <v>0.13467026274745419</v>
      </c>
      <c r="W88" s="3">
        <v>0.13092250390261281</v>
      </c>
      <c r="X88" s="3">
        <v>0.12743875448206651</v>
      </c>
      <c r="Y88" s="3">
        <v>0.12414425150575449</v>
      </c>
      <c r="Z88" s="3">
        <v>0.1210425610198894</v>
      </c>
      <c r="AA88" s="3">
        <v>0.11808472248200862</v>
      </c>
      <c r="AB88" s="3"/>
      <c r="AC88" s="3"/>
      <c r="AD88" s="3"/>
      <c r="AE88" t="s">
        <v>5380</v>
      </c>
      <c r="AF88" s="4" t="s">
        <v>220</v>
      </c>
    </row>
    <row r="89" spans="1:32" ht="43.2" x14ac:dyDescent="0.3">
      <c r="A89" t="s">
        <v>1826</v>
      </c>
      <c r="B89" s="1" t="s">
        <v>1205</v>
      </c>
      <c r="C89" s="5" t="s">
        <v>626</v>
      </c>
      <c r="D89" s="2" t="s">
        <v>3672</v>
      </c>
      <c r="E89" s="1" t="s">
        <v>609</v>
      </c>
      <c r="F89" s="3">
        <v>2800000</v>
      </c>
      <c r="G89" s="3">
        <v>2800000</v>
      </c>
      <c r="H89" s="3">
        <v>2800000</v>
      </c>
      <c r="I89" s="3">
        <v>2800000</v>
      </c>
      <c r="J89" s="3">
        <v>2800000</v>
      </c>
      <c r="K89" s="3">
        <v>2800000</v>
      </c>
      <c r="L89" s="3">
        <v>2800000</v>
      </c>
      <c r="M89" s="3">
        <v>2900000</v>
      </c>
      <c r="N89" s="3">
        <v>2900000</v>
      </c>
      <c r="O89" s="3">
        <v>2900000</v>
      </c>
      <c r="P89" s="3">
        <v>2900000</v>
      </c>
      <c r="Q89" s="3">
        <v>2900000</v>
      </c>
      <c r="R89" s="3">
        <v>3000000</v>
      </c>
      <c r="S89" s="3">
        <v>3500000</v>
      </c>
      <c r="T89" s="3">
        <v>3500000</v>
      </c>
      <c r="U89" s="3">
        <v>3500000</v>
      </c>
      <c r="V89" s="3">
        <v>3500000</v>
      </c>
      <c r="W89" s="3">
        <v>3500000</v>
      </c>
      <c r="X89" s="3">
        <v>3500000</v>
      </c>
      <c r="Y89" s="3">
        <v>3500000</v>
      </c>
      <c r="Z89" s="3">
        <v>3500000</v>
      </c>
      <c r="AA89" s="3">
        <v>3500000</v>
      </c>
      <c r="AB89" s="3"/>
      <c r="AC89" s="3"/>
      <c r="AD89" s="3"/>
      <c r="AE89" t="s">
        <v>5381</v>
      </c>
      <c r="AF89" s="4" t="s">
        <v>1834</v>
      </c>
    </row>
    <row r="90" spans="1:32" ht="43.2" x14ac:dyDescent="0.3">
      <c r="A90" t="s">
        <v>1826</v>
      </c>
      <c r="B90" s="1" t="s">
        <v>1205</v>
      </c>
      <c r="C90" s="5" t="s">
        <v>2156</v>
      </c>
      <c r="D90" s="2" t="s">
        <v>3673</v>
      </c>
      <c r="E90" s="1" t="s">
        <v>362</v>
      </c>
      <c r="F90" s="3">
        <v>38</v>
      </c>
      <c r="G90" s="3"/>
      <c r="H90" s="3"/>
      <c r="I90" s="3"/>
      <c r="J90" s="3"/>
      <c r="K90" s="3"/>
      <c r="L90" s="3">
        <v>35</v>
      </c>
      <c r="M90" s="3"/>
      <c r="N90" s="3"/>
      <c r="O90" s="3"/>
      <c r="P90" s="3"/>
      <c r="Q90" s="3"/>
      <c r="R90" s="3">
        <v>38.200000000000003</v>
      </c>
      <c r="S90" s="3"/>
      <c r="T90" s="3"/>
      <c r="U90" s="3"/>
      <c r="V90" s="3">
        <v>44</v>
      </c>
      <c r="W90" s="3"/>
      <c r="X90" s="3"/>
      <c r="Y90" s="3"/>
      <c r="Z90" s="3"/>
      <c r="AA90" s="3"/>
      <c r="AB90" s="3"/>
      <c r="AC90" s="3"/>
      <c r="AD90" s="3"/>
      <c r="AE90" t="s">
        <v>5382</v>
      </c>
      <c r="AF90" s="4" t="s">
        <v>930</v>
      </c>
    </row>
    <row r="91" spans="1:32" ht="316.8" x14ac:dyDescent="0.3">
      <c r="A91" t="s">
        <v>1826</v>
      </c>
      <c r="B91" s="1" t="s">
        <v>1205</v>
      </c>
      <c r="C91" s="5" t="s">
        <v>2157</v>
      </c>
      <c r="D91" s="2" t="s">
        <v>3674</v>
      </c>
      <c r="E91" s="1" t="s">
        <v>523</v>
      </c>
      <c r="F91" s="3"/>
      <c r="G91" s="3"/>
      <c r="H91" s="3"/>
      <c r="I91" s="3"/>
      <c r="J91" s="3">
        <v>0.25883266468228289</v>
      </c>
      <c r="K91" s="3">
        <v>0.26635612346419413</v>
      </c>
      <c r="L91" s="3"/>
      <c r="M91" s="3">
        <v>0.25313932735285011</v>
      </c>
      <c r="N91" s="3">
        <v>0.24449245361173902</v>
      </c>
      <c r="O91" s="3">
        <v>0.22882112466754637</v>
      </c>
      <c r="P91" s="3"/>
      <c r="Q91" s="3"/>
      <c r="R91" s="3"/>
      <c r="S91" s="3"/>
      <c r="T91" s="3">
        <v>0.26221854510242887</v>
      </c>
      <c r="U91" s="3">
        <v>0.25604202858207409</v>
      </c>
      <c r="V91" s="3">
        <v>0.24966876445020389</v>
      </c>
      <c r="W91" s="3">
        <v>0.26521642396908163</v>
      </c>
      <c r="X91" s="3">
        <v>0.26087085066795979</v>
      </c>
      <c r="Y91" s="3">
        <v>1.2734284704774617</v>
      </c>
      <c r="Z91" s="3">
        <v>0.24837815961166904</v>
      </c>
      <c r="AA91" s="3"/>
      <c r="AB91" s="3"/>
      <c r="AC91" s="3"/>
      <c r="AD91" s="3"/>
      <c r="AE91" t="s">
        <v>5383</v>
      </c>
      <c r="AF91" s="4" t="s">
        <v>1036</v>
      </c>
    </row>
    <row r="92" spans="1:32" ht="129.6" x14ac:dyDescent="0.3">
      <c r="A92" t="s">
        <v>1826</v>
      </c>
      <c r="B92" s="1" t="s">
        <v>1205</v>
      </c>
      <c r="C92" s="5" t="s">
        <v>2158</v>
      </c>
      <c r="D92" s="2" t="s">
        <v>3675</v>
      </c>
      <c r="E92" s="1" t="s">
        <v>1638</v>
      </c>
      <c r="F92" s="3"/>
      <c r="G92" s="3"/>
      <c r="H92" s="3"/>
      <c r="I92" s="3"/>
      <c r="J92" s="3">
        <v>18000</v>
      </c>
      <c r="K92" s="3">
        <v>19000</v>
      </c>
      <c r="L92" s="3"/>
      <c r="M92" s="3">
        <v>19000</v>
      </c>
      <c r="N92" s="3">
        <v>19000</v>
      </c>
      <c r="O92" s="3">
        <v>18550</v>
      </c>
      <c r="P92" s="3"/>
      <c r="Q92" s="3"/>
      <c r="R92" s="3"/>
      <c r="S92" s="3"/>
      <c r="T92" s="3">
        <v>25000</v>
      </c>
      <c r="U92" s="3">
        <v>25000</v>
      </c>
      <c r="V92" s="3">
        <v>25000</v>
      </c>
      <c r="W92" s="3">
        <v>27000</v>
      </c>
      <c r="X92" s="3">
        <v>27000</v>
      </c>
      <c r="Y92" s="3">
        <v>134000</v>
      </c>
      <c r="Z92" s="3">
        <v>27000</v>
      </c>
      <c r="AA92" s="3"/>
      <c r="AB92" s="3"/>
      <c r="AC92" s="3"/>
      <c r="AD92" s="3"/>
      <c r="AE92" t="s">
        <v>5384</v>
      </c>
      <c r="AF92" s="4" t="s">
        <v>1810</v>
      </c>
    </row>
    <row r="93" spans="1:32" ht="172.8" x14ac:dyDescent="0.3">
      <c r="A93" t="s">
        <v>1826</v>
      </c>
      <c r="B93" s="1" t="s">
        <v>1205</v>
      </c>
      <c r="C93" s="5" t="s">
        <v>2159</v>
      </c>
      <c r="D93" s="2" t="s">
        <v>3676</v>
      </c>
      <c r="E93" s="1" t="s">
        <v>1523</v>
      </c>
      <c r="F93" s="3"/>
      <c r="G93" s="3"/>
      <c r="H93" s="3"/>
      <c r="I93" s="3"/>
      <c r="J93" s="3"/>
      <c r="K93" s="3"/>
      <c r="L93" s="3"/>
      <c r="M93" s="3"/>
      <c r="N93" s="3"/>
      <c r="O93" s="3"/>
      <c r="P93" s="3"/>
      <c r="Q93" s="3"/>
      <c r="R93" s="3"/>
      <c r="S93" s="3"/>
      <c r="T93" s="3"/>
      <c r="U93" s="3"/>
      <c r="V93" s="3"/>
      <c r="W93" s="3"/>
      <c r="X93" s="3"/>
      <c r="Y93" s="3"/>
      <c r="Z93" s="3"/>
      <c r="AA93" s="3"/>
      <c r="AB93" s="3"/>
      <c r="AC93" s="3"/>
      <c r="AD93" s="3"/>
      <c r="AE93" t="s">
        <v>5385</v>
      </c>
      <c r="AF93" s="4" t="s">
        <v>1030</v>
      </c>
    </row>
    <row r="94" spans="1:32" ht="172.8" x14ac:dyDescent="0.3">
      <c r="A94" t="s">
        <v>1826</v>
      </c>
      <c r="B94" s="1" t="s">
        <v>1205</v>
      </c>
      <c r="C94" s="5" t="s">
        <v>2160</v>
      </c>
      <c r="D94" s="2" t="s">
        <v>3677</v>
      </c>
      <c r="E94" s="1" t="s">
        <v>837</v>
      </c>
      <c r="F94" s="3">
        <v>0</v>
      </c>
      <c r="G94" s="3"/>
      <c r="H94" s="3">
        <v>32000000</v>
      </c>
      <c r="I94" s="3">
        <v>61000000</v>
      </c>
      <c r="J94" s="3">
        <v>9000000</v>
      </c>
      <c r="K94" s="3"/>
      <c r="L94" s="3"/>
      <c r="M94" s="3"/>
      <c r="N94" s="3"/>
      <c r="O94" s="3"/>
      <c r="P94" s="3"/>
      <c r="Q94" s="3"/>
      <c r="R94" s="3"/>
      <c r="S94" s="3"/>
      <c r="T94" s="3">
        <v>6000000</v>
      </c>
      <c r="U94" s="3">
        <v>5000000</v>
      </c>
      <c r="V94" s="3">
        <v>5000000</v>
      </c>
      <c r="W94" s="3">
        <v>14000000</v>
      </c>
      <c r="X94" s="3">
        <v>10000000</v>
      </c>
      <c r="Y94" s="3">
        <v>15000000</v>
      </c>
      <c r="Z94" s="3">
        <v>3000000</v>
      </c>
      <c r="AA94" s="3">
        <v>9000000</v>
      </c>
      <c r="AB94" s="3">
        <v>22000000</v>
      </c>
      <c r="AC94" s="3">
        <v>67000000</v>
      </c>
      <c r="AD94" s="3">
        <v>3000000</v>
      </c>
      <c r="AE94" t="s">
        <v>5386</v>
      </c>
      <c r="AF94" s="4" t="s">
        <v>1030</v>
      </c>
    </row>
    <row r="95" spans="1:32" ht="158.4" x14ac:dyDescent="0.3">
      <c r="A95" t="s">
        <v>1826</v>
      </c>
      <c r="B95" s="1" t="s">
        <v>1205</v>
      </c>
      <c r="C95" s="5" t="s">
        <v>2161</v>
      </c>
      <c r="D95" s="2" t="s">
        <v>3678</v>
      </c>
      <c r="E95" s="1" t="s">
        <v>376</v>
      </c>
      <c r="F95" s="3">
        <v>2239</v>
      </c>
      <c r="G95" s="3">
        <v>2321</v>
      </c>
      <c r="H95" s="3">
        <v>1139</v>
      </c>
      <c r="I95" s="3">
        <v>1318</v>
      </c>
      <c r="J95" s="3">
        <v>2102</v>
      </c>
      <c r="K95" s="3">
        <v>2436</v>
      </c>
      <c r="L95" s="3">
        <v>2301</v>
      </c>
      <c r="M95" s="3">
        <v>1770</v>
      </c>
      <c r="N95" s="3">
        <v>293</v>
      </c>
      <c r="O95" s="3">
        <v>217</v>
      </c>
      <c r="P95" s="3">
        <v>246</v>
      </c>
      <c r="Q95" s="3">
        <v>659</v>
      </c>
      <c r="R95" s="3">
        <v>508</v>
      </c>
      <c r="S95" s="3">
        <v>596</v>
      </c>
      <c r="T95" s="3">
        <v>660</v>
      </c>
      <c r="U95" s="3">
        <v>644</v>
      </c>
      <c r="V95" s="3">
        <v>276</v>
      </c>
      <c r="W95" s="3">
        <v>368</v>
      </c>
      <c r="X95" s="3">
        <v>198</v>
      </c>
      <c r="Y95" s="3">
        <v>151</v>
      </c>
      <c r="Z95" s="3">
        <v>224</v>
      </c>
      <c r="AA95" s="3">
        <v>129</v>
      </c>
      <c r="AB95" s="3">
        <v>3561</v>
      </c>
      <c r="AC95" s="3">
        <v>37460</v>
      </c>
      <c r="AD95" s="3"/>
      <c r="AE95" t="s">
        <v>5387</v>
      </c>
      <c r="AF95" s="4" t="s">
        <v>1145</v>
      </c>
    </row>
    <row r="96" spans="1:32" ht="158.4" x14ac:dyDescent="0.3">
      <c r="A96" t="s">
        <v>1826</v>
      </c>
      <c r="B96" s="1" t="s">
        <v>1205</v>
      </c>
      <c r="C96" s="5" t="s">
        <v>2162</v>
      </c>
      <c r="D96" s="2" t="s">
        <v>3679</v>
      </c>
      <c r="E96" s="1" t="s">
        <v>559</v>
      </c>
      <c r="F96" s="3">
        <v>678</v>
      </c>
      <c r="G96" s="3">
        <v>785</v>
      </c>
      <c r="H96" s="3">
        <v>1688</v>
      </c>
      <c r="I96" s="3">
        <v>3294</v>
      </c>
      <c r="J96" s="3">
        <v>4742</v>
      </c>
      <c r="K96" s="3">
        <v>6348</v>
      </c>
      <c r="L96" s="3">
        <v>6377</v>
      </c>
      <c r="M96" s="3">
        <v>7416</v>
      </c>
      <c r="N96" s="3">
        <v>6459</v>
      </c>
      <c r="O96" s="3">
        <v>5262</v>
      </c>
      <c r="P96" s="3">
        <v>6014</v>
      </c>
      <c r="Q96" s="3">
        <v>18197</v>
      </c>
      <c r="R96" s="3">
        <v>11192</v>
      </c>
      <c r="S96" s="3">
        <v>10985</v>
      </c>
      <c r="T96" s="3">
        <v>13404</v>
      </c>
      <c r="U96" s="3">
        <v>13752</v>
      </c>
      <c r="V96" s="3">
        <v>18628</v>
      </c>
      <c r="W96" s="3">
        <v>26535</v>
      </c>
      <c r="X96" s="3">
        <v>22855</v>
      </c>
      <c r="Y96" s="3">
        <v>19881</v>
      </c>
      <c r="Z96" s="3">
        <v>34216</v>
      </c>
      <c r="AA96" s="3">
        <v>32608</v>
      </c>
      <c r="AB96" s="3">
        <v>22037</v>
      </c>
      <c r="AC96" s="3">
        <v>25948</v>
      </c>
      <c r="AD96" s="3"/>
      <c r="AE96" t="s">
        <v>5387</v>
      </c>
      <c r="AF96" s="4" t="s">
        <v>1145</v>
      </c>
    </row>
    <row r="97" spans="1:32" ht="57.6" x14ac:dyDescent="0.3">
      <c r="A97" t="s">
        <v>1826</v>
      </c>
      <c r="B97" s="1" t="s">
        <v>1205</v>
      </c>
      <c r="C97" s="5" t="s">
        <v>2163</v>
      </c>
      <c r="D97" s="2" t="s">
        <v>3680</v>
      </c>
      <c r="E97" s="1" t="s">
        <v>1935</v>
      </c>
      <c r="F97" s="3"/>
      <c r="G97" s="3"/>
      <c r="H97" s="3"/>
      <c r="I97" s="3"/>
      <c r="J97" s="3"/>
      <c r="K97" s="3"/>
      <c r="L97" s="3"/>
      <c r="M97" s="3"/>
      <c r="N97" s="3"/>
      <c r="O97" s="3"/>
      <c r="P97" s="3"/>
      <c r="Q97" s="3"/>
      <c r="R97" s="3"/>
      <c r="S97" s="3"/>
      <c r="T97" s="3">
        <v>7.4631862643893001</v>
      </c>
      <c r="U97" s="3">
        <v>6.9675469401833503</v>
      </c>
      <c r="V97" s="3">
        <v>7.15025677876777</v>
      </c>
      <c r="W97" s="3">
        <v>7.0751499670273903</v>
      </c>
      <c r="X97" s="3">
        <v>8.95672271939533</v>
      </c>
      <c r="Y97" s="3">
        <v>8.1786797697399294</v>
      </c>
      <c r="Z97" s="3">
        <v>7.4607417124077298</v>
      </c>
      <c r="AA97" s="3">
        <v>7.2782251635255797</v>
      </c>
      <c r="AB97" s="3">
        <v>5.6733023674174996</v>
      </c>
      <c r="AC97" s="3"/>
      <c r="AD97" s="3"/>
      <c r="AE97" t="s">
        <v>5388</v>
      </c>
      <c r="AF97" s="4" t="s">
        <v>826</v>
      </c>
    </row>
    <row r="98" spans="1:32" ht="86.4" x14ac:dyDescent="0.3">
      <c r="A98" t="s">
        <v>1826</v>
      </c>
      <c r="B98" s="1" t="s">
        <v>1205</v>
      </c>
      <c r="C98" s="5" t="s">
        <v>2164</v>
      </c>
      <c r="D98" s="2" t="s">
        <v>3681</v>
      </c>
      <c r="E98" s="1" t="s">
        <v>152</v>
      </c>
      <c r="F98" s="3">
        <v>1348</v>
      </c>
      <c r="G98" s="3">
        <v>1348</v>
      </c>
      <c r="H98" s="3">
        <v>1348</v>
      </c>
      <c r="I98" s="3">
        <v>1348</v>
      </c>
      <c r="J98" s="3">
        <v>1348</v>
      </c>
      <c r="K98" s="3">
        <v>1348</v>
      </c>
      <c r="L98" s="3">
        <v>1348</v>
      </c>
      <c r="M98" s="3">
        <v>1348</v>
      </c>
      <c r="N98" s="3">
        <v>1348</v>
      </c>
      <c r="O98" s="3">
        <v>1348</v>
      </c>
      <c r="P98" s="3">
        <v>1348</v>
      </c>
      <c r="Q98" s="3">
        <v>1348</v>
      </c>
      <c r="R98" s="3">
        <v>1348</v>
      </c>
      <c r="S98" s="3">
        <v>1348</v>
      </c>
      <c r="T98" s="3">
        <v>1348</v>
      </c>
      <c r="U98" s="3">
        <v>1348</v>
      </c>
      <c r="V98" s="3">
        <v>1348</v>
      </c>
      <c r="W98" s="3">
        <v>1348</v>
      </c>
      <c r="X98" s="3">
        <v>1348</v>
      </c>
      <c r="Y98" s="3">
        <v>1348</v>
      </c>
      <c r="Z98" s="3">
        <v>1348</v>
      </c>
      <c r="AA98" s="3">
        <v>1348</v>
      </c>
      <c r="AB98" s="3"/>
      <c r="AC98" s="3"/>
      <c r="AD98" s="3"/>
      <c r="AE98" t="s">
        <v>5389</v>
      </c>
      <c r="AF98" s="4" t="s">
        <v>1882</v>
      </c>
    </row>
    <row r="99" spans="1:32" ht="409.6" x14ac:dyDescent="0.3">
      <c r="A99" t="s">
        <v>1826</v>
      </c>
      <c r="B99" s="1" t="s">
        <v>1205</v>
      </c>
      <c r="C99" s="5" t="s">
        <v>2165</v>
      </c>
      <c r="D99" s="2" t="s">
        <v>3682</v>
      </c>
      <c r="E99" s="1" t="s">
        <v>805</v>
      </c>
      <c r="F99" s="3"/>
      <c r="G99" s="3"/>
      <c r="H99" s="3"/>
      <c r="I99" s="3"/>
      <c r="J99" s="3"/>
      <c r="K99" s="3"/>
      <c r="L99" s="3"/>
      <c r="M99" s="3"/>
      <c r="N99" s="3"/>
      <c r="O99" s="3">
        <v>18.389944079999999</v>
      </c>
      <c r="P99" s="3"/>
      <c r="Q99" s="3"/>
      <c r="R99" s="3"/>
      <c r="S99" s="3"/>
      <c r="T99" s="3"/>
      <c r="U99" s="3"/>
      <c r="V99" s="3">
        <v>19.566858289999999</v>
      </c>
      <c r="W99" s="3"/>
      <c r="X99" s="3"/>
      <c r="Y99" s="3"/>
      <c r="Z99" s="3"/>
      <c r="AA99" s="3"/>
      <c r="AB99" s="3"/>
      <c r="AC99" s="3">
        <v>17.814394</v>
      </c>
      <c r="AD99" s="3"/>
      <c r="AE99" t="s">
        <v>5390</v>
      </c>
      <c r="AF99" s="4" t="s">
        <v>1960</v>
      </c>
    </row>
    <row r="100" spans="1:32" ht="409.6" x14ac:dyDescent="0.3">
      <c r="A100" t="s">
        <v>1826</v>
      </c>
      <c r="B100" s="1" t="s">
        <v>1205</v>
      </c>
      <c r="C100" s="5" t="s">
        <v>2166</v>
      </c>
      <c r="D100" s="2" t="s">
        <v>3683</v>
      </c>
      <c r="E100" s="1" t="s">
        <v>812</v>
      </c>
      <c r="F100" s="3"/>
      <c r="G100" s="3"/>
      <c r="H100" s="3"/>
      <c r="I100" s="3"/>
      <c r="J100" s="3"/>
      <c r="K100" s="3"/>
      <c r="L100" s="3"/>
      <c r="M100" s="3"/>
      <c r="N100" s="3"/>
      <c r="O100" s="3"/>
      <c r="P100" s="3"/>
      <c r="Q100" s="3"/>
      <c r="R100" s="3"/>
      <c r="S100" s="3"/>
      <c r="T100" s="3"/>
      <c r="U100" s="3"/>
      <c r="V100" s="3"/>
      <c r="W100" s="3"/>
      <c r="X100" s="3"/>
      <c r="Y100" s="3"/>
      <c r="Z100" s="3"/>
      <c r="AA100" s="3"/>
      <c r="AB100" s="3"/>
      <c r="AC100" s="3">
        <v>28.58225822</v>
      </c>
      <c r="AD100" s="3"/>
      <c r="AE100" t="s">
        <v>5391</v>
      </c>
      <c r="AF100" s="4" t="s">
        <v>1764</v>
      </c>
    </row>
    <row r="101" spans="1:32" ht="201.6" x14ac:dyDescent="0.3">
      <c r="A101" t="s">
        <v>1826</v>
      </c>
      <c r="B101" s="1" t="s">
        <v>1205</v>
      </c>
      <c r="C101" s="5" t="s">
        <v>2167</v>
      </c>
      <c r="D101" s="2" t="s">
        <v>3684</v>
      </c>
      <c r="E101" s="1" t="s">
        <v>1460</v>
      </c>
      <c r="F101" s="3"/>
      <c r="G101" s="3"/>
      <c r="H101" s="3"/>
      <c r="I101" s="3"/>
      <c r="J101" s="3"/>
      <c r="K101" s="3"/>
      <c r="L101" s="3"/>
      <c r="M101" s="3"/>
      <c r="N101" s="3"/>
      <c r="O101" s="3"/>
      <c r="P101" s="3"/>
      <c r="Q101" s="3"/>
      <c r="R101" s="3"/>
      <c r="S101" s="3"/>
      <c r="T101" s="3"/>
      <c r="U101" s="3"/>
      <c r="V101" s="3">
        <v>3.2090999999999998</v>
      </c>
      <c r="W101" s="3">
        <v>1.0752699999999999</v>
      </c>
      <c r="X101" s="3">
        <v>3.1042999999999998</v>
      </c>
      <c r="Y101" s="3">
        <v>2.57348</v>
      </c>
      <c r="Z101" s="3">
        <v>2.5118299999999998</v>
      </c>
      <c r="AA101" s="3">
        <v>2.3966699999999999</v>
      </c>
      <c r="AB101" s="3">
        <v>2</v>
      </c>
      <c r="AC101" s="3">
        <v>3.0533329999999999</v>
      </c>
      <c r="AD101" s="3"/>
      <c r="AE101" t="s">
        <v>5392</v>
      </c>
      <c r="AF101" s="4" t="s">
        <v>1849</v>
      </c>
    </row>
    <row r="102" spans="1:32" ht="172.8" x14ac:dyDescent="0.3">
      <c r="A102" t="s">
        <v>1826</v>
      </c>
      <c r="B102" s="1" t="s">
        <v>1205</v>
      </c>
      <c r="C102" s="5" t="s">
        <v>2168</v>
      </c>
      <c r="D102" s="2" t="s">
        <v>3685</v>
      </c>
      <c r="E102" s="1" t="s">
        <v>1580</v>
      </c>
      <c r="F102" s="3"/>
      <c r="G102" s="3"/>
      <c r="H102" s="3"/>
      <c r="I102" s="3"/>
      <c r="J102" s="3"/>
      <c r="K102" s="3"/>
      <c r="L102" s="3"/>
      <c r="M102" s="3"/>
      <c r="N102" s="3"/>
      <c r="O102" s="3"/>
      <c r="P102" s="3"/>
      <c r="Q102" s="3"/>
      <c r="R102" s="3"/>
      <c r="S102" s="3"/>
      <c r="T102" s="3"/>
      <c r="U102" s="3"/>
      <c r="V102" s="3">
        <v>6.6122399999999999</v>
      </c>
      <c r="W102" s="3">
        <v>3.49762</v>
      </c>
      <c r="X102" s="3">
        <v>3.49762</v>
      </c>
      <c r="Y102" s="3">
        <v>2.5452900000000001</v>
      </c>
      <c r="Z102" s="3">
        <v>1.19048</v>
      </c>
      <c r="AA102" s="3">
        <v>2.09</v>
      </c>
      <c r="AB102" s="3">
        <v>0.37666699999999997</v>
      </c>
      <c r="AC102" s="3">
        <v>0.74333300000000002</v>
      </c>
      <c r="AD102" s="3"/>
      <c r="AE102" t="s">
        <v>5393</v>
      </c>
      <c r="AF102" s="4" t="s">
        <v>1719</v>
      </c>
    </row>
    <row r="103" spans="1:32" ht="129.6" x14ac:dyDescent="0.3">
      <c r="A103" t="s">
        <v>1826</v>
      </c>
      <c r="B103" s="1" t="s">
        <v>1205</v>
      </c>
      <c r="C103" s="5" t="s">
        <v>2169</v>
      </c>
      <c r="D103" s="2" t="s">
        <v>3686</v>
      </c>
      <c r="E103" s="1" t="s">
        <v>1670</v>
      </c>
      <c r="F103" s="3"/>
      <c r="G103" s="3"/>
      <c r="H103" s="3"/>
      <c r="I103" s="3"/>
      <c r="J103" s="3"/>
      <c r="K103" s="3"/>
      <c r="L103" s="3"/>
      <c r="M103" s="3"/>
      <c r="N103" s="3"/>
      <c r="O103" s="3"/>
      <c r="P103" s="3"/>
      <c r="Q103" s="3"/>
      <c r="R103" s="3">
        <v>10</v>
      </c>
      <c r="S103" s="3"/>
      <c r="T103" s="3"/>
      <c r="U103" s="3"/>
      <c r="V103" s="3"/>
      <c r="W103" s="3"/>
      <c r="X103" s="3"/>
      <c r="Y103" s="3"/>
      <c r="Z103" s="3"/>
      <c r="AA103" s="3"/>
      <c r="AB103" s="3"/>
      <c r="AC103" s="3"/>
      <c r="AD103" s="3"/>
      <c r="AE103" t="s">
        <v>5394</v>
      </c>
      <c r="AF103" s="4" t="s">
        <v>1263</v>
      </c>
    </row>
    <row r="104" spans="1:32" ht="129.6" x14ac:dyDescent="0.3">
      <c r="A104" t="s">
        <v>1826</v>
      </c>
      <c r="B104" s="1" t="s">
        <v>1205</v>
      </c>
      <c r="C104" s="5" t="s">
        <v>2170</v>
      </c>
      <c r="D104" s="2" t="s">
        <v>3687</v>
      </c>
      <c r="E104" s="1" t="s">
        <v>1881</v>
      </c>
      <c r="F104" s="3"/>
      <c r="G104" s="3"/>
      <c r="H104" s="3"/>
      <c r="I104" s="3"/>
      <c r="J104" s="3"/>
      <c r="K104" s="3"/>
      <c r="L104" s="3"/>
      <c r="M104" s="3"/>
      <c r="N104" s="3"/>
      <c r="O104" s="3"/>
      <c r="P104" s="3"/>
      <c r="Q104" s="3"/>
      <c r="R104" s="3">
        <v>9.1</v>
      </c>
      <c r="S104" s="3"/>
      <c r="T104" s="3"/>
      <c r="U104" s="3"/>
      <c r="V104" s="3"/>
      <c r="W104" s="3"/>
      <c r="X104" s="3"/>
      <c r="Y104" s="3"/>
      <c r="Z104" s="3"/>
      <c r="AA104" s="3"/>
      <c r="AB104" s="3"/>
      <c r="AC104" s="3"/>
      <c r="AD104" s="3"/>
      <c r="AE104" t="s">
        <v>5394</v>
      </c>
      <c r="AF104" s="4" t="s">
        <v>1263</v>
      </c>
    </row>
    <row r="105" spans="1:32" ht="129.6" x14ac:dyDescent="0.3">
      <c r="A105" t="s">
        <v>1826</v>
      </c>
      <c r="B105" s="1" t="s">
        <v>1205</v>
      </c>
      <c r="C105" s="5" t="s">
        <v>2171</v>
      </c>
      <c r="D105" s="2" t="s">
        <v>3688</v>
      </c>
      <c r="E105" s="1" t="s">
        <v>10</v>
      </c>
      <c r="F105" s="3"/>
      <c r="G105" s="3"/>
      <c r="H105" s="3"/>
      <c r="I105" s="3"/>
      <c r="J105" s="3"/>
      <c r="K105" s="3"/>
      <c r="L105" s="3"/>
      <c r="M105" s="3"/>
      <c r="N105" s="3"/>
      <c r="O105" s="3"/>
      <c r="P105" s="3"/>
      <c r="Q105" s="3"/>
      <c r="R105" s="3">
        <v>10.6</v>
      </c>
      <c r="S105" s="3"/>
      <c r="T105" s="3"/>
      <c r="U105" s="3"/>
      <c r="V105" s="3"/>
      <c r="W105" s="3"/>
      <c r="X105" s="3"/>
      <c r="Y105" s="3"/>
      <c r="Z105" s="3"/>
      <c r="AA105" s="3"/>
      <c r="AB105" s="3"/>
      <c r="AC105" s="3"/>
      <c r="AD105" s="3"/>
      <c r="AE105" t="s">
        <v>5394</v>
      </c>
      <c r="AF105" s="4" t="s">
        <v>1263</v>
      </c>
    </row>
    <row r="106" spans="1:32" ht="129.6" x14ac:dyDescent="0.3">
      <c r="A106" t="s">
        <v>1826</v>
      </c>
      <c r="B106" s="1" t="s">
        <v>1205</v>
      </c>
      <c r="C106" s="5" t="s">
        <v>2172</v>
      </c>
      <c r="D106" s="2" t="s">
        <v>3689</v>
      </c>
      <c r="E106" s="1" t="s">
        <v>48</v>
      </c>
      <c r="F106" s="3"/>
      <c r="G106" s="3"/>
      <c r="H106" s="3"/>
      <c r="I106" s="3"/>
      <c r="J106" s="3"/>
      <c r="K106" s="3"/>
      <c r="L106" s="3"/>
      <c r="M106" s="3"/>
      <c r="N106" s="3"/>
      <c r="O106" s="3"/>
      <c r="P106" s="3"/>
      <c r="Q106" s="3"/>
      <c r="R106" s="3">
        <v>22.4</v>
      </c>
      <c r="S106" s="3"/>
      <c r="T106" s="3"/>
      <c r="U106" s="3"/>
      <c r="V106" s="3"/>
      <c r="W106" s="3"/>
      <c r="X106" s="3"/>
      <c r="Y106" s="3"/>
      <c r="Z106" s="3"/>
      <c r="AA106" s="3"/>
      <c r="AB106" s="3"/>
      <c r="AC106" s="3"/>
      <c r="AD106" s="3"/>
      <c r="AE106" t="s">
        <v>5395</v>
      </c>
      <c r="AF106" s="4" t="s">
        <v>1263</v>
      </c>
    </row>
    <row r="107" spans="1:32" ht="129.6" x14ac:dyDescent="0.3">
      <c r="A107" t="s">
        <v>1826</v>
      </c>
      <c r="B107" s="1" t="s">
        <v>1205</v>
      </c>
      <c r="C107" s="5" t="s">
        <v>2173</v>
      </c>
      <c r="D107" s="2" t="s">
        <v>3690</v>
      </c>
      <c r="E107" s="1" t="s">
        <v>964</v>
      </c>
      <c r="F107" s="3"/>
      <c r="G107" s="3"/>
      <c r="H107" s="3"/>
      <c r="I107" s="3"/>
      <c r="J107" s="3"/>
      <c r="K107" s="3"/>
      <c r="L107" s="3"/>
      <c r="M107" s="3"/>
      <c r="N107" s="3"/>
      <c r="O107" s="3"/>
      <c r="P107" s="3"/>
      <c r="Q107" s="3"/>
      <c r="R107" s="3">
        <v>21.1</v>
      </c>
      <c r="S107" s="3"/>
      <c r="T107" s="3"/>
      <c r="U107" s="3"/>
      <c r="V107" s="3"/>
      <c r="W107" s="3"/>
      <c r="X107" s="3"/>
      <c r="Y107" s="3"/>
      <c r="Z107" s="3"/>
      <c r="AA107" s="3"/>
      <c r="AB107" s="3"/>
      <c r="AC107" s="3"/>
      <c r="AD107" s="3"/>
      <c r="AE107" t="s">
        <v>5395</v>
      </c>
      <c r="AF107" s="4" t="s">
        <v>1263</v>
      </c>
    </row>
    <row r="108" spans="1:32" ht="129.6" x14ac:dyDescent="0.3">
      <c r="A108" t="s">
        <v>1826</v>
      </c>
      <c r="B108" s="1" t="s">
        <v>1205</v>
      </c>
      <c r="C108" s="5" t="s">
        <v>2174</v>
      </c>
      <c r="D108" s="2" t="s">
        <v>3691</v>
      </c>
      <c r="E108" s="1" t="s">
        <v>1139</v>
      </c>
      <c r="F108" s="3"/>
      <c r="G108" s="3"/>
      <c r="H108" s="3"/>
      <c r="I108" s="3"/>
      <c r="J108" s="3"/>
      <c r="K108" s="3"/>
      <c r="L108" s="3"/>
      <c r="M108" s="3"/>
      <c r="N108" s="3"/>
      <c r="O108" s="3"/>
      <c r="P108" s="3"/>
      <c r="Q108" s="3"/>
      <c r="R108" s="3">
        <v>24.1</v>
      </c>
      <c r="S108" s="3"/>
      <c r="T108" s="3"/>
      <c r="U108" s="3"/>
      <c r="V108" s="3"/>
      <c r="W108" s="3"/>
      <c r="X108" s="3"/>
      <c r="Y108" s="3"/>
      <c r="Z108" s="3"/>
      <c r="AA108" s="3"/>
      <c r="AB108" s="3"/>
      <c r="AC108" s="3"/>
      <c r="AD108" s="3"/>
      <c r="AE108" t="s">
        <v>5395</v>
      </c>
      <c r="AF108" s="4" t="s">
        <v>1263</v>
      </c>
    </row>
    <row r="109" spans="1:32" ht="144" x14ac:dyDescent="0.3">
      <c r="A109" t="s">
        <v>1826</v>
      </c>
      <c r="B109" s="1" t="s">
        <v>1205</v>
      </c>
      <c r="C109" s="5" t="s">
        <v>2175</v>
      </c>
      <c r="D109" s="2" t="s">
        <v>3692</v>
      </c>
      <c r="E109" s="1" t="s">
        <v>1186</v>
      </c>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t="s">
        <v>5396</v>
      </c>
      <c r="AF109" s="4" t="s">
        <v>385</v>
      </c>
    </row>
    <row r="110" spans="1:32" ht="86.4" x14ac:dyDescent="0.3">
      <c r="A110" t="s">
        <v>1826</v>
      </c>
      <c r="B110" s="1" t="s">
        <v>1205</v>
      </c>
      <c r="C110" s="5" t="s">
        <v>2176</v>
      </c>
      <c r="D110" s="2" t="s">
        <v>3693</v>
      </c>
      <c r="E110" s="1" t="s">
        <v>838</v>
      </c>
      <c r="F110" s="3"/>
      <c r="G110" s="3">
        <v>6.081005645805222</v>
      </c>
      <c r="H110" s="3">
        <v>6.5555259340625431</v>
      </c>
      <c r="I110" s="3">
        <v>10.041200636059067</v>
      </c>
      <c r="J110" s="3">
        <v>13.94309327262992</v>
      </c>
      <c r="K110" s="3">
        <v>8.4668928383851618</v>
      </c>
      <c r="L110" s="3">
        <v>2.2948568172104244</v>
      </c>
      <c r="M110" s="3">
        <v>8.6802959730267162</v>
      </c>
      <c r="N110" s="3">
        <v>9.774829254736126</v>
      </c>
      <c r="O110" s="3">
        <v>11.130649765278074</v>
      </c>
      <c r="P110" s="3">
        <v>10.136422269269742</v>
      </c>
      <c r="Q110" s="3">
        <v>22.893090688815867</v>
      </c>
      <c r="R110" s="3">
        <v>13.031674371232638</v>
      </c>
      <c r="S110" s="3">
        <v>12.965780584904058</v>
      </c>
      <c r="T110" s="3">
        <v>14.455124427624213</v>
      </c>
      <c r="U110" s="3">
        <v>14.405328517019376</v>
      </c>
      <c r="V110" s="3">
        <v>9.9956502658386484</v>
      </c>
      <c r="W110" s="3">
        <v>8.49253784184795</v>
      </c>
      <c r="X110" s="3">
        <v>10.324294331572377</v>
      </c>
      <c r="Y110" s="3">
        <v>14.060765001239819</v>
      </c>
      <c r="Z110" s="3">
        <v>16.282154857803398</v>
      </c>
      <c r="AA110" s="3">
        <v>19.979150892343391</v>
      </c>
      <c r="AB110" s="3">
        <v>19.129344903294854</v>
      </c>
      <c r="AC110" s="3">
        <v>11.542854062001366</v>
      </c>
      <c r="AD110" s="3">
        <v>15.2273423680722</v>
      </c>
      <c r="AE110" t="s">
        <v>5397</v>
      </c>
      <c r="AF110" s="4" t="s">
        <v>1714</v>
      </c>
    </row>
    <row r="111" spans="1:32" ht="187.2" x14ac:dyDescent="0.3">
      <c r="A111" t="s">
        <v>1826</v>
      </c>
      <c r="B111" s="1" t="s">
        <v>1205</v>
      </c>
      <c r="C111" s="5" t="s">
        <v>2177</v>
      </c>
      <c r="D111" s="2" t="s">
        <v>3694</v>
      </c>
      <c r="E111" s="1" t="s">
        <v>642</v>
      </c>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t="s">
        <v>5398</v>
      </c>
      <c r="AF111" s="4" t="s">
        <v>1500</v>
      </c>
    </row>
    <row r="112" spans="1:32" ht="57.6" x14ac:dyDescent="0.3">
      <c r="A112" t="s">
        <v>1826</v>
      </c>
      <c r="B112" s="1" t="s">
        <v>1205</v>
      </c>
      <c r="C112" s="5" t="s">
        <v>2178</v>
      </c>
      <c r="D112" s="2" t="s">
        <v>3695</v>
      </c>
      <c r="E112" s="1" t="s">
        <v>201</v>
      </c>
      <c r="F112" s="3"/>
      <c r="G112" s="3"/>
      <c r="H112" s="3">
        <v>661</v>
      </c>
      <c r="I112" s="3">
        <v>140</v>
      </c>
      <c r="J112" s="3">
        <v>47</v>
      </c>
      <c r="K112" s="3"/>
      <c r="L112" s="3"/>
      <c r="M112" s="3"/>
      <c r="N112" s="3"/>
      <c r="O112" s="3"/>
      <c r="P112" s="3"/>
      <c r="Q112" s="3">
        <v>98</v>
      </c>
      <c r="R112" s="3"/>
      <c r="S112" s="3"/>
      <c r="T112" s="3"/>
      <c r="U112" s="3"/>
      <c r="V112" s="3"/>
      <c r="W112" s="3"/>
      <c r="X112" s="3"/>
      <c r="Y112" s="3"/>
      <c r="Z112" s="3"/>
      <c r="AA112" s="3"/>
      <c r="AB112" s="3"/>
      <c r="AC112" s="3"/>
      <c r="AD112" s="3"/>
      <c r="AE112" t="s">
        <v>5399</v>
      </c>
      <c r="AF112" s="4" t="s">
        <v>1738</v>
      </c>
    </row>
    <row r="113" spans="1:32" ht="100.8" x14ac:dyDescent="0.3">
      <c r="A113" t="s">
        <v>1826</v>
      </c>
      <c r="B113" s="1" t="s">
        <v>1205</v>
      </c>
      <c r="C113" s="5" t="s">
        <v>2179</v>
      </c>
      <c r="D113" s="2" t="s">
        <v>3696</v>
      </c>
      <c r="E113" s="1" t="s">
        <v>1441</v>
      </c>
      <c r="F113" s="3"/>
      <c r="G113" s="3"/>
      <c r="H113" s="3">
        <v>5.7471298399929802</v>
      </c>
      <c r="I113" s="3"/>
      <c r="J113" s="3"/>
      <c r="K113" s="3"/>
      <c r="L113" s="3"/>
      <c r="M113" s="3"/>
      <c r="N113" s="3">
        <v>4.0203553065567101</v>
      </c>
      <c r="O113" s="3"/>
      <c r="P113" s="3"/>
      <c r="Q113" s="3"/>
      <c r="R113" s="3"/>
      <c r="S113" s="3"/>
      <c r="T113" s="3"/>
      <c r="U113" s="3">
        <v>6.7756071110318397</v>
      </c>
      <c r="V113" s="3"/>
      <c r="W113" s="3"/>
      <c r="X113" s="3">
        <v>12.524101277826601</v>
      </c>
      <c r="Y113" s="3"/>
      <c r="Z113" s="3"/>
      <c r="AA113" s="3">
        <v>0.59860023895294801</v>
      </c>
      <c r="AB113" s="3"/>
      <c r="AC113" s="3"/>
      <c r="AD113" s="3"/>
      <c r="AE113" t="s">
        <v>5400</v>
      </c>
      <c r="AF113" s="4" t="s">
        <v>752</v>
      </c>
    </row>
    <row r="114" spans="1:32" ht="100.8" x14ac:dyDescent="0.3">
      <c r="A114" t="s">
        <v>1826</v>
      </c>
      <c r="B114" s="1" t="s">
        <v>1205</v>
      </c>
      <c r="C114" s="5" t="s">
        <v>2180</v>
      </c>
      <c r="D114" s="2" t="s">
        <v>3697</v>
      </c>
      <c r="E114" s="1" t="s">
        <v>1251</v>
      </c>
      <c r="F114" s="3"/>
      <c r="G114" s="3"/>
      <c r="H114" s="3">
        <v>5.7471298399929802</v>
      </c>
      <c r="I114" s="3"/>
      <c r="J114" s="3"/>
      <c r="K114" s="3"/>
      <c r="L114" s="3"/>
      <c r="M114" s="3"/>
      <c r="N114" s="3">
        <v>3.91974887430742</v>
      </c>
      <c r="O114" s="3"/>
      <c r="P114" s="3"/>
      <c r="Q114" s="3"/>
      <c r="R114" s="3"/>
      <c r="S114" s="3"/>
      <c r="T114" s="3"/>
      <c r="U114" s="3">
        <v>6.6338408150556996</v>
      </c>
      <c r="V114" s="3"/>
      <c r="W114" s="3"/>
      <c r="X114" s="3">
        <v>11.874175359337</v>
      </c>
      <c r="Y114" s="3"/>
      <c r="Z114" s="3"/>
      <c r="AA114" s="3">
        <v>0.58513037978522398</v>
      </c>
      <c r="AB114" s="3"/>
      <c r="AC114" s="3"/>
      <c r="AD114" s="3"/>
      <c r="AE114" t="s">
        <v>5401</v>
      </c>
      <c r="AF114" s="4" t="s">
        <v>752</v>
      </c>
    </row>
    <row r="115" spans="1:32" ht="100.8" x14ac:dyDescent="0.3">
      <c r="A115" t="s">
        <v>1826</v>
      </c>
      <c r="B115" s="1" t="s">
        <v>1205</v>
      </c>
      <c r="C115" s="5" t="s">
        <v>2181</v>
      </c>
      <c r="D115" s="2" t="s">
        <v>3698</v>
      </c>
      <c r="E115" s="1" t="s">
        <v>1720</v>
      </c>
      <c r="F115" s="3"/>
      <c r="G115" s="3"/>
      <c r="H115" s="3"/>
      <c r="I115" s="3"/>
      <c r="J115" s="3"/>
      <c r="K115" s="3"/>
      <c r="L115" s="3"/>
      <c r="M115" s="3"/>
      <c r="N115" s="3">
        <v>1.40159798420214</v>
      </c>
      <c r="O115" s="3"/>
      <c r="P115" s="3"/>
      <c r="Q115" s="3"/>
      <c r="R115" s="3"/>
      <c r="S115" s="3"/>
      <c r="T115" s="3"/>
      <c r="U115" s="3">
        <v>1.1984894233027601</v>
      </c>
      <c r="V115" s="3"/>
      <c r="W115" s="3"/>
      <c r="X115" s="3">
        <v>3.5693153065954499</v>
      </c>
      <c r="Y115" s="3"/>
      <c r="Z115" s="3"/>
      <c r="AA115" s="3"/>
      <c r="AB115" s="3"/>
      <c r="AC115" s="3"/>
      <c r="AD115" s="3"/>
      <c r="AE115" t="s">
        <v>5402</v>
      </c>
      <c r="AF115" s="4" t="s">
        <v>752</v>
      </c>
    </row>
    <row r="116" spans="1:32" ht="100.8" x14ac:dyDescent="0.3">
      <c r="A116" t="s">
        <v>1826</v>
      </c>
      <c r="B116" s="1" t="s">
        <v>1205</v>
      </c>
      <c r="C116" s="5" t="s">
        <v>2182</v>
      </c>
      <c r="D116" s="2" t="s">
        <v>3699</v>
      </c>
      <c r="E116" s="1" t="s">
        <v>841</v>
      </c>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t="s">
        <v>5403</v>
      </c>
      <c r="AF116" s="4" t="s">
        <v>752</v>
      </c>
    </row>
    <row r="117" spans="1:32" ht="216" x14ac:dyDescent="0.3">
      <c r="A117" t="s">
        <v>1826</v>
      </c>
      <c r="B117" s="1" t="s">
        <v>1205</v>
      </c>
      <c r="C117" s="5" t="s">
        <v>2183</v>
      </c>
      <c r="D117" s="2" t="s">
        <v>3700</v>
      </c>
      <c r="E117" s="1" t="s">
        <v>1712</v>
      </c>
      <c r="F117" s="3"/>
      <c r="G117" s="3">
        <v>35.86</v>
      </c>
      <c r="H117" s="3">
        <v>35.86</v>
      </c>
      <c r="I117" s="3">
        <v>34.78</v>
      </c>
      <c r="J117" s="3">
        <v>34.78</v>
      </c>
      <c r="K117" s="3">
        <v>34.78</v>
      </c>
      <c r="L117" s="3">
        <v>34.78</v>
      </c>
      <c r="M117" s="3">
        <v>33.72</v>
      </c>
      <c r="N117" s="3">
        <v>33.72</v>
      </c>
      <c r="O117" s="3">
        <v>33.72</v>
      </c>
      <c r="P117" s="3">
        <v>33.72</v>
      </c>
      <c r="Q117" s="3">
        <v>33.72</v>
      </c>
      <c r="R117" s="3">
        <v>33.72</v>
      </c>
      <c r="S117" s="3">
        <v>33.72</v>
      </c>
      <c r="T117" s="3">
        <v>33.72</v>
      </c>
      <c r="U117" s="3">
        <v>34.04</v>
      </c>
      <c r="V117" s="3">
        <v>34.04</v>
      </c>
      <c r="W117" s="3">
        <v>34.19</v>
      </c>
      <c r="X117" s="3">
        <v>34.19</v>
      </c>
      <c r="Y117" s="3">
        <v>34.18</v>
      </c>
      <c r="Z117" s="3">
        <v>34.18</v>
      </c>
      <c r="AA117" s="3">
        <v>34.18</v>
      </c>
      <c r="AB117" s="3">
        <v>34.18</v>
      </c>
      <c r="AC117" s="3"/>
      <c r="AD117" s="3"/>
      <c r="AE117" t="s">
        <v>5404</v>
      </c>
      <c r="AF117" s="4" t="s">
        <v>1813</v>
      </c>
    </row>
    <row r="118" spans="1:32" ht="230.4" x14ac:dyDescent="0.3">
      <c r="A118" t="s">
        <v>1826</v>
      </c>
      <c r="B118" s="1" t="s">
        <v>1205</v>
      </c>
      <c r="C118" s="5" t="s">
        <v>2184</v>
      </c>
      <c r="D118" s="2" t="s">
        <v>3701</v>
      </c>
      <c r="E118" s="1" t="s">
        <v>1950</v>
      </c>
      <c r="F118" s="3"/>
      <c r="G118" s="3">
        <v>29.85</v>
      </c>
      <c r="H118" s="3">
        <v>29.85</v>
      </c>
      <c r="I118" s="3">
        <v>28.5</v>
      </c>
      <c r="J118" s="3">
        <v>28.5</v>
      </c>
      <c r="K118" s="3">
        <v>28.5</v>
      </c>
      <c r="L118" s="3">
        <v>28.5</v>
      </c>
      <c r="M118" s="3">
        <v>27.25</v>
      </c>
      <c r="N118" s="3">
        <v>27.25</v>
      </c>
      <c r="O118" s="3">
        <v>27.25</v>
      </c>
      <c r="P118" s="3">
        <v>27.25</v>
      </c>
      <c r="Q118" s="3">
        <v>27.25</v>
      </c>
      <c r="R118" s="3">
        <v>27.25</v>
      </c>
      <c r="S118" s="3">
        <v>27.25</v>
      </c>
      <c r="T118" s="3">
        <v>27.25</v>
      </c>
      <c r="U118" s="3">
        <v>26.89</v>
      </c>
      <c r="V118" s="3">
        <v>26.89</v>
      </c>
      <c r="W118" s="3">
        <v>26.83</v>
      </c>
      <c r="X118" s="3">
        <v>26.83</v>
      </c>
      <c r="Y118" s="3">
        <v>26.83</v>
      </c>
      <c r="Z118" s="3">
        <v>26.83</v>
      </c>
      <c r="AA118" s="3">
        <v>26.83</v>
      </c>
      <c r="AB118" s="3">
        <v>26.83</v>
      </c>
      <c r="AC118" s="3"/>
      <c r="AD118" s="3"/>
      <c r="AE118" t="s">
        <v>5405</v>
      </c>
      <c r="AF118" s="4" t="s">
        <v>1936</v>
      </c>
    </row>
    <row r="119" spans="1:32" ht="230.4" x14ac:dyDescent="0.3">
      <c r="A119" t="s">
        <v>1826</v>
      </c>
      <c r="B119" s="1" t="s">
        <v>1205</v>
      </c>
      <c r="C119" s="5" t="s">
        <v>2185</v>
      </c>
      <c r="D119" s="2" t="s">
        <v>3702</v>
      </c>
      <c r="E119" s="1" t="s">
        <v>1633</v>
      </c>
      <c r="F119" s="3"/>
      <c r="G119" s="3">
        <v>57.02</v>
      </c>
      <c r="H119" s="3">
        <v>57.02</v>
      </c>
      <c r="I119" s="3">
        <v>56.27</v>
      </c>
      <c r="J119" s="3">
        <v>56.27</v>
      </c>
      <c r="K119" s="3">
        <v>56.27</v>
      </c>
      <c r="L119" s="3">
        <v>56.27</v>
      </c>
      <c r="M119" s="3">
        <v>55.39</v>
      </c>
      <c r="N119" s="3">
        <v>55.39</v>
      </c>
      <c r="O119" s="3">
        <v>55.39</v>
      </c>
      <c r="P119" s="3">
        <v>55.39</v>
      </c>
      <c r="Q119" s="3">
        <v>55.39</v>
      </c>
      <c r="R119" s="3">
        <v>55.39</v>
      </c>
      <c r="S119" s="3">
        <v>55.39</v>
      </c>
      <c r="T119" s="3">
        <v>55.39</v>
      </c>
      <c r="U119" s="3">
        <v>54.43</v>
      </c>
      <c r="V119" s="3">
        <v>54.43</v>
      </c>
      <c r="W119" s="3">
        <v>55.18</v>
      </c>
      <c r="X119" s="3">
        <v>55.18</v>
      </c>
      <c r="Y119" s="3">
        <v>55.14</v>
      </c>
      <c r="Z119" s="3">
        <v>55.14</v>
      </c>
      <c r="AA119" s="3">
        <v>55.14</v>
      </c>
      <c r="AB119" s="3">
        <v>55.14</v>
      </c>
      <c r="AC119" s="3"/>
      <c r="AD119" s="3"/>
      <c r="AE119" t="s">
        <v>5406</v>
      </c>
      <c r="AF119" s="4" t="s">
        <v>463</v>
      </c>
    </row>
    <row r="120" spans="1:32" ht="201.6" x14ac:dyDescent="0.3">
      <c r="A120" t="s">
        <v>1826</v>
      </c>
      <c r="B120" s="1" t="s">
        <v>1205</v>
      </c>
      <c r="C120" s="5" t="s">
        <v>2186</v>
      </c>
      <c r="D120" s="2" t="s">
        <v>3703</v>
      </c>
      <c r="E120" s="1" t="s">
        <v>1792</v>
      </c>
      <c r="F120" s="3"/>
      <c r="G120" s="3"/>
      <c r="H120" s="3"/>
      <c r="I120" s="3"/>
      <c r="J120" s="3"/>
      <c r="K120" s="3"/>
      <c r="L120" s="3"/>
      <c r="M120" s="3"/>
      <c r="N120" s="3"/>
      <c r="O120" s="3"/>
      <c r="P120" s="3"/>
      <c r="Q120" s="3"/>
      <c r="R120" s="3"/>
      <c r="S120" s="3"/>
      <c r="T120" s="3"/>
      <c r="U120" s="3"/>
      <c r="V120" s="3"/>
      <c r="W120" s="3"/>
      <c r="X120" s="3">
        <v>25</v>
      </c>
      <c r="Y120" s="3"/>
      <c r="Z120" s="3"/>
      <c r="AA120" s="3"/>
      <c r="AB120" s="3"/>
      <c r="AC120" s="3"/>
      <c r="AD120" s="3"/>
      <c r="AE120" t="s">
        <v>5407</v>
      </c>
      <c r="AF120" s="4" t="s">
        <v>288</v>
      </c>
    </row>
    <row r="121" spans="1:32" ht="144" x14ac:dyDescent="0.3">
      <c r="A121" t="s">
        <v>1826</v>
      </c>
      <c r="B121" s="1" t="s">
        <v>1205</v>
      </c>
      <c r="C121" s="5" t="s">
        <v>2187</v>
      </c>
      <c r="D121" s="2" t="s">
        <v>3704</v>
      </c>
      <c r="E121" s="1" t="s">
        <v>1674</v>
      </c>
      <c r="F121" s="3">
        <v>44.277999999999999</v>
      </c>
      <c r="G121" s="3">
        <v>43.902000000000001</v>
      </c>
      <c r="H121" s="3">
        <v>43.4</v>
      </c>
      <c r="I121" s="3">
        <v>42.802</v>
      </c>
      <c r="J121" s="3">
        <v>42.276000000000003</v>
      </c>
      <c r="K121" s="3">
        <v>41.927</v>
      </c>
      <c r="L121" s="3">
        <v>41.441000000000003</v>
      </c>
      <c r="M121" s="3">
        <v>40.960999999999999</v>
      </c>
      <c r="N121" s="3">
        <v>40.473999999999997</v>
      </c>
      <c r="O121" s="3">
        <v>40.744999999999997</v>
      </c>
      <c r="P121" s="3">
        <v>40.936</v>
      </c>
      <c r="Q121" s="3">
        <v>40.845999999999997</v>
      </c>
      <c r="R121" s="3">
        <v>40.688000000000002</v>
      </c>
      <c r="S121" s="3">
        <v>40.451000000000001</v>
      </c>
      <c r="T121" s="3">
        <v>39.841000000000001</v>
      </c>
      <c r="U121" s="3">
        <v>38.768000000000001</v>
      </c>
      <c r="V121" s="3">
        <v>37.741999999999997</v>
      </c>
      <c r="W121" s="3">
        <v>36.58</v>
      </c>
      <c r="X121" s="3">
        <v>35.081000000000003</v>
      </c>
      <c r="Y121" s="3">
        <v>34.305999999999997</v>
      </c>
      <c r="Z121" s="3">
        <v>33.651000000000003</v>
      </c>
      <c r="AA121" s="3">
        <v>33.081000000000003</v>
      </c>
      <c r="AB121" s="3">
        <v>32.5</v>
      </c>
      <c r="AC121" s="3">
        <v>31.99</v>
      </c>
      <c r="AD121" s="3"/>
      <c r="AE121" t="s">
        <v>5408</v>
      </c>
      <c r="AF121" s="4" t="s">
        <v>1917</v>
      </c>
    </row>
    <row r="122" spans="1:32" ht="144" x14ac:dyDescent="0.3">
      <c r="A122" t="s">
        <v>1826</v>
      </c>
      <c r="B122" s="1" t="s">
        <v>1205</v>
      </c>
      <c r="C122" s="5" t="s">
        <v>2188</v>
      </c>
      <c r="D122" s="2" t="s">
        <v>3705</v>
      </c>
      <c r="E122" s="1" t="s">
        <v>287</v>
      </c>
      <c r="F122" s="3">
        <v>62.8</v>
      </c>
      <c r="G122" s="3"/>
      <c r="H122" s="3"/>
      <c r="I122" s="3"/>
      <c r="J122" s="3">
        <v>68</v>
      </c>
      <c r="K122" s="3">
        <v>55.1</v>
      </c>
      <c r="L122" s="3">
        <v>56.8</v>
      </c>
      <c r="M122" s="3"/>
      <c r="N122" s="3"/>
      <c r="O122" s="3"/>
      <c r="P122" s="3"/>
      <c r="Q122" s="3"/>
      <c r="R122" s="3">
        <v>59.4</v>
      </c>
      <c r="S122" s="3"/>
      <c r="T122" s="3"/>
      <c r="U122" s="3"/>
      <c r="V122" s="3">
        <v>73.599999999999994</v>
      </c>
      <c r="W122" s="3"/>
      <c r="X122" s="3"/>
      <c r="Y122" s="3"/>
      <c r="Z122" s="3"/>
      <c r="AA122" s="3">
        <v>84</v>
      </c>
      <c r="AB122" s="3"/>
      <c r="AC122" s="3"/>
      <c r="AD122" s="3"/>
      <c r="AE122" t="s">
        <v>5409</v>
      </c>
      <c r="AF122" s="4" t="s">
        <v>1220</v>
      </c>
    </row>
    <row r="123" spans="1:32" ht="172.8" x14ac:dyDescent="0.3">
      <c r="A123" t="s">
        <v>1826</v>
      </c>
      <c r="B123" s="1" t="s">
        <v>1205</v>
      </c>
      <c r="C123" s="5" t="s">
        <v>2189</v>
      </c>
      <c r="D123" s="2" t="s">
        <v>3706</v>
      </c>
      <c r="E123" s="1" t="s">
        <v>1241</v>
      </c>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t="s">
        <v>5410</v>
      </c>
      <c r="AF123" s="4" t="s">
        <v>1161</v>
      </c>
    </row>
    <row r="124" spans="1:32" ht="201.6" x14ac:dyDescent="0.3">
      <c r="A124" t="s">
        <v>1826</v>
      </c>
      <c r="B124" s="1" t="s">
        <v>1205</v>
      </c>
      <c r="C124" s="5" t="s">
        <v>2190</v>
      </c>
      <c r="D124" s="2" t="s">
        <v>3707</v>
      </c>
      <c r="E124" s="1" t="s">
        <v>1675</v>
      </c>
      <c r="F124" s="3"/>
      <c r="G124" s="3">
        <v>10.96</v>
      </c>
      <c r="H124" s="3">
        <v>10.96</v>
      </c>
      <c r="I124" s="3">
        <v>11.02</v>
      </c>
      <c r="J124" s="3">
        <v>11.02</v>
      </c>
      <c r="K124" s="3">
        <v>11.02</v>
      </c>
      <c r="L124" s="3">
        <v>11.02</v>
      </c>
      <c r="M124" s="3">
        <v>11.06</v>
      </c>
      <c r="N124" s="3">
        <v>11.06</v>
      </c>
      <c r="O124" s="3">
        <v>11.06</v>
      </c>
      <c r="P124" s="3">
        <v>11.06</v>
      </c>
      <c r="Q124" s="3">
        <v>11.06</v>
      </c>
      <c r="R124" s="3">
        <v>11.06</v>
      </c>
      <c r="S124" s="3">
        <v>11.06</v>
      </c>
      <c r="T124" s="3">
        <v>11.06</v>
      </c>
      <c r="U124" s="3">
        <v>11.17</v>
      </c>
      <c r="V124" s="3">
        <v>11.17</v>
      </c>
      <c r="W124" s="3">
        <v>11.23</v>
      </c>
      <c r="X124" s="3">
        <v>11.23</v>
      </c>
      <c r="Y124" s="3">
        <v>11.23</v>
      </c>
      <c r="Z124" s="3">
        <v>11.23</v>
      </c>
      <c r="AA124" s="3">
        <v>11.23</v>
      </c>
      <c r="AB124" s="3">
        <v>11.23</v>
      </c>
      <c r="AC124" s="3"/>
      <c r="AD124" s="3"/>
      <c r="AE124" t="s">
        <v>5411</v>
      </c>
      <c r="AF124" s="4" t="s">
        <v>966</v>
      </c>
    </row>
    <row r="125" spans="1:32" ht="216" x14ac:dyDescent="0.3">
      <c r="A125" t="s">
        <v>1826</v>
      </c>
      <c r="B125" s="1" t="s">
        <v>1205</v>
      </c>
      <c r="C125" s="5" t="s">
        <v>2191</v>
      </c>
      <c r="D125" s="2" t="s">
        <v>3708</v>
      </c>
      <c r="E125" s="1" t="s">
        <v>1910</v>
      </c>
      <c r="F125" s="3"/>
      <c r="G125" s="3">
        <v>8.8699999999999992</v>
      </c>
      <c r="H125" s="3">
        <v>8.8699999999999992</v>
      </c>
      <c r="I125" s="3">
        <v>8.8699999999999992</v>
      </c>
      <c r="J125" s="3">
        <v>8.8699999999999992</v>
      </c>
      <c r="K125" s="3">
        <v>8.8699999999999992</v>
      </c>
      <c r="L125" s="3">
        <v>8.8699999999999992</v>
      </c>
      <c r="M125" s="3">
        <v>8.84</v>
      </c>
      <c r="N125" s="3">
        <v>8.84</v>
      </c>
      <c r="O125" s="3">
        <v>8.84</v>
      </c>
      <c r="P125" s="3">
        <v>8.84</v>
      </c>
      <c r="Q125" s="3">
        <v>8.84</v>
      </c>
      <c r="R125" s="3">
        <v>8.84</v>
      </c>
      <c r="S125" s="3">
        <v>8.84</v>
      </c>
      <c r="T125" s="3">
        <v>8.84</v>
      </c>
      <c r="U125" s="3">
        <v>8.7899999999999991</v>
      </c>
      <c r="V125" s="3">
        <v>8.7899999999999991</v>
      </c>
      <c r="W125" s="3">
        <v>8.86</v>
      </c>
      <c r="X125" s="3">
        <v>8.86</v>
      </c>
      <c r="Y125" s="3">
        <v>8.86</v>
      </c>
      <c r="Z125" s="3">
        <v>8.86</v>
      </c>
      <c r="AA125" s="3">
        <v>8.86</v>
      </c>
      <c r="AB125" s="3">
        <v>8.86</v>
      </c>
      <c r="AC125" s="3"/>
      <c r="AD125" s="3"/>
      <c r="AE125" t="s">
        <v>5412</v>
      </c>
      <c r="AF125" s="4" t="s">
        <v>741</v>
      </c>
    </row>
    <row r="126" spans="1:32" ht="216" x14ac:dyDescent="0.3">
      <c r="A126" t="s">
        <v>1826</v>
      </c>
      <c r="B126" s="1" t="s">
        <v>1205</v>
      </c>
      <c r="C126" s="5" t="s">
        <v>2192</v>
      </c>
      <c r="D126" s="2" t="s">
        <v>3709</v>
      </c>
      <c r="E126" s="1" t="s">
        <v>1601</v>
      </c>
      <c r="F126" s="3"/>
      <c r="G126" s="3">
        <v>14.71</v>
      </c>
      <c r="H126" s="3">
        <v>14.71</v>
      </c>
      <c r="I126" s="3">
        <v>14.67</v>
      </c>
      <c r="J126" s="3">
        <v>14.67</v>
      </c>
      <c r="K126" s="3">
        <v>14.67</v>
      </c>
      <c r="L126" s="3">
        <v>14.67</v>
      </c>
      <c r="M126" s="3">
        <v>14.66</v>
      </c>
      <c r="N126" s="3">
        <v>14.66</v>
      </c>
      <c r="O126" s="3">
        <v>14.66</v>
      </c>
      <c r="P126" s="3">
        <v>14.66</v>
      </c>
      <c r="Q126" s="3">
        <v>14.66</v>
      </c>
      <c r="R126" s="3">
        <v>14.66</v>
      </c>
      <c r="S126" s="3">
        <v>14.66</v>
      </c>
      <c r="T126" s="3">
        <v>14.66</v>
      </c>
      <c r="U126" s="3">
        <v>14.5</v>
      </c>
      <c r="V126" s="3">
        <v>14.5</v>
      </c>
      <c r="W126" s="3">
        <v>14.5</v>
      </c>
      <c r="X126" s="3">
        <v>14.5</v>
      </c>
      <c r="Y126" s="3">
        <v>14.5</v>
      </c>
      <c r="Z126" s="3">
        <v>14.5</v>
      </c>
      <c r="AA126" s="3">
        <v>14.5</v>
      </c>
      <c r="AB126" s="3">
        <v>14.5</v>
      </c>
      <c r="AC126" s="3"/>
      <c r="AD126" s="3"/>
      <c r="AE126" t="s">
        <v>5413</v>
      </c>
      <c r="AF126" s="4" t="s">
        <v>617</v>
      </c>
    </row>
    <row r="127" spans="1:32" ht="331.2" x14ac:dyDescent="0.3">
      <c r="A127" t="s">
        <v>1826</v>
      </c>
      <c r="B127" s="1" t="s">
        <v>1205</v>
      </c>
      <c r="C127" s="5" t="s">
        <v>2193</v>
      </c>
      <c r="D127" s="2" t="s">
        <v>3710</v>
      </c>
      <c r="E127" s="1" t="s">
        <v>35</v>
      </c>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v>87.619047045707703</v>
      </c>
      <c r="AE127" t="s">
        <v>5414</v>
      </c>
      <c r="AF127" s="4" t="s">
        <v>1641</v>
      </c>
    </row>
    <row r="128" spans="1:32" ht="331.2" x14ac:dyDescent="0.3">
      <c r="A128" t="s">
        <v>1826</v>
      </c>
      <c r="B128" s="1" t="s">
        <v>1205</v>
      </c>
      <c r="C128" s="5" t="s">
        <v>2194</v>
      </c>
      <c r="D128" s="2" t="s">
        <v>3711</v>
      </c>
      <c r="E128" s="1" t="s">
        <v>1793</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v>42.333333015441902</v>
      </c>
      <c r="AE128" t="s">
        <v>5415</v>
      </c>
      <c r="AF128" s="4" t="s">
        <v>1641</v>
      </c>
    </row>
    <row r="129" spans="1:32" ht="331.2" x14ac:dyDescent="0.3">
      <c r="A129" t="s">
        <v>1826</v>
      </c>
      <c r="B129" s="1" t="s">
        <v>1205</v>
      </c>
      <c r="C129" s="5" t="s">
        <v>2195</v>
      </c>
      <c r="D129" s="2" t="s">
        <v>3712</v>
      </c>
      <c r="E129" s="1" t="s">
        <v>1465</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v>61.5</v>
      </c>
      <c r="AE129" t="s">
        <v>5416</v>
      </c>
      <c r="AF129" s="4" t="s">
        <v>1641</v>
      </c>
    </row>
    <row r="130" spans="1:32" ht="331.2" x14ac:dyDescent="0.3">
      <c r="A130" t="s">
        <v>1826</v>
      </c>
      <c r="B130" s="1" t="s">
        <v>1205</v>
      </c>
      <c r="C130" s="5" t="s">
        <v>2196</v>
      </c>
      <c r="D130" s="2" t="s">
        <v>3713</v>
      </c>
      <c r="E130" s="1" t="s">
        <v>330</v>
      </c>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v>63.817460020383201</v>
      </c>
      <c r="AE130" t="s">
        <v>5417</v>
      </c>
      <c r="AF130" s="4" t="s">
        <v>1641</v>
      </c>
    </row>
    <row r="131" spans="1:32" ht="331.2" x14ac:dyDescent="0.3">
      <c r="A131" t="s">
        <v>1826</v>
      </c>
      <c r="B131" s="1" t="s">
        <v>1205</v>
      </c>
      <c r="C131" s="5" t="s">
        <v>2197</v>
      </c>
      <c r="D131" s="2" t="s">
        <v>3714</v>
      </c>
      <c r="E131" s="1" t="s">
        <v>1112</v>
      </c>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v>71.55556</v>
      </c>
      <c r="AE131" t="s">
        <v>5418</v>
      </c>
      <c r="AF131" s="4" t="s">
        <v>1641</v>
      </c>
    </row>
    <row r="132" spans="1:32" ht="331.2" x14ac:dyDescent="0.3">
      <c r="A132" t="s">
        <v>1826</v>
      </c>
      <c r="B132" s="1" t="s">
        <v>1205</v>
      </c>
      <c r="C132" s="5" t="s">
        <v>2198</v>
      </c>
      <c r="D132" s="2" t="s">
        <v>3715</v>
      </c>
      <c r="E132" s="1" t="s">
        <v>784</v>
      </c>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v>15</v>
      </c>
      <c r="AE132" t="s">
        <v>5419</v>
      </c>
      <c r="AF132" s="4" t="s">
        <v>1641</v>
      </c>
    </row>
    <row r="133" spans="1:32" ht="331.2" x14ac:dyDescent="0.3">
      <c r="A133" t="s">
        <v>1826</v>
      </c>
      <c r="B133" s="1" t="s">
        <v>1205</v>
      </c>
      <c r="C133" s="5" t="s">
        <v>2199</v>
      </c>
      <c r="D133" s="2" t="s">
        <v>3716</v>
      </c>
      <c r="E133" s="1" t="s">
        <v>491</v>
      </c>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v>64.75</v>
      </c>
      <c r="AE133" t="s">
        <v>5420</v>
      </c>
      <c r="AF133" s="4" t="s">
        <v>1641</v>
      </c>
    </row>
    <row r="134" spans="1:32" ht="331.2" x14ac:dyDescent="0.3">
      <c r="A134" t="s">
        <v>1826</v>
      </c>
      <c r="B134" s="1" t="s">
        <v>1205</v>
      </c>
      <c r="C134" s="5" t="s">
        <v>2200</v>
      </c>
      <c r="D134" s="2" t="s">
        <v>3717</v>
      </c>
      <c r="E134" s="1" t="s">
        <v>1378</v>
      </c>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v>50.435186666666702</v>
      </c>
      <c r="AE134" t="s">
        <v>5421</v>
      </c>
      <c r="AF134" s="4" t="s">
        <v>1641</v>
      </c>
    </row>
    <row r="135" spans="1:32" ht="331.2" x14ac:dyDescent="0.3">
      <c r="A135" t="s">
        <v>1826</v>
      </c>
      <c r="B135" s="1" t="s">
        <v>1205</v>
      </c>
      <c r="C135" s="5" t="s">
        <v>2201</v>
      </c>
      <c r="D135" s="2" t="s">
        <v>3718</v>
      </c>
      <c r="E135" s="1" t="s">
        <v>1979</v>
      </c>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v>58.464912645518801</v>
      </c>
      <c r="AE135" t="s">
        <v>5422</v>
      </c>
      <c r="AF135" s="4" t="s">
        <v>1641</v>
      </c>
    </row>
    <row r="136" spans="1:32" ht="331.2" x14ac:dyDescent="0.3">
      <c r="A136" t="s">
        <v>1826</v>
      </c>
      <c r="B136" s="1" t="s">
        <v>1205</v>
      </c>
      <c r="C136" s="5" t="s">
        <v>2202</v>
      </c>
      <c r="D136" s="2" t="s">
        <v>3719</v>
      </c>
      <c r="E136" s="1" t="s">
        <v>1095</v>
      </c>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v>22.225000023841901</v>
      </c>
      <c r="AE136" t="s">
        <v>5423</v>
      </c>
      <c r="AF136" s="4" t="s">
        <v>1641</v>
      </c>
    </row>
    <row r="137" spans="1:32" ht="331.2" x14ac:dyDescent="0.3">
      <c r="A137" t="s">
        <v>1826</v>
      </c>
      <c r="B137" s="1" t="s">
        <v>1205</v>
      </c>
      <c r="C137" s="5" t="s">
        <v>2203</v>
      </c>
      <c r="D137" s="2" t="s">
        <v>3720</v>
      </c>
      <c r="E137" s="1" t="s">
        <v>768</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v>51.9333336353302</v>
      </c>
      <c r="AE137" t="s">
        <v>5424</v>
      </c>
      <c r="AF137" s="4" t="s">
        <v>1641</v>
      </c>
    </row>
    <row r="138" spans="1:32" ht="331.2" x14ac:dyDescent="0.3">
      <c r="A138" t="s">
        <v>1826</v>
      </c>
      <c r="B138" s="1" t="s">
        <v>1205</v>
      </c>
      <c r="C138" s="5" t="s">
        <v>2204</v>
      </c>
      <c r="D138" s="2" t="s">
        <v>3721</v>
      </c>
      <c r="E138" s="1" t="s">
        <v>222</v>
      </c>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v>44.207748768230303</v>
      </c>
      <c r="AE138" t="s">
        <v>5425</v>
      </c>
      <c r="AF138" s="4" t="s">
        <v>1641</v>
      </c>
    </row>
    <row r="139" spans="1:32" ht="331.2" x14ac:dyDescent="0.3">
      <c r="A139" t="s">
        <v>1826</v>
      </c>
      <c r="B139" s="1" t="s">
        <v>1205</v>
      </c>
      <c r="C139" s="5" t="s">
        <v>2205</v>
      </c>
      <c r="D139" s="2" t="s">
        <v>3722</v>
      </c>
      <c r="E139" s="1" t="s">
        <v>275</v>
      </c>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v>72.868087768554702</v>
      </c>
      <c r="AE139" t="s">
        <v>5426</v>
      </c>
      <c r="AF139" s="4" t="s">
        <v>1641</v>
      </c>
    </row>
    <row r="140" spans="1:32" ht="331.2" x14ac:dyDescent="0.3">
      <c r="A140" t="s">
        <v>1826</v>
      </c>
      <c r="B140" s="1" t="s">
        <v>1205</v>
      </c>
      <c r="C140" s="5" t="s">
        <v>2206</v>
      </c>
      <c r="D140" s="2" t="s">
        <v>3723</v>
      </c>
      <c r="E140" s="1" t="s">
        <v>2033</v>
      </c>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v>44.880462646484403</v>
      </c>
      <c r="AE140" t="s">
        <v>5427</v>
      </c>
      <c r="AF140" s="4" t="s">
        <v>1641</v>
      </c>
    </row>
    <row r="141" spans="1:32" ht="331.2" x14ac:dyDescent="0.3">
      <c r="A141" t="s">
        <v>1826</v>
      </c>
      <c r="B141" s="1" t="s">
        <v>1205</v>
      </c>
      <c r="C141" s="5" t="s">
        <v>2207</v>
      </c>
      <c r="D141" s="2" t="s">
        <v>3724</v>
      </c>
      <c r="E141" s="1" t="s">
        <v>1731</v>
      </c>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v>66.583335876464801</v>
      </c>
      <c r="AE141" t="s">
        <v>5428</v>
      </c>
      <c r="AF141" s="4" t="s">
        <v>1641</v>
      </c>
    </row>
    <row r="142" spans="1:32" ht="331.2" x14ac:dyDescent="0.3">
      <c r="A142" t="s">
        <v>1826</v>
      </c>
      <c r="B142" s="1" t="s">
        <v>1205</v>
      </c>
      <c r="C142" s="5" t="s">
        <v>2208</v>
      </c>
      <c r="D142" s="2" t="s">
        <v>3725</v>
      </c>
      <c r="E142" s="1" t="s">
        <v>553</v>
      </c>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v>61.443962097167997</v>
      </c>
      <c r="AE142" t="s">
        <v>5429</v>
      </c>
      <c r="AF142" s="4" t="s">
        <v>1641</v>
      </c>
    </row>
    <row r="143" spans="1:32" ht="331.2" x14ac:dyDescent="0.3">
      <c r="A143" t="s">
        <v>1826</v>
      </c>
      <c r="B143" s="1" t="s">
        <v>1205</v>
      </c>
      <c r="C143" s="5" t="s">
        <v>2209</v>
      </c>
      <c r="D143" s="2" t="s">
        <v>3726</v>
      </c>
      <c r="E143" s="1" t="s">
        <v>806</v>
      </c>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v>53.513888746500001</v>
      </c>
      <c r="AE143" t="s">
        <v>5430</v>
      </c>
      <c r="AF143" s="4" t="s">
        <v>1641</v>
      </c>
    </row>
    <row r="144" spans="1:32" ht="331.2" x14ac:dyDescent="0.3">
      <c r="A144" t="s">
        <v>1826</v>
      </c>
      <c r="B144" s="1" t="s">
        <v>1205</v>
      </c>
      <c r="C144" s="5" t="s">
        <v>2210</v>
      </c>
      <c r="D144" s="2" t="s">
        <v>3727</v>
      </c>
      <c r="E144" s="1" t="s">
        <v>514</v>
      </c>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v>42.777776718139599</v>
      </c>
      <c r="AE144" t="s">
        <v>5431</v>
      </c>
      <c r="AF144" s="4" t="s">
        <v>1641</v>
      </c>
    </row>
    <row r="145" spans="1:32" ht="331.2" x14ac:dyDescent="0.3">
      <c r="A145" t="s">
        <v>1826</v>
      </c>
      <c r="B145" s="1" t="s">
        <v>1205</v>
      </c>
      <c r="C145" s="5" t="s">
        <v>2211</v>
      </c>
      <c r="D145" s="2" t="s">
        <v>3728</v>
      </c>
      <c r="E145" s="1" t="s">
        <v>227</v>
      </c>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v>30.233333330000001</v>
      </c>
      <c r="AE145" t="s">
        <v>5432</v>
      </c>
      <c r="AF145" s="4" t="s">
        <v>1641</v>
      </c>
    </row>
    <row r="146" spans="1:32" ht="331.2" x14ac:dyDescent="0.3">
      <c r="A146" t="s">
        <v>1826</v>
      </c>
      <c r="B146" s="1" t="s">
        <v>1205</v>
      </c>
      <c r="C146" s="5" t="s">
        <v>2212</v>
      </c>
      <c r="D146" s="2" t="s">
        <v>3729</v>
      </c>
      <c r="E146" s="1" t="s">
        <v>1691</v>
      </c>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v>42.174999460000002</v>
      </c>
      <c r="AE146" t="s">
        <v>5433</v>
      </c>
      <c r="AF146" s="4" t="s">
        <v>1641</v>
      </c>
    </row>
    <row r="147" spans="1:32" ht="331.2" x14ac:dyDescent="0.3">
      <c r="A147" t="s">
        <v>1826</v>
      </c>
      <c r="B147" s="1" t="s">
        <v>1205</v>
      </c>
      <c r="C147" s="5" t="s">
        <v>2213</v>
      </c>
      <c r="D147" s="2" t="s">
        <v>3730</v>
      </c>
      <c r="E147" s="1" t="s">
        <v>1833</v>
      </c>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v>77.078808209386807</v>
      </c>
      <c r="AE147" t="s">
        <v>5434</v>
      </c>
      <c r="AF147" s="4" t="s">
        <v>1641</v>
      </c>
    </row>
    <row r="148" spans="1:32" ht="331.2" x14ac:dyDescent="0.3">
      <c r="A148" t="s">
        <v>1826</v>
      </c>
      <c r="B148" s="1" t="s">
        <v>1205</v>
      </c>
      <c r="C148" s="5" t="s">
        <v>2214</v>
      </c>
      <c r="D148" s="2" t="s">
        <v>3731</v>
      </c>
      <c r="E148" s="1" t="s">
        <v>1521</v>
      </c>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v>48.968254024761897</v>
      </c>
      <c r="AE148" t="s">
        <v>5435</v>
      </c>
      <c r="AF148" s="4" t="s">
        <v>1641</v>
      </c>
    </row>
    <row r="149" spans="1:32" ht="331.2" x14ac:dyDescent="0.3">
      <c r="A149" t="s">
        <v>1826</v>
      </c>
      <c r="B149" s="1" t="s">
        <v>1205</v>
      </c>
      <c r="C149" s="5" t="s">
        <v>2215</v>
      </c>
      <c r="D149" s="2" t="s">
        <v>3732</v>
      </c>
      <c r="E149" s="1" t="s">
        <v>628</v>
      </c>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v>26.5000004321336</v>
      </c>
      <c r="AE149" t="s">
        <v>5436</v>
      </c>
      <c r="AF149" s="4" t="s">
        <v>1641</v>
      </c>
    </row>
    <row r="150" spans="1:32" ht="331.2" x14ac:dyDescent="0.3">
      <c r="A150" t="s">
        <v>1826</v>
      </c>
      <c r="B150" s="1" t="s">
        <v>1205</v>
      </c>
      <c r="C150" s="5" t="s">
        <v>2216</v>
      </c>
      <c r="D150" s="2" t="s">
        <v>3733</v>
      </c>
      <c r="E150" s="1" t="s">
        <v>67</v>
      </c>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v>50.849020888760698</v>
      </c>
      <c r="AE150" t="s">
        <v>5437</v>
      </c>
      <c r="AF150" s="4" t="s">
        <v>1641</v>
      </c>
    </row>
    <row r="151" spans="1:32" ht="331.2" x14ac:dyDescent="0.3">
      <c r="A151" t="s">
        <v>1826</v>
      </c>
      <c r="B151" s="1" t="s">
        <v>1205</v>
      </c>
      <c r="C151" s="5" t="s">
        <v>2217</v>
      </c>
      <c r="D151" s="2" t="s">
        <v>3734</v>
      </c>
      <c r="E151" s="1" t="s">
        <v>1212</v>
      </c>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v>80.9166666666666</v>
      </c>
      <c r="AE151" t="s">
        <v>5438</v>
      </c>
      <c r="AF151" s="4" t="s">
        <v>1641</v>
      </c>
    </row>
    <row r="152" spans="1:32" ht="331.2" x14ac:dyDescent="0.3">
      <c r="A152" t="s">
        <v>1826</v>
      </c>
      <c r="B152" s="1" t="s">
        <v>1205</v>
      </c>
      <c r="C152" s="5" t="s">
        <v>2218</v>
      </c>
      <c r="D152" s="2" t="s">
        <v>3735</v>
      </c>
      <c r="E152" s="1" t="s">
        <v>925</v>
      </c>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v>58.3333333333333</v>
      </c>
      <c r="AE152" t="s">
        <v>5439</v>
      </c>
      <c r="AF152" s="4" t="s">
        <v>1641</v>
      </c>
    </row>
    <row r="153" spans="1:32" ht="331.2" x14ac:dyDescent="0.3">
      <c r="A153" t="s">
        <v>1826</v>
      </c>
      <c r="B153" s="1" t="s">
        <v>1205</v>
      </c>
      <c r="C153" s="5" t="s">
        <v>2219</v>
      </c>
      <c r="D153" s="2" t="s">
        <v>3736</v>
      </c>
      <c r="E153" s="1" t="s">
        <v>47</v>
      </c>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v>68.583332777023301</v>
      </c>
      <c r="AE153" t="s">
        <v>5440</v>
      </c>
      <c r="AF153" s="4" t="s">
        <v>1641</v>
      </c>
    </row>
    <row r="154" spans="1:32" ht="331.2" x14ac:dyDescent="0.3">
      <c r="A154" t="s">
        <v>1826</v>
      </c>
      <c r="B154" s="1" t="s">
        <v>1205</v>
      </c>
      <c r="C154" s="5" t="s">
        <v>2220</v>
      </c>
      <c r="D154" s="2" t="s">
        <v>3737</v>
      </c>
      <c r="E154" s="1" t="s">
        <v>1514</v>
      </c>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v>69.277774810791001</v>
      </c>
      <c r="AE154" t="s">
        <v>5441</v>
      </c>
      <c r="AF154" s="4" t="s">
        <v>1641</v>
      </c>
    </row>
    <row r="155" spans="1:32" ht="331.2" x14ac:dyDescent="0.3">
      <c r="A155" t="s">
        <v>1826</v>
      </c>
      <c r="B155" s="1" t="s">
        <v>1205</v>
      </c>
      <c r="C155" s="5" t="s">
        <v>2221</v>
      </c>
      <c r="D155" s="2" t="s">
        <v>3738</v>
      </c>
      <c r="E155" s="1" t="s">
        <v>1894</v>
      </c>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v>55.587932169437401</v>
      </c>
      <c r="AE155" t="s">
        <v>5442</v>
      </c>
      <c r="AF155" s="4" t="s">
        <v>1641</v>
      </c>
    </row>
    <row r="156" spans="1:32" ht="331.2" x14ac:dyDescent="0.3">
      <c r="A156" t="s">
        <v>1826</v>
      </c>
      <c r="B156" s="1" t="s">
        <v>1205</v>
      </c>
      <c r="C156" s="5" t="s">
        <v>2222</v>
      </c>
      <c r="D156" s="2" t="s">
        <v>3739</v>
      </c>
      <c r="E156" s="1" t="s">
        <v>1591</v>
      </c>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v>25.383597373962399</v>
      </c>
      <c r="AE156" t="s">
        <v>5443</v>
      </c>
      <c r="AF156" s="4" t="s">
        <v>1641</v>
      </c>
    </row>
    <row r="157" spans="1:32" ht="331.2" x14ac:dyDescent="0.3">
      <c r="A157" t="s">
        <v>1826</v>
      </c>
      <c r="B157" s="1" t="s">
        <v>1205</v>
      </c>
      <c r="C157" s="5" t="s">
        <v>2223</v>
      </c>
      <c r="D157" s="2" t="s">
        <v>3740</v>
      </c>
      <c r="E157" s="1" t="s">
        <v>692</v>
      </c>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v>23.0703687518835</v>
      </c>
      <c r="AE157" t="s">
        <v>5444</v>
      </c>
      <c r="AF157" s="4" t="s">
        <v>1641</v>
      </c>
    </row>
    <row r="158" spans="1:32" ht="331.2" x14ac:dyDescent="0.3">
      <c r="A158" t="s">
        <v>1826</v>
      </c>
      <c r="B158" s="1" t="s">
        <v>1205</v>
      </c>
      <c r="C158" s="5" t="s">
        <v>2224</v>
      </c>
      <c r="D158" s="2" t="s">
        <v>3741</v>
      </c>
      <c r="E158" s="1" t="s">
        <v>141</v>
      </c>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v>34.680632765094401</v>
      </c>
      <c r="AE158" t="s">
        <v>5445</v>
      </c>
      <c r="AF158" s="4" t="s">
        <v>1641</v>
      </c>
    </row>
    <row r="159" spans="1:32" ht="331.2" x14ac:dyDescent="0.3">
      <c r="A159" t="s">
        <v>1826</v>
      </c>
      <c r="B159" s="1" t="s">
        <v>1205</v>
      </c>
      <c r="C159" s="5" t="s">
        <v>2225</v>
      </c>
      <c r="D159" s="2" t="s">
        <v>3742</v>
      </c>
      <c r="E159" s="1" t="s">
        <v>1548</v>
      </c>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v>68.096603393554602</v>
      </c>
      <c r="AE159" t="s">
        <v>5446</v>
      </c>
      <c r="AF159" s="4" t="s">
        <v>1641</v>
      </c>
    </row>
    <row r="160" spans="1:32" ht="331.2" x14ac:dyDescent="0.3">
      <c r="A160" t="s">
        <v>1826</v>
      </c>
      <c r="B160" s="1" t="s">
        <v>1205</v>
      </c>
      <c r="C160" s="5" t="s">
        <v>2226</v>
      </c>
      <c r="D160" s="2" t="s">
        <v>3743</v>
      </c>
      <c r="E160" s="1" t="s">
        <v>962</v>
      </c>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v>40.302360534667898</v>
      </c>
      <c r="AE160" t="s">
        <v>5447</v>
      </c>
      <c r="AF160" s="4" t="s">
        <v>1641</v>
      </c>
    </row>
    <row r="161" spans="1:32" ht="331.2" x14ac:dyDescent="0.3">
      <c r="A161" t="s">
        <v>1826</v>
      </c>
      <c r="B161" s="1" t="s">
        <v>1205</v>
      </c>
      <c r="C161" s="5" t="s">
        <v>2227</v>
      </c>
      <c r="D161" s="2" t="s">
        <v>3744</v>
      </c>
      <c r="E161" s="1" t="s">
        <v>1466</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v>50.302871704101499</v>
      </c>
      <c r="AE161" t="s">
        <v>5448</v>
      </c>
      <c r="AF161" s="4" t="s">
        <v>1641</v>
      </c>
    </row>
    <row r="162" spans="1:32" ht="331.2" x14ac:dyDescent="0.3">
      <c r="A162" t="s">
        <v>1826</v>
      </c>
      <c r="B162" s="1" t="s">
        <v>1205</v>
      </c>
      <c r="C162" s="5" t="s">
        <v>2228</v>
      </c>
      <c r="D162" s="2" t="s">
        <v>3745</v>
      </c>
      <c r="E162" s="1" t="s">
        <v>171</v>
      </c>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v>46</v>
      </c>
      <c r="AE162" t="s">
        <v>5449</v>
      </c>
      <c r="AF162" s="4" t="s">
        <v>1641</v>
      </c>
    </row>
    <row r="163" spans="1:32" ht="331.2" x14ac:dyDescent="0.3">
      <c r="A163" t="s">
        <v>1826</v>
      </c>
      <c r="B163" s="1" t="s">
        <v>1205</v>
      </c>
      <c r="C163" s="5" t="s">
        <v>2229</v>
      </c>
      <c r="D163" s="2" t="s">
        <v>3746</v>
      </c>
      <c r="E163" s="1" t="s">
        <v>1914</v>
      </c>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v>43.9930555555555</v>
      </c>
      <c r="AE163" t="s">
        <v>5450</v>
      </c>
      <c r="AF163" s="4" t="s">
        <v>1641</v>
      </c>
    </row>
    <row r="164" spans="1:32" ht="331.2" x14ac:dyDescent="0.3">
      <c r="A164" t="s">
        <v>1826</v>
      </c>
      <c r="B164" s="1" t="s">
        <v>1205</v>
      </c>
      <c r="C164" s="5" t="s">
        <v>2230</v>
      </c>
      <c r="D164" s="2" t="s">
        <v>3747</v>
      </c>
      <c r="E164" s="1" t="s">
        <v>1032</v>
      </c>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v>69.75</v>
      </c>
      <c r="AE164" t="s">
        <v>5451</v>
      </c>
      <c r="AF164" s="4" t="s">
        <v>1641</v>
      </c>
    </row>
    <row r="165" spans="1:32" ht="331.2" x14ac:dyDescent="0.3">
      <c r="A165" t="s">
        <v>1826</v>
      </c>
      <c r="B165" s="1" t="s">
        <v>1205</v>
      </c>
      <c r="C165" s="5" t="s">
        <v>2231</v>
      </c>
      <c r="D165" s="2" t="s">
        <v>3748</v>
      </c>
      <c r="E165" s="1" t="s">
        <v>450</v>
      </c>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v>53.247685185185198</v>
      </c>
      <c r="AE165" t="s">
        <v>5452</v>
      </c>
      <c r="AF165" s="4" t="s">
        <v>1641</v>
      </c>
    </row>
    <row r="166" spans="1:32" ht="331.2" x14ac:dyDescent="0.3">
      <c r="A166" t="s">
        <v>1826</v>
      </c>
      <c r="B166" s="1" t="s">
        <v>1205</v>
      </c>
      <c r="C166" s="5" t="s">
        <v>2232</v>
      </c>
      <c r="D166" s="2" t="s">
        <v>3749</v>
      </c>
      <c r="E166" s="1" t="s">
        <v>261</v>
      </c>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v>77.361108303070097</v>
      </c>
      <c r="AE166" t="s">
        <v>5453</v>
      </c>
      <c r="AF166" s="4" t="s">
        <v>1641</v>
      </c>
    </row>
    <row r="167" spans="1:32" ht="331.2" x14ac:dyDescent="0.3">
      <c r="A167" t="s">
        <v>1826</v>
      </c>
      <c r="B167" s="1" t="s">
        <v>1205</v>
      </c>
      <c r="C167" s="5" t="s">
        <v>2233</v>
      </c>
      <c r="D167" s="2" t="s">
        <v>3750</v>
      </c>
      <c r="E167" s="1" t="s">
        <v>1413</v>
      </c>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v>59.128786116838498</v>
      </c>
      <c r="AE167" t="s">
        <v>5454</v>
      </c>
      <c r="AF167" s="4" t="s">
        <v>1641</v>
      </c>
    </row>
    <row r="168" spans="1:32" ht="331.2" x14ac:dyDescent="0.3">
      <c r="A168" t="s">
        <v>1826</v>
      </c>
      <c r="B168" s="1" t="s">
        <v>1205</v>
      </c>
      <c r="C168" s="5" t="s">
        <v>2234</v>
      </c>
      <c r="D168" s="2" t="s">
        <v>3751</v>
      </c>
      <c r="E168" s="1" t="s">
        <v>1121</v>
      </c>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v>40.125</v>
      </c>
      <c r="AE168" t="s">
        <v>5455</v>
      </c>
      <c r="AF168" s="4" t="s">
        <v>1641</v>
      </c>
    </row>
    <row r="169" spans="1:32" ht="331.2" x14ac:dyDescent="0.3">
      <c r="A169" t="s">
        <v>1826</v>
      </c>
      <c r="B169" s="1" t="s">
        <v>1205</v>
      </c>
      <c r="C169" s="5" t="s">
        <v>2235</v>
      </c>
      <c r="D169" s="2" t="s">
        <v>3752</v>
      </c>
      <c r="E169" s="1" t="s">
        <v>548</v>
      </c>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v>58.871631473302799</v>
      </c>
      <c r="AE169" t="s">
        <v>5456</v>
      </c>
      <c r="AF169" s="4" t="s">
        <v>1641</v>
      </c>
    </row>
    <row r="170" spans="1:32" ht="409.6" x14ac:dyDescent="0.3">
      <c r="A170" t="s">
        <v>1826</v>
      </c>
      <c r="B170" s="1" t="s">
        <v>1205</v>
      </c>
      <c r="C170" s="5" t="s">
        <v>2236</v>
      </c>
      <c r="D170" s="2" t="s">
        <v>3753</v>
      </c>
      <c r="E170" s="1" t="s">
        <v>1343</v>
      </c>
      <c r="F170" s="3"/>
      <c r="G170" s="3"/>
      <c r="H170" s="3"/>
      <c r="I170" s="3"/>
      <c r="J170" s="3"/>
      <c r="K170" s="3"/>
      <c r="L170" s="3"/>
      <c r="M170" s="3"/>
      <c r="N170" s="3"/>
      <c r="O170" s="3">
        <v>19.265251159999998</v>
      </c>
      <c r="P170" s="3"/>
      <c r="Q170" s="3"/>
      <c r="R170" s="3"/>
      <c r="S170" s="3"/>
      <c r="T170" s="3"/>
      <c r="U170" s="3"/>
      <c r="V170" s="3">
        <v>25.28522873</v>
      </c>
      <c r="W170" s="3"/>
      <c r="X170" s="3"/>
      <c r="Y170" s="3"/>
      <c r="Z170" s="3"/>
      <c r="AA170" s="3"/>
      <c r="AB170" s="3"/>
      <c r="AC170" s="3">
        <v>19.849996569999998</v>
      </c>
      <c r="AD170" s="3"/>
      <c r="AE170" t="s">
        <v>5457</v>
      </c>
      <c r="AF170" s="4" t="s">
        <v>1960</v>
      </c>
    </row>
    <row r="171" spans="1:32" ht="86.4" x14ac:dyDescent="0.3">
      <c r="A171" t="s">
        <v>1826</v>
      </c>
      <c r="B171" s="1" t="s">
        <v>1205</v>
      </c>
      <c r="C171" s="5" t="s">
        <v>2237</v>
      </c>
      <c r="D171" s="2" t="s">
        <v>3754</v>
      </c>
      <c r="E171" s="1" t="s">
        <v>182</v>
      </c>
      <c r="F171" s="3">
        <v>13.982790556681076</v>
      </c>
      <c r="G171" s="3">
        <v>13.980568574220678</v>
      </c>
      <c r="H171" s="3">
        <v>17.83588002061563</v>
      </c>
      <c r="I171" s="3">
        <v>13.109121908230529</v>
      </c>
      <c r="J171" s="3">
        <v>14.016836357885886</v>
      </c>
      <c r="K171" s="3">
        <v>13.687735654070465</v>
      </c>
      <c r="L171" s="3">
        <v>14.86356248229608</v>
      </c>
      <c r="M171" s="3">
        <v>18.846526646774674</v>
      </c>
      <c r="N171" s="3">
        <v>18.437606465267251</v>
      </c>
      <c r="O171" s="3">
        <v>21.306460193674486</v>
      </c>
      <c r="P171" s="3">
        <v>23.398901166723775</v>
      </c>
      <c r="Q171" s="3">
        <v>25.968099902503045</v>
      </c>
      <c r="R171" s="3">
        <v>25.403695602281712</v>
      </c>
      <c r="S171" s="3">
        <v>24.822631634329209</v>
      </c>
      <c r="T171" s="3">
        <v>24.819459055638635</v>
      </c>
      <c r="U171" s="3">
        <v>26.110095529187504</v>
      </c>
      <c r="V171" s="3">
        <v>27.374861062011117</v>
      </c>
      <c r="W171" s="3">
        <v>28.122129644783371</v>
      </c>
      <c r="X171" s="3">
        <v>29.913320108060937</v>
      </c>
      <c r="Y171" s="3">
        <v>30.441828194848785</v>
      </c>
      <c r="Z171" s="3">
        <v>35.951777075895137</v>
      </c>
      <c r="AA171" s="3">
        <v>38.36660692677377</v>
      </c>
      <c r="AB171" s="3">
        <v>38.153440130245393</v>
      </c>
      <c r="AC171" s="3">
        <v>36.112370773481189</v>
      </c>
      <c r="AD171" s="3">
        <v>37.761497513639299</v>
      </c>
      <c r="AE171" t="s">
        <v>5458</v>
      </c>
      <c r="AF171" s="4" t="s">
        <v>1714</v>
      </c>
    </row>
    <row r="172" spans="1:32" ht="86.4" x14ac:dyDescent="0.3">
      <c r="A172" t="s">
        <v>1826</v>
      </c>
      <c r="B172" s="1" t="s">
        <v>1205</v>
      </c>
      <c r="C172" s="5" t="s">
        <v>2238</v>
      </c>
      <c r="D172" s="2" t="s">
        <v>3755</v>
      </c>
      <c r="E172" s="1" t="s">
        <v>803</v>
      </c>
      <c r="F172" s="3">
        <v>1646263400000</v>
      </c>
      <c r="G172" s="3">
        <v>1721287400000</v>
      </c>
      <c r="H172" s="3">
        <v>2233866300000</v>
      </c>
      <c r="I172" s="3">
        <v>1615546900000</v>
      </c>
      <c r="J172" s="3">
        <v>1737810274677.6702</v>
      </c>
      <c r="K172" s="3">
        <v>1734737955468.8901</v>
      </c>
      <c r="L172" s="3">
        <v>1963128517857.4299</v>
      </c>
      <c r="M172" s="3">
        <v>2594327909926.1899</v>
      </c>
      <c r="N172" s="3">
        <v>2802312736270.8501</v>
      </c>
      <c r="O172" s="3">
        <v>3395556314392.1201</v>
      </c>
      <c r="P172" s="3">
        <v>4044800677967.23</v>
      </c>
      <c r="Q172" s="3">
        <v>4490367687026.4004</v>
      </c>
      <c r="R172" s="3">
        <v>4708415144402.8506</v>
      </c>
      <c r="S172" s="3">
        <v>5242357163197.1006</v>
      </c>
      <c r="T172" s="3">
        <v>5985607687231.4004</v>
      </c>
      <c r="U172" s="3">
        <v>7072276299086.3203</v>
      </c>
      <c r="V172" s="3">
        <v>7852947279510.6602</v>
      </c>
      <c r="W172" s="3">
        <v>8574900500169.7002</v>
      </c>
      <c r="X172" s="3">
        <v>9723654645046</v>
      </c>
      <c r="Y172" s="3">
        <v>10770015310310.398</v>
      </c>
      <c r="Z172" s="3">
        <v>13042567711704.699</v>
      </c>
      <c r="AA172" s="3">
        <v>15487394121215</v>
      </c>
      <c r="AB172" s="3">
        <v>16878624072338.998</v>
      </c>
      <c r="AC172" s="3">
        <v>17440073865948</v>
      </c>
      <c r="AD172" s="3">
        <v>19814273524030</v>
      </c>
      <c r="AE172" t="s">
        <v>5459</v>
      </c>
      <c r="AF172" s="4" t="s">
        <v>1714</v>
      </c>
    </row>
    <row r="173" spans="1:32" ht="86.4" x14ac:dyDescent="0.3">
      <c r="A173" t="s">
        <v>1826</v>
      </c>
      <c r="B173" s="1" t="s">
        <v>1205</v>
      </c>
      <c r="C173" s="5" t="s">
        <v>2239</v>
      </c>
      <c r="D173" s="2" t="s">
        <v>3756</v>
      </c>
      <c r="E173" s="1" t="s">
        <v>1239</v>
      </c>
      <c r="F173" s="3">
        <v>-1.758462950933936</v>
      </c>
      <c r="G173" s="3">
        <v>4.5572294202738153</v>
      </c>
      <c r="H173" s="3">
        <v>29.778809744380862</v>
      </c>
      <c r="I173" s="3">
        <v>-27.679337836825773</v>
      </c>
      <c r="J173" s="3">
        <v>7.567924810952265</v>
      </c>
      <c r="K173" s="3">
        <v>-0.17679255633068947</v>
      </c>
      <c r="L173" s="3">
        <v>13.165709649029214</v>
      </c>
      <c r="M173" s="3">
        <v>32.152728989829697</v>
      </c>
      <c r="N173" s="3">
        <v>8.0169058640924629</v>
      </c>
      <c r="O173" s="3">
        <v>21.169784886704797</v>
      </c>
      <c r="P173" s="3">
        <v>19.120412193527088</v>
      </c>
      <c r="Q173" s="3">
        <v>11.015796439272163</v>
      </c>
      <c r="R173" s="3">
        <v>4.8558931600731565</v>
      </c>
      <c r="S173" s="3">
        <v>11.340164416661008</v>
      </c>
      <c r="T173" s="3">
        <v>14.177792563470085</v>
      </c>
      <c r="U173" s="3">
        <v>18.154691530703222</v>
      </c>
      <c r="V173" s="3">
        <v>11.038468343285684</v>
      </c>
      <c r="W173" s="3">
        <v>9.1934046538515286</v>
      </c>
      <c r="X173" s="3">
        <v>13.396705242860435</v>
      </c>
      <c r="Y173" s="3">
        <v>10.760981374400185</v>
      </c>
      <c r="Z173" s="3">
        <v>21.100735104979201</v>
      </c>
      <c r="AA173" s="3">
        <v>18.744977703403123</v>
      </c>
      <c r="AB173" s="3">
        <v>8.9829828067606172</v>
      </c>
      <c r="AC173" s="3">
        <v>3.3263955118777497</v>
      </c>
      <c r="AD173" s="3">
        <v>13.613472490604869</v>
      </c>
      <c r="AE173" t="s">
        <v>5460</v>
      </c>
      <c r="AF173" s="4" t="s">
        <v>1714</v>
      </c>
    </row>
    <row r="174" spans="1:32" ht="86.4" x14ac:dyDescent="0.3">
      <c r="A174" t="s">
        <v>1826</v>
      </c>
      <c r="B174" s="1" t="s">
        <v>1205</v>
      </c>
      <c r="C174" s="5" t="s">
        <v>2240</v>
      </c>
      <c r="D174" s="2" t="s">
        <v>3757</v>
      </c>
      <c r="E174" s="1" t="s">
        <v>1173</v>
      </c>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t="s">
        <v>5461</v>
      </c>
      <c r="AF174" s="4" t="s">
        <v>1714</v>
      </c>
    </row>
    <row r="175" spans="1:32" ht="144" x14ac:dyDescent="0.3">
      <c r="A175" t="s">
        <v>1826</v>
      </c>
      <c r="B175" s="1" t="s">
        <v>1205</v>
      </c>
      <c r="C175" s="5" t="s">
        <v>2241</v>
      </c>
      <c r="D175" s="2" t="s">
        <v>3758</v>
      </c>
      <c r="E175" s="1" t="s">
        <v>2062</v>
      </c>
      <c r="F175" s="3">
        <v>80323</v>
      </c>
      <c r="G175" s="3">
        <v>76005</v>
      </c>
      <c r="H175" s="3">
        <v>69870</v>
      </c>
      <c r="I175" s="3">
        <v>68903</v>
      </c>
      <c r="J175" s="3">
        <v>54401</v>
      </c>
      <c r="K175" s="3">
        <v>42665</v>
      </c>
      <c r="L175" s="3">
        <v>54830</v>
      </c>
      <c r="M175" s="3">
        <v>47300</v>
      </c>
      <c r="N175" s="3">
        <v>43799</v>
      </c>
      <c r="O175" s="3">
        <v>42893</v>
      </c>
      <c r="P175" s="3">
        <v>48038</v>
      </c>
      <c r="Q175" s="3">
        <v>52468</v>
      </c>
      <c r="R175" s="3">
        <v>52513.2</v>
      </c>
      <c r="S175" s="3">
        <v>61346.01</v>
      </c>
      <c r="T175" s="3">
        <v>74806.81</v>
      </c>
      <c r="U175" s="3">
        <v>98559.95</v>
      </c>
      <c r="V175" s="3">
        <v>104552.32000000001</v>
      </c>
      <c r="W175" s="3">
        <v>95248.74</v>
      </c>
      <c r="X175" s="3">
        <v>109087.03</v>
      </c>
      <c r="Y175" s="3">
        <v>109994.87</v>
      </c>
      <c r="Z175" s="3">
        <v>74589.14</v>
      </c>
      <c r="AA175" s="3">
        <v>104272.91</v>
      </c>
      <c r="AB175" s="3">
        <v>99943.34</v>
      </c>
      <c r="AC175" s="3"/>
      <c r="AD175" s="3"/>
      <c r="AE175" t="s">
        <v>5462</v>
      </c>
      <c r="AF175" s="4" t="s">
        <v>86</v>
      </c>
    </row>
    <row r="176" spans="1:32" ht="302.39999999999998" x14ac:dyDescent="0.3">
      <c r="A176" t="s">
        <v>1826</v>
      </c>
      <c r="B176" s="1" t="s">
        <v>1205</v>
      </c>
      <c r="C176" s="5" t="s">
        <v>2242</v>
      </c>
      <c r="D176" s="2" t="s">
        <v>3759</v>
      </c>
      <c r="E176" s="1" t="s">
        <v>965</v>
      </c>
      <c r="F176" s="3">
        <v>134.41674237071433</v>
      </c>
      <c r="G176" s="3">
        <v>135.0829379899734</v>
      </c>
      <c r="H176" s="3">
        <v>148.55489384610206</v>
      </c>
      <c r="I176" s="3">
        <v>95.629352982739462</v>
      </c>
      <c r="J176" s="3">
        <v>101.73278153494164</v>
      </c>
      <c r="K176" s="3">
        <v>115.18454964503211</v>
      </c>
      <c r="L176" s="3">
        <v>111.2513037919316</v>
      </c>
      <c r="M176" s="3">
        <v>109.77759833114634</v>
      </c>
      <c r="N176" s="3">
        <v>132.77817031728407</v>
      </c>
      <c r="O176" s="3">
        <v>115.71279566636386</v>
      </c>
      <c r="P176" s="3">
        <v>146.11554119982503</v>
      </c>
      <c r="Q176" s="3">
        <v>138.16156926079205</v>
      </c>
      <c r="R176" s="3">
        <v>203.49248006460076</v>
      </c>
      <c r="S176" s="3">
        <v>229.76683153325928</v>
      </c>
      <c r="T176" s="3">
        <v>251.90942431277543</v>
      </c>
      <c r="U176" s="3">
        <v>279.02493186635712</v>
      </c>
      <c r="V176" s="3">
        <v>283.68493657683115</v>
      </c>
      <c r="W176" s="3">
        <v>314.8514518354026</v>
      </c>
      <c r="X176" s="3">
        <v>315.29221762390227</v>
      </c>
      <c r="Y176" s="3">
        <v>343.80404427845627</v>
      </c>
      <c r="Z176" s="3">
        <v>340.11305137781369</v>
      </c>
      <c r="AA176" s="3">
        <v>388.32138891692739</v>
      </c>
      <c r="AB176" s="3">
        <v>396.72958514181886</v>
      </c>
      <c r="AC176" s="3">
        <v>384.92648295817764</v>
      </c>
      <c r="AD176" s="3"/>
      <c r="AE176" t="s">
        <v>5463</v>
      </c>
      <c r="AF176" s="4" t="s">
        <v>691</v>
      </c>
    </row>
    <row r="177" spans="1:32" ht="302.39999999999998" x14ac:dyDescent="0.3">
      <c r="A177" t="s">
        <v>1826</v>
      </c>
      <c r="B177" s="1" t="s">
        <v>1205</v>
      </c>
      <c r="C177" s="5" t="s">
        <v>2243</v>
      </c>
      <c r="D177" s="2" t="s">
        <v>3760</v>
      </c>
      <c r="E177" s="1" t="s">
        <v>1023</v>
      </c>
      <c r="F177" s="3">
        <v>6.9671000000000003</v>
      </c>
      <c r="G177" s="3">
        <v>6.9869000000000003</v>
      </c>
      <c r="H177" s="3">
        <v>7.3872999999999998</v>
      </c>
      <c r="I177" s="3">
        <v>5.8143000000000002</v>
      </c>
      <c r="J177" s="3">
        <v>5.9957000000000003</v>
      </c>
      <c r="K177" s="3">
        <v>6.3955000000000002</v>
      </c>
      <c r="L177" s="3">
        <v>6.2786</v>
      </c>
      <c r="M177" s="3">
        <v>6.2347999999999999</v>
      </c>
      <c r="N177" s="3">
        <v>6.9184000000000001</v>
      </c>
      <c r="O177" s="3">
        <v>6.4112</v>
      </c>
      <c r="P177" s="3">
        <v>7.3148</v>
      </c>
      <c r="Q177" s="3">
        <v>7.0784000000000002</v>
      </c>
      <c r="R177" s="3">
        <v>9.0200999999999993</v>
      </c>
      <c r="S177" s="3">
        <v>9.8010000000000002</v>
      </c>
      <c r="T177" s="3">
        <v>10.459099999999999</v>
      </c>
      <c r="U177" s="3">
        <v>11.265000000000001</v>
      </c>
      <c r="V177" s="3">
        <v>11.403499999999999</v>
      </c>
      <c r="W177" s="3">
        <v>12.329800000000001</v>
      </c>
      <c r="X177" s="3">
        <v>12.3429</v>
      </c>
      <c r="Y177" s="3">
        <v>13.190300000000001</v>
      </c>
      <c r="Z177" s="3">
        <v>13.0806</v>
      </c>
      <c r="AA177" s="3">
        <v>14.513400000000001</v>
      </c>
      <c r="AB177" s="3">
        <v>14.763299999999999</v>
      </c>
      <c r="AC177" s="3">
        <v>14.4125</v>
      </c>
      <c r="AD177" s="3"/>
      <c r="AE177" t="s">
        <v>5464</v>
      </c>
      <c r="AF177" s="4" t="s">
        <v>691</v>
      </c>
    </row>
    <row r="178" spans="1:32" ht="302.39999999999998" x14ac:dyDescent="0.3">
      <c r="A178" t="s">
        <v>1826</v>
      </c>
      <c r="B178" s="1" t="s">
        <v>1205</v>
      </c>
      <c r="C178" s="5" t="s">
        <v>2244</v>
      </c>
      <c r="D178" s="2" t="s">
        <v>3761</v>
      </c>
      <c r="E178" s="1" t="s">
        <v>1243</v>
      </c>
      <c r="F178" s="3">
        <v>0.39364361972007011</v>
      </c>
      <c r="G178" s="3">
        <v>0.38434091191260994</v>
      </c>
      <c r="H178" s="3">
        <v>0.39600057272212025</v>
      </c>
      <c r="I178" s="3">
        <v>0.30400707075386413</v>
      </c>
      <c r="J178" s="3">
        <v>0.30598111763204899</v>
      </c>
      <c r="K178" s="3">
        <v>0.31868417593419485</v>
      </c>
      <c r="L178" s="3">
        <v>0.30557553433376156</v>
      </c>
      <c r="M178" s="3">
        <v>0.29646384085481708</v>
      </c>
      <c r="N178" s="3">
        <v>0.32157008602455306</v>
      </c>
      <c r="O178" s="3">
        <v>0.29144547171235125</v>
      </c>
      <c r="P178" s="3">
        <v>0.32527476241286207</v>
      </c>
      <c r="Q178" s="3">
        <v>0.30799756331041689</v>
      </c>
      <c r="R178" s="3">
        <v>0.38437252392479371</v>
      </c>
      <c r="S178" s="3">
        <v>0.40940234400699255</v>
      </c>
      <c r="T178" s="3">
        <v>0.42642522779121061</v>
      </c>
      <c r="U178" s="3">
        <v>0.44620325590138959</v>
      </c>
      <c r="V178" s="3">
        <v>0.43877495464016969</v>
      </c>
      <c r="W178" s="3">
        <v>0.4612137967481244</v>
      </c>
      <c r="X178" s="3">
        <v>0.44941822934191394</v>
      </c>
      <c r="Y178" s="3">
        <v>0.4678571201818153</v>
      </c>
      <c r="Z178" s="3">
        <v>0.45237409247907584</v>
      </c>
      <c r="AA178" s="3">
        <v>0.48966023179153823</v>
      </c>
      <c r="AB178" s="3">
        <v>0.48571472375622804</v>
      </c>
      <c r="AC178" s="3">
        <v>0.46244818093661694</v>
      </c>
      <c r="AD178" s="3"/>
      <c r="AE178" t="s">
        <v>5465</v>
      </c>
      <c r="AF178" s="4" t="s">
        <v>691</v>
      </c>
    </row>
    <row r="179" spans="1:32" ht="302.39999999999998" x14ac:dyDescent="0.3">
      <c r="A179" t="s">
        <v>1826</v>
      </c>
      <c r="B179" s="1" t="s">
        <v>1205</v>
      </c>
      <c r="C179" s="5" t="s">
        <v>2245</v>
      </c>
      <c r="D179" s="2" t="s">
        <v>3762</v>
      </c>
      <c r="E179" s="1" t="s">
        <v>890</v>
      </c>
      <c r="F179" s="3">
        <v>5.5E-2</v>
      </c>
      <c r="G179" s="3">
        <v>4.1799999999999997E-2</v>
      </c>
      <c r="H179" s="3">
        <v>8.7400000000000005E-2</v>
      </c>
      <c r="I179" s="3">
        <v>3.27E-2</v>
      </c>
      <c r="J179" s="3">
        <v>6.9099999999999995E-2</v>
      </c>
      <c r="K179" s="3">
        <v>5.1900000000000002E-2</v>
      </c>
      <c r="L179" s="3">
        <v>8.4900000000000003E-2</v>
      </c>
      <c r="M179" s="3">
        <v>6.2899999999999998E-2</v>
      </c>
      <c r="N179" s="3">
        <v>3.7699999999999997E-2</v>
      </c>
      <c r="O179" s="3">
        <v>6.6000000000000003E-2</v>
      </c>
      <c r="P179" s="3">
        <v>7.0300000000000001E-2</v>
      </c>
      <c r="Q179" s="3">
        <v>5.5199999999999999E-2</v>
      </c>
      <c r="R179" s="3">
        <v>6.88E-2</v>
      </c>
      <c r="S179" s="3">
        <v>9.7799999999999998E-2</v>
      </c>
      <c r="T179" s="3">
        <v>0.1159</v>
      </c>
      <c r="U179" s="3">
        <v>8.1799999999999998E-2</v>
      </c>
      <c r="V179" s="3">
        <v>8.8400000000000006E-2</v>
      </c>
      <c r="W179" s="3">
        <v>6.6100000000000006E-2</v>
      </c>
      <c r="X179" s="3">
        <v>5.2900000000000003E-2</v>
      </c>
      <c r="Y179" s="3">
        <v>0.11940000000000001</v>
      </c>
      <c r="Z179" s="3">
        <v>8.2799999999999999E-2</v>
      </c>
      <c r="AA179" s="3">
        <v>0.1221</v>
      </c>
      <c r="AB179" s="3">
        <v>0.1288</v>
      </c>
      <c r="AC179" s="3">
        <v>0.13600000000000001</v>
      </c>
      <c r="AD179" s="3"/>
      <c r="AE179" t="s">
        <v>5466</v>
      </c>
      <c r="AF179" s="4" t="s">
        <v>691</v>
      </c>
    </row>
    <row r="180" spans="1:32" ht="302.39999999999998" x14ac:dyDescent="0.3">
      <c r="A180" t="s">
        <v>1826</v>
      </c>
      <c r="B180" s="1" t="s">
        <v>1205</v>
      </c>
      <c r="C180" s="5" t="s">
        <v>2246</v>
      </c>
      <c r="D180" s="2" t="s">
        <v>3763</v>
      </c>
      <c r="E180" s="1" t="s">
        <v>1384</v>
      </c>
      <c r="F180" s="3">
        <v>1.9262999999999999</v>
      </c>
      <c r="G180" s="3">
        <v>1.7981</v>
      </c>
      <c r="H180" s="3">
        <v>1.6469</v>
      </c>
      <c r="I180" s="3">
        <v>1.4044000000000001</v>
      </c>
      <c r="J180" s="3">
        <v>1.4032</v>
      </c>
      <c r="K180" s="3">
        <v>1.0766</v>
      </c>
      <c r="L180" s="3">
        <v>1.4737</v>
      </c>
      <c r="M180" s="3">
        <v>1.3882000000000001</v>
      </c>
      <c r="N180" s="3">
        <v>1.3929</v>
      </c>
      <c r="O180" s="3">
        <v>0.77139999999999997</v>
      </c>
      <c r="P180" s="3">
        <v>0.83079999999999998</v>
      </c>
      <c r="Q180" s="3">
        <v>0.65010000000000001</v>
      </c>
      <c r="R180" s="3">
        <v>0.85399999999999998</v>
      </c>
      <c r="S180" s="3">
        <v>1.0928</v>
      </c>
      <c r="T180" s="3">
        <v>1.0819000000000001</v>
      </c>
      <c r="U180" s="3">
        <v>1.1065</v>
      </c>
      <c r="V180" s="3">
        <v>1.2153</v>
      </c>
      <c r="W180" s="3">
        <v>1.3880999999999999</v>
      </c>
      <c r="X180" s="3">
        <v>1.3067</v>
      </c>
      <c r="Y180" s="3">
        <v>1.3636999999999999</v>
      </c>
      <c r="Z180" s="3">
        <v>1.3231999999999999</v>
      </c>
      <c r="AA180" s="3">
        <v>1.4480999999999999</v>
      </c>
      <c r="AB180" s="3">
        <v>1.508</v>
      </c>
      <c r="AC180" s="3">
        <v>1.4612000000000001</v>
      </c>
      <c r="AD180" s="3"/>
      <c r="AE180" t="s">
        <v>5467</v>
      </c>
      <c r="AF180" s="4" t="s">
        <v>691</v>
      </c>
    </row>
    <row r="181" spans="1:32" ht="302.39999999999998" x14ac:dyDescent="0.3">
      <c r="A181" t="s">
        <v>1826</v>
      </c>
      <c r="B181" s="1" t="s">
        <v>1205</v>
      </c>
      <c r="C181" s="5" t="s">
        <v>2247</v>
      </c>
      <c r="D181" s="2" t="s">
        <v>3764</v>
      </c>
      <c r="E181" s="1" t="s">
        <v>1213</v>
      </c>
      <c r="F181" s="3">
        <v>0.71489999999999998</v>
      </c>
      <c r="G181" s="3">
        <v>0.79810000000000003</v>
      </c>
      <c r="H181" s="3">
        <v>0.94899999999999995</v>
      </c>
      <c r="I181" s="3">
        <v>0.39219999999999999</v>
      </c>
      <c r="J181" s="3">
        <v>0.40789999999999998</v>
      </c>
      <c r="K181" s="3">
        <v>0.58879999999999999</v>
      </c>
      <c r="L181" s="3">
        <v>0.22420000000000001</v>
      </c>
      <c r="M181" s="3">
        <v>0.25640000000000002</v>
      </c>
      <c r="N181" s="3">
        <v>0.34639999999999999</v>
      </c>
      <c r="O181" s="3">
        <v>0.35389999999999999</v>
      </c>
      <c r="P181" s="3">
        <v>0.30659999999999998</v>
      </c>
      <c r="Q181" s="3">
        <v>0.3392</v>
      </c>
      <c r="R181" s="3">
        <v>0.37859999999999999</v>
      </c>
      <c r="S181" s="3">
        <v>0.32529999999999998</v>
      </c>
      <c r="T181" s="3">
        <v>0.33029999999999998</v>
      </c>
      <c r="U181" s="3">
        <v>0.31280000000000002</v>
      </c>
      <c r="V181" s="3">
        <v>0.28589999999999999</v>
      </c>
      <c r="W181" s="3">
        <v>0.26650000000000001</v>
      </c>
      <c r="X181" s="3">
        <v>0.38240000000000002</v>
      </c>
      <c r="Y181" s="3">
        <v>0.41160000000000002</v>
      </c>
      <c r="Z181" s="3">
        <v>0.39350000000000002</v>
      </c>
      <c r="AA181" s="3">
        <v>0.36559999999999998</v>
      </c>
      <c r="AB181" s="3">
        <v>0.38529999999999998</v>
      </c>
      <c r="AC181" s="3">
        <v>0.40050000000000002</v>
      </c>
      <c r="AD181" s="3"/>
      <c r="AE181" t="s">
        <v>5468</v>
      </c>
      <c r="AF181" s="4" t="s">
        <v>691</v>
      </c>
    </row>
    <row r="182" spans="1:32" ht="302.39999999999998" x14ac:dyDescent="0.3">
      <c r="A182" t="s">
        <v>1826</v>
      </c>
      <c r="B182" s="1" t="s">
        <v>1205</v>
      </c>
      <c r="C182" s="5" t="s">
        <v>2248</v>
      </c>
      <c r="D182" s="2" t="s">
        <v>3765</v>
      </c>
      <c r="E182" s="1" t="s">
        <v>471</v>
      </c>
      <c r="F182" s="3">
        <v>0.74519999999999997</v>
      </c>
      <c r="G182" s="3">
        <v>0.73250000000000004</v>
      </c>
      <c r="H182" s="3">
        <v>0.68430000000000002</v>
      </c>
      <c r="I182" s="3">
        <v>0.52070000000000005</v>
      </c>
      <c r="J182" s="3">
        <v>0.53990000000000005</v>
      </c>
      <c r="K182" s="3">
        <v>0.37780000000000002</v>
      </c>
      <c r="L182" s="3">
        <v>0.53290000000000004</v>
      </c>
      <c r="M182" s="3">
        <v>0.41489999999999999</v>
      </c>
      <c r="N182" s="3">
        <v>0.56440000000000001</v>
      </c>
      <c r="O182" s="3">
        <v>1.0567</v>
      </c>
      <c r="P182" s="3">
        <v>0.97099999999999997</v>
      </c>
      <c r="Q182" s="3">
        <v>0.91310000000000002</v>
      </c>
      <c r="R182" s="3">
        <v>1.0012000000000001</v>
      </c>
      <c r="S182" s="3">
        <v>1.2874000000000001</v>
      </c>
      <c r="T182" s="3">
        <v>1.3291999999999999</v>
      </c>
      <c r="U182" s="3">
        <v>1.4350000000000001</v>
      </c>
      <c r="V182" s="3">
        <v>0.80179999999999996</v>
      </c>
      <c r="W182" s="3">
        <v>1.5599000000000001</v>
      </c>
      <c r="X182" s="3">
        <v>1.2599</v>
      </c>
      <c r="Y182" s="3">
        <v>1.3287</v>
      </c>
      <c r="Z182" s="3">
        <v>1.2728999999999999</v>
      </c>
      <c r="AA182" s="3">
        <v>1.4441999999999999</v>
      </c>
      <c r="AB182" s="3">
        <v>1.4641</v>
      </c>
      <c r="AC182" s="3">
        <v>1.4187000000000001</v>
      </c>
      <c r="AD182" s="3"/>
      <c r="AE182" t="s">
        <v>5469</v>
      </c>
      <c r="AF182" s="4" t="s">
        <v>691</v>
      </c>
    </row>
    <row r="183" spans="1:32" ht="302.39999999999998" x14ac:dyDescent="0.3">
      <c r="A183" t="s">
        <v>1826</v>
      </c>
      <c r="B183" s="1" t="s">
        <v>1205</v>
      </c>
      <c r="C183" s="5" t="s">
        <v>2249</v>
      </c>
      <c r="D183" s="2" t="s">
        <v>3766</v>
      </c>
      <c r="E183" s="1" t="s">
        <v>1158</v>
      </c>
      <c r="F183" s="3">
        <v>0.4037</v>
      </c>
      <c r="G183" s="3">
        <v>0.42259999999999998</v>
      </c>
      <c r="H183" s="3">
        <v>0.42899999999999999</v>
      </c>
      <c r="I183" s="3">
        <v>0.4622</v>
      </c>
      <c r="J183" s="3">
        <v>0.45710000000000001</v>
      </c>
      <c r="K183" s="3">
        <v>0.46260000000000001</v>
      </c>
      <c r="L183" s="3">
        <v>0.49009999999999998</v>
      </c>
      <c r="M183" s="3">
        <v>0.50660000000000005</v>
      </c>
      <c r="N183" s="3">
        <v>0.39810000000000001</v>
      </c>
      <c r="O183" s="3">
        <v>0.30449999999999999</v>
      </c>
      <c r="P183" s="3">
        <v>0.88859999999999995</v>
      </c>
      <c r="Q183" s="3">
        <v>0.85919999999999996</v>
      </c>
      <c r="R183" s="3">
        <v>0.90049999999999997</v>
      </c>
      <c r="S183" s="3">
        <v>1.0016</v>
      </c>
      <c r="T183" s="3">
        <v>1.1359999999999999</v>
      </c>
      <c r="U183" s="3">
        <v>1.3714999999999999</v>
      </c>
      <c r="V183" s="3">
        <v>1.7307999999999999</v>
      </c>
      <c r="W183" s="3">
        <v>1.6912</v>
      </c>
      <c r="X183" s="3">
        <v>2.0891999999999999</v>
      </c>
      <c r="Y183" s="3">
        <v>2.2302</v>
      </c>
      <c r="Z183" s="3">
        <v>2.2564000000000002</v>
      </c>
      <c r="AA183" s="3">
        <v>2.2787999999999999</v>
      </c>
      <c r="AB183" s="3">
        <v>2.2924000000000002</v>
      </c>
      <c r="AC183" s="3">
        <v>2.2852000000000001</v>
      </c>
      <c r="AD183" s="3"/>
      <c r="AE183" t="s">
        <v>5470</v>
      </c>
      <c r="AF183" s="4" t="s">
        <v>691</v>
      </c>
    </row>
    <row r="184" spans="1:32" ht="302.39999999999998" x14ac:dyDescent="0.3">
      <c r="A184" t="s">
        <v>1826</v>
      </c>
      <c r="B184" s="1" t="s">
        <v>1205</v>
      </c>
      <c r="C184" s="5" t="s">
        <v>2250</v>
      </c>
      <c r="D184" s="2" t="s">
        <v>3767</v>
      </c>
      <c r="E184" s="1" t="s">
        <v>14</v>
      </c>
      <c r="F184" s="3">
        <v>1.8310999999999999</v>
      </c>
      <c r="G184" s="3">
        <v>1.9347000000000001</v>
      </c>
      <c r="H184" s="3">
        <v>2.1781000000000001</v>
      </c>
      <c r="I184" s="3">
        <v>1.9646999999999999</v>
      </c>
      <c r="J184" s="3">
        <v>1.9742999999999999</v>
      </c>
      <c r="K184" s="3">
        <v>2.6124999999999998</v>
      </c>
      <c r="L184" s="3">
        <v>2.1911</v>
      </c>
      <c r="M184" s="3">
        <v>2.3153999999999999</v>
      </c>
      <c r="N184" s="3">
        <v>2.6171000000000002</v>
      </c>
      <c r="O184" s="3">
        <v>2.3075999999999999</v>
      </c>
      <c r="P184" s="3">
        <v>2.7633000000000001</v>
      </c>
      <c r="Q184" s="3">
        <v>2.6779999999999999</v>
      </c>
      <c r="R184" s="3">
        <v>3.4609000000000001</v>
      </c>
      <c r="S184" s="3">
        <v>3.4377</v>
      </c>
      <c r="T184" s="3">
        <v>3.7639999999999998</v>
      </c>
      <c r="U184" s="3">
        <v>3.7923</v>
      </c>
      <c r="V184" s="3">
        <v>3.4416000000000002</v>
      </c>
      <c r="W184" s="3">
        <v>3.7839999999999998</v>
      </c>
      <c r="X184" s="3">
        <v>3.2850000000000001</v>
      </c>
      <c r="Y184" s="3">
        <v>3.5009999999999999</v>
      </c>
      <c r="Z184" s="3">
        <v>3.5897999999999999</v>
      </c>
      <c r="AA184" s="3">
        <v>3.8201999999999998</v>
      </c>
      <c r="AB184" s="3">
        <v>3.6608999999999998</v>
      </c>
      <c r="AC184" s="3">
        <v>3.548</v>
      </c>
      <c r="AD184" s="3"/>
      <c r="AE184" t="s">
        <v>5471</v>
      </c>
      <c r="AF184" s="4" t="s">
        <v>691</v>
      </c>
    </row>
    <row r="185" spans="1:32" ht="302.39999999999998" x14ac:dyDescent="0.3">
      <c r="A185" t="s">
        <v>1826</v>
      </c>
      <c r="B185" s="1" t="s">
        <v>1205</v>
      </c>
      <c r="C185" s="5" t="s">
        <v>2251</v>
      </c>
      <c r="D185" s="2" t="s">
        <v>3768</v>
      </c>
      <c r="E185" s="1" t="s">
        <v>1631</v>
      </c>
      <c r="F185" s="3">
        <v>1.2908999999999999</v>
      </c>
      <c r="G185" s="3">
        <v>1.2589999999999999</v>
      </c>
      <c r="H185" s="3">
        <v>1.4126000000000001</v>
      </c>
      <c r="I185" s="3">
        <v>1.0374000000000001</v>
      </c>
      <c r="J185" s="3">
        <v>1.1440999999999999</v>
      </c>
      <c r="K185" s="3">
        <v>1.2253000000000001</v>
      </c>
      <c r="L185" s="3">
        <v>1.2819</v>
      </c>
      <c r="M185" s="3">
        <v>1.2905</v>
      </c>
      <c r="N185" s="3">
        <v>1.5618000000000001</v>
      </c>
      <c r="O185" s="3">
        <v>1.5511999999999999</v>
      </c>
      <c r="P185" s="3">
        <v>1.4843</v>
      </c>
      <c r="Q185" s="3">
        <v>1.5835999999999999</v>
      </c>
      <c r="R185" s="3">
        <v>2.3561000000000001</v>
      </c>
      <c r="S185" s="3">
        <v>2.5583999999999998</v>
      </c>
      <c r="T185" s="3">
        <v>2.7017000000000002</v>
      </c>
      <c r="U185" s="3">
        <v>3.165</v>
      </c>
      <c r="V185" s="3">
        <v>3.8397000000000001</v>
      </c>
      <c r="W185" s="3">
        <v>3.5739999999999998</v>
      </c>
      <c r="X185" s="3">
        <v>3.9668999999999999</v>
      </c>
      <c r="Y185" s="3">
        <v>4.2356999999999996</v>
      </c>
      <c r="Z185" s="3">
        <v>4.1619999999999999</v>
      </c>
      <c r="AA185" s="3">
        <v>5.0343</v>
      </c>
      <c r="AB185" s="3">
        <v>5.3239000000000001</v>
      </c>
      <c r="AC185" s="3">
        <v>5.1627999999999998</v>
      </c>
      <c r="AD185" s="3"/>
      <c r="AE185" t="s">
        <v>5472</v>
      </c>
      <c r="AF185" s="4" t="s">
        <v>691</v>
      </c>
    </row>
    <row r="186" spans="1:32" ht="302.39999999999998" x14ac:dyDescent="0.3">
      <c r="A186" t="s">
        <v>1826</v>
      </c>
      <c r="B186" s="1" t="s">
        <v>1205</v>
      </c>
      <c r="C186" s="5" t="s">
        <v>2252</v>
      </c>
      <c r="D186" s="2" t="s">
        <v>3769</v>
      </c>
      <c r="E186" s="1" t="s">
        <v>179</v>
      </c>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t="s">
        <v>5473</v>
      </c>
      <c r="AF186" s="4" t="s">
        <v>691</v>
      </c>
    </row>
    <row r="187" spans="1:32" ht="302.39999999999998" x14ac:dyDescent="0.3">
      <c r="A187" t="s">
        <v>1826</v>
      </c>
      <c r="B187" s="1" t="s">
        <v>1205</v>
      </c>
      <c r="C187" s="5" t="s">
        <v>2253</v>
      </c>
      <c r="D187" s="2" t="s">
        <v>3770</v>
      </c>
      <c r="E187" s="1" t="s">
        <v>1597</v>
      </c>
      <c r="F187" s="3">
        <v>61.231535000000001</v>
      </c>
      <c r="G187" s="3">
        <v>55.629081999999997</v>
      </c>
      <c r="H187" s="3">
        <v>54.461070999999997</v>
      </c>
      <c r="I187" s="3">
        <v>54.523944999999998</v>
      </c>
      <c r="J187" s="3">
        <v>56.944752000000001</v>
      </c>
      <c r="K187" s="3">
        <v>56.980398000000001</v>
      </c>
      <c r="L187" s="3">
        <v>56.569195999999998</v>
      </c>
      <c r="M187" s="3">
        <v>54.928733999999999</v>
      </c>
      <c r="N187" s="3">
        <v>55.282319000000001</v>
      </c>
      <c r="O187" s="3">
        <v>55.562415999999999</v>
      </c>
      <c r="P187" s="3">
        <v>55.143253999999999</v>
      </c>
      <c r="Q187" s="3">
        <v>53.963186999999998</v>
      </c>
      <c r="R187" s="3">
        <v>55.542482999999997</v>
      </c>
      <c r="S187" s="3">
        <v>54.070169999999997</v>
      </c>
      <c r="T187" s="3">
        <v>54.688299000000001</v>
      </c>
      <c r="U187" s="3">
        <v>54.271287999999998</v>
      </c>
      <c r="V187" s="3">
        <v>58.153875999999997</v>
      </c>
      <c r="W187" s="3">
        <v>59.861108000000002</v>
      </c>
      <c r="X187" s="3">
        <v>62.165370000000003</v>
      </c>
      <c r="Y187" s="3">
        <v>66.242272</v>
      </c>
      <c r="Z187" s="3">
        <v>67.244130999999996</v>
      </c>
      <c r="AA187" s="3">
        <v>67.244130999999996</v>
      </c>
      <c r="AB187" s="3">
        <v>67.244130999999996</v>
      </c>
      <c r="AC187" s="3"/>
      <c r="AD187" s="3"/>
      <c r="AE187" t="s">
        <v>5474</v>
      </c>
      <c r="AF187" s="4" t="s">
        <v>691</v>
      </c>
    </row>
    <row r="188" spans="1:32" ht="302.39999999999998" x14ac:dyDescent="0.3">
      <c r="A188" t="s">
        <v>1826</v>
      </c>
      <c r="B188" s="1" t="s">
        <v>1205</v>
      </c>
      <c r="C188" s="5" t="s">
        <v>2254</v>
      </c>
      <c r="D188" s="2" t="s">
        <v>3771</v>
      </c>
      <c r="E188" s="1" t="s">
        <v>1930</v>
      </c>
      <c r="F188" s="3">
        <v>-35.479064999999999</v>
      </c>
      <c r="G188" s="3">
        <v>-35.815027000000001</v>
      </c>
      <c r="H188" s="3">
        <v>-37.430610999999999</v>
      </c>
      <c r="I188" s="3">
        <v>-37.614505999999999</v>
      </c>
      <c r="J188" s="3">
        <v>-36.104104999999997</v>
      </c>
      <c r="K188" s="3">
        <v>-36.258319999999998</v>
      </c>
      <c r="L188" s="3">
        <v>-35.323425999999998</v>
      </c>
      <c r="M188" s="3">
        <v>-31.230325000000001</v>
      </c>
      <c r="N188" s="3">
        <v>-32.896523999999999</v>
      </c>
      <c r="O188" s="3">
        <v>-32.313301000000003</v>
      </c>
      <c r="P188" s="3">
        <v>-29.283418000000001</v>
      </c>
      <c r="Q188" s="3">
        <v>-28.119367</v>
      </c>
      <c r="R188" s="3">
        <v>-25.726544000000001</v>
      </c>
      <c r="S188" s="3">
        <v>-25.622629</v>
      </c>
      <c r="T188" s="3">
        <v>-23.630517999999999</v>
      </c>
      <c r="U188" s="3">
        <v>-22.617284000000001</v>
      </c>
      <c r="V188" s="3">
        <v>-21.446870000000001</v>
      </c>
      <c r="W188" s="3">
        <v>-20.275680000000001</v>
      </c>
      <c r="X188" s="3">
        <v>-19.104552999999999</v>
      </c>
      <c r="Y188" s="3">
        <v>-17.934125999999999</v>
      </c>
      <c r="Z188" s="3">
        <v>-16.762926</v>
      </c>
      <c r="AA188" s="3">
        <v>-16.762926</v>
      </c>
      <c r="AB188" s="3">
        <v>-16.762926</v>
      </c>
      <c r="AC188" s="3"/>
      <c r="AD188" s="3"/>
      <c r="AE188" t="s">
        <v>5475</v>
      </c>
      <c r="AF188" s="4" t="s">
        <v>691</v>
      </c>
    </row>
    <row r="189" spans="1:32" ht="302.39999999999998" x14ac:dyDescent="0.3">
      <c r="A189" t="s">
        <v>1826</v>
      </c>
      <c r="B189" s="1" t="s">
        <v>1205</v>
      </c>
      <c r="C189" s="5" t="s">
        <v>2255</v>
      </c>
      <c r="D189" s="2" t="s">
        <v>3772</v>
      </c>
      <c r="E189" s="1" t="s">
        <v>1835</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c r="AB189" s="3"/>
      <c r="AC189" s="3"/>
      <c r="AD189" s="3"/>
      <c r="AE189" t="s">
        <v>5476</v>
      </c>
      <c r="AF189" s="4" t="s">
        <v>691</v>
      </c>
    </row>
    <row r="190" spans="1:32" ht="302.39999999999998" x14ac:dyDescent="0.3">
      <c r="A190" t="s">
        <v>1826</v>
      </c>
      <c r="B190" s="1" t="s">
        <v>1205</v>
      </c>
      <c r="C190" s="5" t="s">
        <v>2256</v>
      </c>
      <c r="D190" s="2" t="s">
        <v>3773</v>
      </c>
      <c r="E190" s="1" t="s">
        <v>1853</v>
      </c>
      <c r="F190" s="3">
        <v>-10.598210999999999</v>
      </c>
      <c r="G190" s="3">
        <v>-5.9240950000000003</v>
      </c>
      <c r="H190" s="3">
        <v>-5.3916050000000002</v>
      </c>
      <c r="I190" s="3">
        <v>-3.9958819999999999</v>
      </c>
      <c r="J190" s="3">
        <v>-7.0897389999999998</v>
      </c>
      <c r="K190" s="3">
        <v>-9.4712379999999996</v>
      </c>
      <c r="L190" s="3">
        <v>-7.2229219999999996</v>
      </c>
      <c r="M190" s="3">
        <v>-8.5700719999999997</v>
      </c>
      <c r="N190" s="3">
        <v>-6.062195</v>
      </c>
      <c r="O190" s="3">
        <v>-6.9674630000000004</v>
      </c>
      <c r="P190" s="3">
        <v>-8.0803170000000009</v>
      </c>
      <c r="Q190" s="3">
        <v>-7.8689410000000004</v>
      </c>
      <c r="R190" s="3">
        <v>-8.0736419999999995</v>
      </c>
      <c r="S190" s="3">
        <v>-8.2658229999999993</v>
      </c>
      <c r="T190" s="3">
        <v>-7.9748029999999996</v>
      </c>
      <c r="U190" s="3">
        <v>-9.871416</v>
      </c>
      <c r="V190" s="3">
        <v>-14.028252</v>
      </c>
      <c r="W190" s="3">
        <v>-17.305551000000001</v>
      </c>
      <c r="X190" s="3">
        <v>-18.518411</v>
      </c>
      <c r="Y190" s="3">
        <v>-18.951784</v>
      </c>
      <c r="Z190" s="3">
        <v>-22.386130000000001</v>
      </c>
      <c r="AA190" s="3">
        <v>-22.386130000000001</v>
      </c>
      <c r="AB190" s="3">
        <v>-22.386130000000001</v>
      </c>
      <c r="AC190" s="3"/>
      <c r="AD190" s="3"/>
      <c r="AE190" t="s">
        <v>5477</v>
      </c>
      <c r="AF190" s="4" t="s">
        <v>691</v>
      </c>
    </row>
    <row r="191" spans="1:32" ht="302.39999999999998" x14ac:dyDescent="0.3">
      <c r="A191" t="s">
        <v>1826</v>
      </c>
      <c r="B191" s="1" t="s">
        <v>1205</v>
      </c>
      <c r="C191" s="5" t="s">
        <v>2257</v>
      </c>
      <c r="D191" s="2" t="s">
        <v>3774</v>
      </c>
      <c r="E191" s="1" t="s">
        <v>1873</v>
      </c>
      <c r="F191" s="3">
        <v>15.080484</v>
      </c>
      <c r="G191" s="3">
        <v>14.137779999999999</v>
      </c>
      <c r="H191" s="3">
        <v>11.334486</v>
      </c>
      <c r="I191" s="3">
        <v>12.598312999999999</v>
      </c>
      <c r="J191" s="3">
        <v>13.69744</v>
      </c>
      <c r="K191" s="3">
        <v>11.502656</v>
      </c>
      <c r="L191" s="3">
        <v>14.080140999999999</v>
      </c>
      <c r="M191" s="3">
        <v>15.091858</v>
      </c>
      <c r="N191" s="3">
        <v>16.297232000000001</v>
      </c>
      <c r="O191" s="3">
        <v>15.79754</v>
      </c>
      <c r="P191" s="3">
        <v>17.334688</v>
      </c>
      <c r="Q191" s="3">
        <v>17.399298000000002</v>
      </c>
      <c r="R191" s="3">
        <v>21.273334999999999</v>
      </c>
      <c r="S191" s="3">
        <v>19.592528000000001</v>
      </c>
      <c r="T191" s="3">
        <v>22.045503</v>
      </c>
      <c r="U191" s="3">
        <v>20.65823</v>
      </c>
      <c r="V191" s="3">
        <v>21.529122999999998</v>
      </c>
      <c r="W191" s="3">
        <v>21.126128999999999</v>
      </c>
      <c r="X191" s="3">
        <v>23.4129</v>
      </c>
      <c r="Y191" s="3">
        <v>28.365431000000001</v>
      </c>
      <c r="Z191" s="3">
        <v>27.207307</v>
      </c>
      <c r="AA191" s="3">
        <v>27.207307</v>
      </c>
      <c r="AB191" s="3">
        <v>27.207307</v>
      </c>
      <c r="AC191" s="3"/>
      <c r="AD191" s="3"/>
      <c r="AE191" t="s">
        <v>5478</v>
      </c>
      <c r="AF191" s="4" t="s">
        <v>691</v>
      </c>
    </row>
    <row r="192" spans="1:32" ht="302.39999999999998" x14ac:dyDescent="0.3">
      <c r="A192" t="s">
        <v>1826</v>
      </c>
      <c r="B192" s="1" t="s">
        <v>1205</v>
      </c>
      <c r="C192" s="5" t="s">
        <v>2258</v>
      </c>
      <c r="D192" s="2" t="s">
        <v>3775</v>
      </c>
      <c r="E192" s="1" t="s">
        <v>2051</v>
      </c>
      <c r="F192" s="3">
        <v>8.1359226597051082E-2</v>
      </c>
      <c r="G192" s="3">
        <v>8.3386601513475281E-2</v>
      </c>
      <c r="H192" s="3">
        <v>9.0640213048141655E-2</v>
      </c>
      <c r="I192" s="3">
        <v>7.4878581840204336E-2</v>
      </c>
      <c r="J192" s="3">
        <v>7.4831308482977088E-2</v>
      </c>
      <c r="K192" s="3">
        <v>7.9033914447351625E-2</v>
      </c>
      <c r="L192" s="3">
        <v>7.5464531657331996E-2</v>
      </c>
      <c r="M192" s="3">
        <v>7.412168691412338E-2</v>
      </c>
      <c r="N192" s="3">
        <v>7.8494457447035759E-2</v>
      </c>
      <c r="O192" s="3">
        <v>7.0209999480138383E-2</v>
      </c>
      <c r="P192" s="3">
        <v>7.4971379620007897E-2</v>
      </c>
      <c r="Q192" s="3">
        <v>7.6665744947843367E-2</v>
      </c>
      <c r="R192" s="3">
        <v>9.0778491575232406E-2</v>
      </c>
      <c r="S192" s="3">
        <v>8.9054981161113822E-2</v>
      </c>
      <c r="T192" s="3">
        <v>8.6891238744373975E-2</v>
      </c>
      <c r="U192" s="3">
        <v>8.7304885217477896E-2</v>
      </c>
      <c r="V192" s="3">
        <v>8.2463374529017516E-2</v>
      </c>
      <c r="W192" s="3">
        <v>8.3010144266934621E-2</v>
      </c>
      <c r="X192" s="3">
        <v>7.9259677806112747E-2</v>
      </c>
      <c r="Y192" s="3">
        <v>7.9366707998943867E-2</v>
      </c>
      <c r="Z192" s="3">
        <v>7.8159731512641092E-2</v>
      </c>
      <c r="AA192" s="3">
        <v>8.0999775457388484E-2</v>
      </c>
      <c r="AB192" s="3">
        <v>7.7438501797767692E-2</v>
      </c>
      <c r="AC192" s="3">
        <v>7.1017484181134502E-2</v>
      </c>
      <c r="AD192" s="3"/>
      <c r="AE192" t="s">
        <v>5479</v>
      </c>
      <c r="AF192" s="4" t="s">
        <v>691</v>
      </c>
    </row>
    <row r="193" spans="1:32" ht="302.39999999999998" x14ac:dyDescent="0.3">
      <c r="A193" t="s">
        <v>1826</v>
      </c>
      <c r="B193" s="1" t="s">
        <v>1205</v>
      </c>
      <c r="C193" s="5" t="s">
        <v>2259</v>
      </c>
      <c r="D193" s="2" t="s">
        <v>3776</v>
      </c>
      <c r="E193" s="1" t="s">
        <v>1969</v>
      </c>
      <c r="F193" s="3">
        <v>0.22913515297740469</v>
      </c>
      <c r="G193" s="3">
        <v>0.23484492777551283</v>
      </c>
      <c r="H193" s="3">
        <v>0.25527355594900991</v>
      </c>
      <c r="I193" s="3">
        <v>0.21088346119195062</v>
      </c>
      <c r="J193" s="3">
        <v>0.21075032339808158</v>
      </c>
      <c r="K193" s="3">
        <v>0.22258628596591673</v>
      </c>
      <c r="L193" s="3">
        <v>0.2125336944426868</v>
      </c>
      <c r="M193" s="3">
        <v>0.20875178858480634</v>
      </c>
      <c r="N193" s="3">
        <v>0.22106699224273152</v>
      </c>
      <c r="O193" s="3">
        <v>0.19773515118453841</v>
      </c>
      <c r="P193" s="3">
        <v>0.2111448111870356</v>
      </c>
      <c r="Q193" s="3">
        <v>0.21591671813393942</v>
      </c>
      <c r="R193" s="3">
        <v>0.25566299514089602</v>
      </c>
      <c r="S193" s="3">
        <v>0.25080900575438031</v>
      </c>
      <c r="T193" s="3">
        <v>0.24471517386339042</v>
      </c>
      <c r="U193" s="3">
        <v>0.24588014250748355</v>
      </c>
      <c r="V193" s="3">
        <v>0.23224480772564679</v>
      </c>
      <c r="W193" s="3">
        <v>0.23378469659604553</v>
      </c>
      <c r="X193" s="3">
        <v>0.22322211209050166</v>
      </c>
      <c r="Y193" s="3">
        <v>0.22352354538372873</v>
      </c>
      <c r="Z193" s="3">
        <v>0.22012429058010535</v>
      </c>
      <c r="AA193" s="3">
        <v>0.22812281675790741</v>
      </c>
      <c r="AB193" s="3">
        <v>0.21809306329388931</v>
      </c>
      <c r="AC193" s="3">
        <v>0.20000930174162318</v>
      </c>
      <c r="AD193" s="3"/>
      <c r="AE193" t="s">
        <v>5480</v>
      </c>
      <c r="AF193" s="4" t="s">
        <v>691</v>
      </c>
    </row>
    <row r="194" spans="1:32" ht="100.8" x14ac:dyDescent="0.3">
      <c r="A194" t="s">
        <v>1826</v>
      </c>
      <c r="B194" s="1" t="s">
        <v>1205</v>
      </c>
      <c r="C194" s="5" t="s">
        <v>2260</v>
      </c>
      <c r="D194" s="2" t="s">
        <v>3777</v>
      </c>
      <c r="E194" s="1" t="s">
        <v>1037</v>
      </c>
      <c r="F194" s="3">
        <v>69.482116082598907</v>
      </c>
      <c r="G194" s="3"/>
      <c r="H194" s="3"/>
      <c r="I194" s="3"/>
      <c r="J194" s="3"/>
      <c r="K194" s="3"/>
      <c r="L194" s="3"/>
      <c r="M194" s="3"/>
      <c r="N194" s="3"/>
      <c r="O194" s="3"/>
      <c r="P194" s="3">
        <v>61.758006900550001</v>
      </c>
      <c r="Q194" s="3"/>
      <c r="R194" s="3"/>
      <c r="S194" s="3"/>
      <c r="T194" s="3"/>
      <c r="U194" s="3">
        <v>57.890584552095802</v>
      </c>
      <c r="V194" s="3"/>
      <c r="W194" s="3"/>
      <c r="X194" s="3"/>
      <c r="Y194" s="3">
        <v>54.305420096356599</v>
      </c>
      <c r="Z194" s="3"/>
      <c r="AA194" s="3"/>
      <c r="AB194" s="3"/>
      <c r="AC194" s="3"/>
      <c r="AD194" s="3"/>
      <c r="AE194" t="s">
        <v>5481</v>
      </c>
      <c r="AF194" s="4" t="s">
        <v>549</v>
      </c>
    </row>
    <row r="195" spans="1:32" ht="100.8" x14ac:dyDescent="0.3">
      <c r="A195" t="s">
        <v>1826</v>
      </c>
      <c r="B195" s="1" t="s">
        <v>1205</v>
      </c>
      <c r="C195" s="5" t="s">
        <v>2261</v>
      </c>
      <c r="D195" s="2" t="s">
        <v>3778</v>
      </c>
      <c r="E195" s="1" t="s">
        <v>96</v>
      </c>
      <c r="F195" s="3">
        <v>6.4846642796908398</v>
      </c>
      <c r="G195" s="3"/>
      <c r="H195" s="3"/>
      <c r="I195" s="3"/>
      <c r="J195" s="3"/>
      <c r="K195" s="3"/>
      <c r="L195" s="3"/>
      <c r="M195" s="3"/>
      <c r="N195" s="3"/>
      <c r="O195" s="3"/>
      <c r="P195" s="3">
        <v>8.1879110026832507</v>
      </c>
      <c r="Q195" s="3"/>
      <c r="R195" s="3"/>
      <c r="S195" s="3"/>
      <c r="T195" s="3"/>
      <c r="U195" s="3">
        <v>9.1474606885423206</v>
      </c>
      <c r="V195" s="3"/>
      <c r="W195" s="3"/>
      <c r="X195" s="3"/>
      <c r="Y195" s="3">
        <v>10.0346807490684</v>
      </c>
      <c r="Z195" s="3"/>
      <c r="AA195" s="3"/>
      <c r="AB195" s="3"/>
      <c r="AC195" s="3"/>
      <c r="AD195" s="3"/>
      <c r="AE195" t="s">
        <v>5482</v>
      </c>
      <c r="AF195" s="4" t="s">
        <v>323</v>
      </c>
    </row>
    <row r="196" spans="1:32" ht="100.8" x14ac:dyDescent="0.3">
      <c r="A196" t="s">
        <v>1826</v>
      </c>
      <c r="B196" s="1" t="s">
        <v>1205</v>
      </c>
      <c r="C196" s="5" t="s">
        <v>2262</v>
      </c>
      <c r="D196" s="2" t="s">
        <v>3779</v>
      </c>
      <c r="E196" s="1" t="s">
        <v>2041</v>
      </c>
      <c r="F196" s="3">
        <v>24.033220582877199</v>
      </c>
      <c r="G196" s="3"/>
      <c r="H196" s="3"/>
      <c r="I196" s="3"/>
      <c r="J196" s="3"/>
      <c r="K196" s="3"/>
      <c r="L196" s="3"/>
      <c r="M196" s="3"/>
      <c r="N196" s="3"/>
      <c r="O196" s="3"/>
      <c r="P196" s="3">
        <v>30.054083002327499</v>
      </c>
      <c r="Q196" s="3"/>
      <c r="R196" s="3"/>
      <c r="S196" s="3"/>
      <c r="T196" s="3"/>
      <c r="U196" s="3">
        <v>32.961953036774602</v>
      </c>
      <c r="V196" s="3"/>
      <c r="W196" s="3"/>
      <c r="X196" s="3"/>
      <c r="Y196" s="3">
        <v>35.659900960028203</v>
      </c>
      <c r="Z196" s="3"/>
      <c r="AA196" s="3"/>
      <c r="AB196" s="3"/>
      <c r="AC196" s="3"/>
      <c r="AD196" s="3"/>
      <c r="AE196" t="s">
        <v>5483</v>
      </c>
      <c r="AF196" s="4" t="s">
        <v>549</v>
      </c>
    </row>
    <row r="197" spans="1:32" ht="86.4" x14ac:dyDescent="0.3">
      <c r="A197" t="s">
        <v>1826</v>
      </c>
      <c r="B197" s="1" t="s">
        <v>1205</v>
      </c>
      <c r="C197" s="5" t="s">
        <v>2263</v>
      </c>
      <c r="D197" s="2" t="s">
        <v>3780</v>
      </c>
      <c r="E197" s="1" t="s">
        <v>1200</v>
      </c>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t="s">
        <v>5484</v>
      </c>
      <c r="AF197" s="4" t="s">
        <v>115</v>
      </c>
    </row>
    <row r="198" spans="1:32" ht="86.4" x14ac:dyDescent="0.3">
      <c r="A198" t="s">
        <v>1826</v>
      </c>
      <c r="B198" s="1" t="s">
        <v>1205</v>
      </c>
      <c r="C198" s="5" t="s">
        <v>2264</v>
      </c>
      <c r="D198" s="2" t="s">
        <v>3781</v>
      </c>
      <c r="E198" s="1" t="s">
        <v>1354</v>
      </c>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t="s">
        <v>5485</v>
      </c>
      <c r="AF198" s="4" t="s">
        <v>115</v>
      </c>
    </row>
    <row r="199" spans="1:32" ht="86.4" x14ac:dyDescent="0.3">
      <c r="A199" t="s">
        <v>1826</v>
      </c>
      <c r="B199" s="1" t="s">
        <v>1205</v>
      </c>
      <c r="C199" s="5" t="s">
        <v>2265</v>
      </c>
      <c r="D199" s="2" t="s">
        <v>3782</v>
      </c>
      <c r="E199" s="1" t="s">
        <v>516</v>
      </c>
      <c r="F199" s="3">
        <v>1285904</v>
      </c>
      <c r="G199" s="3">
        <v>1307824</v>
      </c>
      <c r="H199" s="3">
        <v>1330096</v>
      </c>
      <c r="I199" s="3">
        <v>1334280</v>
      </c>
      <c r="J199" s="3">
        <v>1378128</v>
      </c>
      <c r="K199" s="3">
        <v>1424903</v>
      </c>
      <c r="L199" s="3">
        <v>1441779</v>
      </c>
      <c r="M199" s="3">
        <v>1224570</v>
      </c>
      <c r="N199" s="3">
        <v>1408447</v>
      </c>
      <c r="O199" s="3">
        <v>1428840</v>
      </c>
      <c r="P199" s="3">
        <v>1961771</v>
      </c>
      <c r="Q199" s="3">
        <v>1607414</v>
      </c>
      <c r="R199" s="3">
        <v>2332512</v>
      </c>
      <c r="S199" s="3">
        <v>2712481</v>
      </c>
      <c r="T199" s="3">
        <v>2855919</v>
      </c>
      <c r="U199" s="3">
        <v>3308600</v>
      </c>
      <c r="V199" s="3">
        <v>3159200</v>
      </c>
      <c r="W199" s="3">
        <v>3290400</v>
      </c>
      <c r="X199" s="3">
        <v>3214062</v>
      </c>
      <c r="Y199" s="3">
        <v>3139196</v>
      </c>
      <c r="Z199" s="3">
        <v>2817182</v>
      </c>
      <c r="AA199" s="3">
        <v>2956948</v>
      </c>
      <c r="AB199" s="3">
        <v>3354721</v>
      </c>
      <c r="AC199" s="3"/>
      <c r="AD199" s="3"/>
      <c r="AE199" t="s">
        <v>5486</v>
      </c>
      <c r="AF199" s="4" t="s">
        <v>1566</v>
      </c>
    </row>
    <row r="200" spans="1:32" ht="86.4" x14ac:dyDescent="0.3">
      <c r="A200" t="s">
        <v>1826</v>
      </c>
      <c r="B200" s="1" t="s">
        <v>1205</v>
      </c>
      <c r="C200" s="5" t="s">
        <v>2266</v>
      </c>
      <c r="D200" s="2" t="s">
        <v>3783</v>
      </c>
      <c r="E200" s="1" t="s">
        <v>1842</v>
      </c>
      <c r="F200" s="3">
        <v>1682.3</v>
      </c>
      <c r="G200" s="3">
        <v>1719.9</v>
      </c>
      <c r="H200" s="3">
        <v>1750.9</v>
      </c>
      <c r="I200" s="3">
        <v>1827</v>
      </c>
      <c r="J200" s="3">
        <v>1853.9</v>
      </c>
      <c r="K200" s="3">
        <v>1836.3</v>
      </c>
      <c r="L200" s="3">
        <v>1827.9</v>
      </c>
      <c r="M200" s="3">
        <v>1569.4</v>
      </c>
      <c r="N200" s="3">
        <v>1735</v>
      </c>
      <c r="O200" s="3">
        <v>1711.5</v>
      </c>
      <c r="P200" s="3">
        <v>2270.5</v>
      </c>
      <c r="Q200" s="3">
        <v>1882.8</v>
      </c>
      <c r="R200" s="3">
        <v>2079.8000000000002</v>
      </c>
      <c r="S200" s="3">
        <v>2176.6</v>
      </c>
      <c r="T200" s="3">
        <v>2206.9</v>
      </c>
      <c r="U200" s="3">
        <v>2200.3000000000002</v>
      </c>
      <c r="V200" s="3">
        <v>2219.8000000000002</v>
      </c>
      <c r="W200" s="3">
        <v>2247.4</v>
      </c>
      <c r="X200" s="3">
        <v>2254.4</v>
      </c>
      <c r="Y200" s="3">
        <v>2263.1999999999998</v>
      </c>
      <c r="Z200" s="3">
        <v>2180.6999999999998</v>
      </c>
      <c r="AA200" s="3">
        <v>2237.1999999999998</v>
      </c>
      <c r="AB200" s="3">
        <v>2291.5</v>
      </c>
      <c r="AC200" s="3"/>
      <c r="AD200" s="3"/>
      <c r="AE200" t="s">
        <v>5487</v>
      </c>
      <c r="AF200" s="4" t="s">
        <v>953</v>
      </c>
    </row>
    <row r="201" spans="1:32" ht="187.2" x14ac:dyDescent="0.3">
      <c r="A201" t="s">
        <v>1826</v>
      </c>
      <c r="B201" s="1" t="s">
        <v>1205</v>
      </c>
      <c r="C201" s="5" t="s">
        <v>2267</v>
      </c>
      <c r="D201" s="2" t="s">
        <v>3784</v>
      </c>
      <c r="E201" s="1" t="s">
        <v>30</v>
      </c>
      <c r="F201" s="3"/>
      <c r="G201" s="3"/>
      <c r="H201" s="3"/>
      <c r="I201" s="3"/>
      <c r="J201" s="3"/>
      <c r="K201" s="3"/>
      <c r="L201" s="3"/>
      <c r="M201" s="3"/>
      <c r="N201" s="3">
        <v>154659100500</v>
      </c>
      <c r="O201" s="3">
        <v>-249235000000</v>
      </c>
      <c r="P201" s="3">
        <v>101040000000</v>
      </c>
      <c r="Q201" s="3">
        <v>-383124937900</v>
      </c>
      <c r="R201" s="3">
        <v>394641303100</v>
      </c>
      <c r="S201" s="3">
        <v>53492000300</v>
      </c>
      <c r="T201" s="3">
        <v>125158125000</v>
      </c>
      <c r="U201" s="3">
        <v>-46536000000</v>
      </c>
      <c r="V201" s="3">
        <v>119309989600</v>
      </c>
      <c r="W201" s="3">
        <v>-46430856800</v>
      </c>
      <c r="X201" s="3">
        <v>281226445400</v>
      </c>
      <c r="Y201" s="3">
        <v>117124638500</v>
      </c>
      <c r="Z201" s="3">
        <v>573530688000</v>
      </c>
      <c r="AA201" s="3">
        <v>254172819600</v>
      </c>
      <c r="AB201" s="3">
        <v>981529693900</v>
      </c>
      <c r="AC201" s="3">
        <v>1497208154700</v>
      </c>
      <c r="AD201" s="3">
        <v>1497208154700</v>
      </c>
      <c r="AE201" t="s">
        <v>5488</v>
      </c>
      <c r="AF201" s="4" t="s">
        <v>718</v>
      </c>
    </row>
    <row r="202" spans="1:32" ht="187.2" x14ac:dyDescent="0.3">
      <c r="A202" t="s">
        <v>1826</v>
      </c>
      <c r="B202" s="1" t="s">
        <v>1205</v>
      </c>
      <c r="C202" s="5" t="s">
        <v>2268</v>
      </c>
      <c r="D202" s="2" t="s">
        <v>3785</v>
      </c>
      <c r="E202" s="1" t="s">
        <v>1939</v>
      </c>
      <c r="F202" s="3">
        <v>-55295496900</v>
      </c>
      <c r="G202" s="3">
        <v>-137946995700</v>
      </c>
      <c r="H202" s="3">
        <v>-430267444500</v>
      </c>
      <c r="I202" s="3">
        <v>138592781700</v>
      </c>
      <c r="J202" s="3">
        <v>151870953100</v>
      </c>
      <c r="K202" s="3">
        <v>13265234000</v>
      </c>
      <c r="L202" s="3">
        <v>-8296005600</v>
      </c>
      <c r="M202" s="3">
        <v>-408957073300</v>
      </c>
      <c r="N202" s="3">
        <v>313437302600</v>
      </c>
      <c r="O202" s="3">
        <v>-217474611000</v>
      </c>
      <c r="P202" s="3">
        <v>169039218000</v>
      </c>
      <c r="Q202" s="3">
        <v>-216725863300</v>
      </c>
      <c r="R202" s="3">
        <v>618778415000</v>
      </c>
      <c r="S202" s="3">
        <v>460104101300</v>
      </c>
      <c r="T202" s="3">
        <v>34820898400</v>
      </c>
      <c r="U202" s="3">
        <v>-46536000000</v>
      </c>
      <c r="V202" s="3">
        <v>-29289000000</v>
      </c>
      <c r="W202" s="3">
        <v>-333353000000</v>
      </c>
      <c r="X202" s="3">
        <v>-69485000000</v>
      </c>
      <c r="Y202" s="3">
        <v>-66056000000</v>
      </c>
      <c r="Z202" s="3">
        <v>507213000000</v>
      </c>
      <c r="AA202" s="3">
        <v>1016493000000</v>
      </c>
      <c r="AB202" s="3">
        <v>2298555000000</v>
      </c>
      <c r="AC202" s="3">
        <v>1427084784300</v>
      </c>
      <c r="AD202" s="3">
        <v>-3216543400</v>
      </c>
      <c r="AE202" t="s">
        <v>5489</v>
      </c>
      <c r="AF202" s="4" t="s">
        <v>718</v>
      </c>
    </row>
    <row r="203" spans="1:32" ht="187.2" x14ac:dyDescent="0.3">
      <c r="A203" t="s">
        <v>1826</v>
      </c>
      <c r="B203" s="1" t="s">
        <v>1205</v>
      </c>
      <c r="C203" s="5" t="s">
        <v>2269</v>
      </c>
      <c r="D203" s="2" t="s">
        <v>3786</v>
      </c>
      <c r="E203" s="1" t="s">
        <v>534</v>
      </c>
      <c r="F203" s="3">
        <v>-77858174.915993661</v>
      </c>
      <c r="G203" s="3">
        <v>-188349850.11346835</v>
      </c>
      <c r="H203" s="3">
        <v>-620238201.82975984</v>
      </c>
      <c r="I203" s="3">
        <v>238995338.63425013</v>
      </c>
      <c r="J203" s="3">
        <v>287995448.61956781</v>
      </c>
      <c r="K203" s="3">
        <v>25158887.806963053</v>
      </c>
      <c r="L203" s="3">
        <v>-15879783.079170361</v>
      </c>
      <c r="M203" s="3">
        <v>-854425958.55731165</v>
      </c>
      <c r="N203" s="3">
        <v>702774156.471434</v>
      </c>
      <c r="O203" s="3">
        <v>-462423245.49794948</v>
      </c>
      <c r="P203" s="3">
        <v>341635364.39717239</v>
      </c>
      <c r="Q203" s="3">
        <v>-459897072.03942066</v>
      </c>
      <c r="R203" s="3">
        <v>1211968922.8106301</v>
      </c>
      <c r="S203" s="3">
        <v>931574107.25220549</v>
      </c>
      <c r="T203" s="3">
        <v>70522291.588056013</v>
      </c>
      <c r="U203" s="3">
        <v>-78712921.543037534</v>
      </c>
      <c r="V203" s="3">
        <v>-49424101.389926933</v>
      </c>
      <c r="W203" s="3">
        <v>-574096486.43540263</v>
      </c>
      <c r="X203" s="3">
        <v>-125097566.10960332</v>
      </c>
      <c r="Y203" s="3">
        <v>-112740669.71668272</v>
      </c>
      <c r="Z203" s="3">
        <v>881211488.1076721</v>
      </c>
      <c r="AA203" s="3">
        <v>1833069018.1193771</v>
      </c>
      <c r="AB203" s="3">
        <v>3685000805.0251203</v>
      </c>
      <c r="AC203" s="3">
        <v>2352713408.3255634</v>
      </c>
      <c r="AD203" s="3">
        <v>-5304804.7254316267</v>
      </c>
      <c r="AE203" t="s">
        <v>5490</v>
      </c>
      <c r="AF203" s="4" t="s">
        <v>718</v>
      </c>
    </row>
    <row r="204" spans="1:32" ht="230.4" x14ac:dyDescent="0.3">
      <c r="A204" t="s">
        <v>1826</v>
      </c>
      <c r="B204" s="1" t="s">
        <v>1205</v>
      </c>
      <c r="C204" s="5" t="s">
        <v>2270</v>
      </c>
      <c r="D204" s="2" t="s">
        <v>3787</v>
      </c>
      <c r="E204" s="1" t="s">
        <v>347</v>
      </c>
      <c r="F204" s="3"/>
      <c r="G204" s="3"/>
      <c r="H204" s="3"/>
      <c r="I204" s="3"/>
      <c r="J204" s="3"/>
      <c r="K204" s="3">
        <v>10319419.065555301</v>
      </c>
      <c r="L204" s="3">
        <v>9564997.8903746195</v>
      </c>
      <c r="M204" s="3">
        <v>21998032.3022728</v>
      </c>
      <c r="N204" s="3">
        <v>21246859.012743</v>
      </c>
      <c r="O204" s="3">
        <v>20431903.466434699</v>
      </c>
      <c r="P204" s="3">
        <v>17445634.800248601</v>
      </c>
      <c r="Q204" s="3">
        <v>18450982.189571202</v>
      </c>
      <c r="R204" s="3">
        <v>17200746.202834401</v>
      </c>
      <c r="S204" s="3">
        <v>3891114.5244665402</v>
      </c>
      <c r="T204" s="3">
        <v>2894134.2508492302</v>
      </c>
      <c r="U204" s="3">
        <v>2564225.31078638</v>
      </c>
      <c r="V204" s="3">
        <v>2713440.37101132</v>
      </c>
      <c r="W204" s="3">
        <v>3091086.0870453399</v>
      </c>
      <c r="X204" s="3">
        <v>10023144.293789901</v>
      </c>
      <c r="Y204" s="3">
        <v>10699559.931415999</v>
      </c>
      <c r="Z204" s="3">
        <v>11428526.6640372</v>
      </c>
      <c r="AA204" s="3">
        <v>12613368.953092501</v>
      </c>
      <c r="AB204" s="3">
        <v>12443958.7691563</v>
      </c>
      <c r="AC204" s="3"/>
      <c r="AD204" s="3"/>
      <c r="AE204" t="s">
        <v>5491</v>
      </c>
      <c r="AF204" s="4" t="s">
        <v>613</v>
      </c>
    </row>
    <row r="205" spans="1:32" ht="230.4" x14ac:dyDescent="0.3">
      <c r="A205" t="s">
        <v>1826</v>
      </c>
      <c r="B205" s="1" t="s">
        <v>1205</v>
      </c>
      <c r="C205" s="5" t="s">
        <v>2271</v>
      </c>
      <c r="D205" s="2" t="s">
        <v>3788</v>
      </c>
      <c r="E205" s="1" t="s">
        <v>128</v>
      </c>
      <c r="F205" s="3"/>
      <c r="G205" s="3"/>
      <c r="H205" s="3"/>
      <c r="I205" s="3"/>
      <c r="J205" s="3"/>
      <c r="K205" s="3"/>
      <c r="L205" s="3">
        <v>22969.776802980901</v>
      </c>
      <c r="M205" s="3"/>
      <c r="N205" s="3">
        <v>298206.25032395398</v>
      </c>
      <c r="O205" s="3">
        <v>136085.25406390999</v>
      </c>
      <c r="P205" s="3"/>
      <c r="Q205" s="3"/>
      <c r="R205" s="3">
        <v>33747.499937353001</v>
      </c>
      <c r="S205" s="3">
        <v>720895.467024129</v>
      </c>
      <c r="T205" s="3">
        <v>973636.17897358595</v>
      </c>
      <c r="U205" s="3">
        <v>67657.6599152079</v>
      </c>
      <c r="V205" s="3">
        <v>1553950.85127917</v>
      </c>
      <c r="W205" s="3"/>
      <c r="X205" s="3">
        <v>1878578.9057131801</v>
      </c>
      <c r="Y205" s="3">
        <v>1449059.6368746399</v>
      </c>
      <c r="Z205" s="3"/>
      <c r="AA205" s="3"/>
      <c r="AB205" s="3">
        <v>3206.3629584893301</v>
      </c>
      <c r="AC205" s="3"/>
      <c r="AD205" s="3"/>
      <c r="AE205" t="s">
        <v>5491</v>
      </c>
      <c r="AF205" s="4" t="s">
        <v>613</v>
      </c>
    </row>
    <row r="206" spans="1:32" ht="187.2" x14ac:dyDescent="0.3">
      <c r="A206" t="s">
        <v>1826</v>
      </c>
      <c r="B206" s="1" t="s">
        <v>1205</v>
      </c>
      <c r="C206" s="5" t="s">
        <v>2272</v>
      </c>
      <c r="D206" s="2" t="s">
        <v>3789</v>
      </c>
      <c r="E206" s="1" t="s">
        <v>538</v>
      </c>
      <c r="F206" s="3"/>
      <c r="G206" s="3"/>
      <c r="H206" s="3"/>
      <c r="I206" s="3"/>
      <c r="J206" s="3"/>
      <c r="K206" s="3"/>
      <c r="L206" s="3"/>
      <c r="M206" s="3"/>
      <c r="N206" s="3"/>
      <c r="O206" s="3"/>
      <c r="P206" s="3"/>
      <c r="Q206" s="3"/>
      <c r="R206" s="3"/>
      <c r="S206" s="3"/>
      <c r="T206" s="3"/>
      <c r="U206" s="3"/>
      <c r="V206" s="3"/>
      <c r="W206" s="3"/>
      <c r="X206" s="3"/>
      <c r="Y206" s="3"/>
      <c r="Z206" s="3"/>
      <c r="AA206" s="3"/>
      <c r="AB206" s="3">
        <v>294.49235593884754</v>
      </c>
      <c r="AC206" s="3"/>
      <c r="AD206" s="3"/>
      <c r="AE206" t="s">
        <v>5492</v>
      </c>
      <c r="AF206" s="4" t="s">
        <v>718</v>
      </c>
    </row>
    <row r="207" spans="1:32" ht="129.6" x14ac:dyDescent="0.3">
      <c r="A207" t="s">
        <v>1826</v>
      </c>
      <c r="B207" s="1" t="s">
        <v>1205</v>
      </c>
      <c r="C207" s="5" t="s">
        <v>2273</v>
      </c>
      <c r="D207" s="2" t="s">
        <v>3790</v>
      </c>
      <c r="E207" s="1" t="s">
        <v>18</v>
      </c>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t="s">
        <v>5493</v>
      </c>
      <c r="AF207" s="4" t="s">
        <v>1263</v>
      </c>
    </row>
    <row r="208" spans="1:32" ht="129.6" x14ac:dyDescent="0.3">
      <c r="A208" t="s">
        <v>1826</v>
      </c>
      <c r="B208" s="1" t="s">
        <v>1205</v>
      </c>
      <c r="C208" s="5" t="s">
        <v>2274</v>
      </c>
      <c r="D208" s="2" t="s">
        <v>3791</v>
      </c>
      <c r="E208" s="1" t="s">
        <v>1321</v>
      </c>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t="s">
        <v>5493</v>
      </c>
      <c r="AF208" s="4" t="s">
        <v>1263</v>
      </c>
    </row>
    <row r="209" spans="1:32" ht="129.6" x14ac:dyDescent="0.3">
      <c r="A209" t="s">
        <v>1826</v>
      </c>
      <c r="B209" s="1" t="s">
        <v>1205</v>
      </c>
      <c r="C209" s="5" t="s">
        <v>2275</v>
      </c>
      <c r="D209" s="2" t="s">
        <v>3792</v>
      </c>
      <c r="E209" s="1" t="s">
        <v>1513</v>
      </c>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t="s">
        <v>5493</v>
      </c>
      <c r="AF209" s="4" t="s">
        <v>1263</v>
      </c>
    </row>
    <row r="210" spans="1:32" ht="129.6" x14ac:dyDescent="0.3">
      <c r="A210" t="s">
        <v>1826</v>
      </c>
      <c r="B210" s="1" t="s">
        <v>1205</v>
      </c>
      <c r="C210" s="5" t="s">
        <v>2276</v>
      </c>
      <c r="D210" s="2" t="s">
        <v>3793</v>
      </c>
      <c r="E210" s="1" t="s">
        <v>1707</v>
      </c>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t="s">
        <v>5494</v>
      </c>
      <c r="AF210" s="4" t="s">
        <v>1263</v>
      </c>
    </row>
    <row r="211" spans="1:32" ht="129.6" x14ac:dyDescent="0.3">
      <c r="A211" t="s">
        <v>1826</v>
      </c>
      <c r="B211" s="1" t="s">
        <v>1205</v>
      </c>
      <c r="C211" s="5" t="s">
        <v>2277</v>
      </c>
      <c r="D211" s="2" t="s">
        <v>3794</v>
      </c>
      <c r="E211" s="1" t="s">
        <v>384</v>
      </c>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t="s">
        <v>5494</v>
      </c>
      <c r="AF211" s="4" t="s">
        <v>1263</v>
      </c>
    </row>
    <row r="212" spans="1:32" ht="129.6" x14ac:dyDescent="0.3">
      <c r="A212" t="s">
        <v>1826</v>
      </c>
      <c r="B212" s="1" t="s">
        <v>1205</v>
      </c>
      <c r="C212" s="5" t="s">
        <v>2278</v>
      </c>
      <c r="D212" s="2" t="s">
        <v>3795</v>
      </c>
      <c r="E212" s="1" t="s">
        <v>564</v>
      </c>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t="s">
        <v>5494</v>
      </c>
      <c r="AF212" s="4" t="s">
        <v>1263</v>
      </c>
    </row>
    <row r="213" spans="1:32" ht="129.6" x14ac:dyDescent="0.3">
      <c r="A213" t="s">
        <v>1826</v>
      </c>
      <c r="B213" s="1" t="s">
        <v>1205</v>
      </c>
      <c r="C213" s="5" t="s">
        <v>2279</v>
      </c>
      <c r="D213" s="2" t="s">
        <v>3796</v>
      </c>
      <c r="E213" s="1" t="s">
        <v>1848</v>
      </c>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t="s">
        <v>5495</v>
      </c>
      <c r="AF213" s="4" t="s">
        <v>1263</v>
      </c>
    </row>
    <row r="214" spans="1:32" ht="129.6" x14ac:dyDescent="0.3">
      <c r="A214" t="s">
        <v>1826</v>
      </c>
      <c r="B214" s="1" t="s">
        <v>1205</v>
      </c>
      <c r="C214" s="5" t="s">
        <v>2280</v>
      </c>
      <c r="D214" s="2" t="s">
        <v>3797</v>
      </c>
      <c r="E214" s="1" t="s">
        <v>1642</v>
      </c>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t="s">
        <v>5495</v>
      </c>
      <c r="AF214" s="4" t="s">
        <v>1263</v>
      </c>
    </row>
    <row r="215" spans="1:32" ht="129.6" x14ac:dyDescent="0.3">
      <c r="A215" t="s">
        <v>1826</v>
      </c>
      <c r="B215" s="1" t="s">
        <v>1205</v>
      </c>
      <c r="C215" s="5" t="s">
        <v>2281</v>
      </c>
      <c r="D215" s="2" t="s">
        <v>3798</v>
      </c>
      <c r="E215" s="1" t="s">
        <v>1823</v>
      </c>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t="s">
        <v>5495</v>
      </c>
      <c r="AF215" s="4" t="s">
        <v>1263</v>
      </c>
    </row>
    <row r="216" spans="1:32" ht="158.4" x14ac:dyDescent="0.3">
      <c r="A216" t="s">
        <v>1826</v>
      </c>
      <c r="B216" s="1" t="s">
        <v>1205</v>
      </c>
      <c r="C216" s="5" t="s">
        <v>2282</v>
      </c>
      <c r="D216" s="2" t="s">
        <v>3799</v>
      </c>
      <c r="E216" s="1" t="s">
        <v>1268</v>
      </c>
      <c r="F216" s="3">
        <v>84000</v>
      </c>
      <c r="G216" s="3">
        <v>87000</v>
      </c>
      <c r="H216" s="3">
        <v>88000</v>
      </c>
      <c r="I216" s="3">
        <v>88000</v>
      </c>
      <c r="J216" s="3">
        <v>87000</v>
      </c>
      <c r="K216" s="3">
        <v>85000</v>
      </c>
      <c r="L216" s="3">
        <v>83000</v>
      </c>
      <c r="M216" s="3">
        <v>79000</v>
      </c>
      <c r="N216" s="3">
        <v>74000</v>
      </c>
      <c r="O216" s="3">
        <v>69000</v>
      </c>
      <c r="P216" s="3">
        <v>64000</v>
      </c>
      <c r="Q216" s="3">
        <v>60000</v>
      </c>
      <c r="R216" s="3">
        <v>55000</v>
      </c>
      <c r="S216" s="3">
        <v>50000</v>
      </c>
      <c r="T216" s="3">
        <v>45000</v>
      </c>
      <c r="U216" s="3">
        <v>41000</v>
      </c>
      <c r="V216" s="3">
        <v>37000</v>
      </c>
      <c r="W216" s="3">
        <v>34000</v>
      </c>
      <c r="X216" s="3">
        <v>31000</v>
      </c>
      <c r="Y216" s="3">
        <v>28000</v>
      </c>
      <c r="Z216" s="3">
        <v>25000</v>
      </c>
      <c r="AA216" s="3">
        <v>23000</v>
      </c>
      <c r="AB216" s="3">
        <v>21000</v>
      </c>
      <c r="AC216" s="3"/>
      <c r="AD216" s="3"/>
      <c r="AE216" t="s">
        <v>5496</v>
      </c>
      <c r="AF216" s="4" t="s">
        <v>143</v>
      </c>
    </row>
    <row r="217" spans="1:32" ht="216" x14ac:dyDescent="0.3">
      <c r="A217" t="s">
        <v>1826</v>
      </c>
      <c r="B217" s="1" t="s">
        <v>1205</v>
      </c>
      <c r="C217" s="5" t="s">
        <v>2283</v>
      </c>
      <c r="D217" s="2" t="s">
        <v>3800</v>
      </c>
      <c r="E217" s="1" t="s">
        <v>531</v>
      </c>
      <c r="F217" s="3">
        <v>18000</v>
      </c>
      <c r="G217" s="3">
        <v>17000</v>
      </c>
      <c r="H217" s="3">
        <v>16000</v>
      </c>
      <c r="I217" s="3">
        <v>15000</v>
      </c>
      <c r="J217" s="3">
        <v>14000</v>
      </c>
      <c r="K217" s="3">
        <v>13000</v>
      </c>
      <c r="L217" s="3">
        <v>12000</v>
      </c>
      <c r="M217" s="3">
        <v>10000</v>
      </c>
      <c r="N217" s="3">
        <v>8000</v>
      </c>
      <c r="O217" s="3">
        <v>6800</v>
      </c>
      <c r="P217" s="3">
        <v>6200</v>
      </c>
      <c r="Q217" s="3">
        <v>6000</v>
      </c>
      <c r="R217" s="3">
        <v>4700</v>
      </c>
      <c r="S217" s="3">
        <v>3600</v>
      </c>
      <c r="T217" s="3">
        <v>2700</v>
      </c>
      <c r="U217" s="3">
        <v>2400</v>
      </c>
      <c r="V217" s="3">
        <v>3100</v>
      </c>
      <c r="W217" s="3">
        <v>2700</v>
      </c>
      <c r="X217" s="3">
        <v>2500</v>
      </c>
      <c r="Y217" s="3">
        <v>1700</v>
      </c>
      <c r="Z217" s="3">
        <v>1800</v>
      </c>
      <c r="AA217" s="3">
        <v>1600</v>
      </c>
      <c r="AB217" s="3">
        <v>1600</v>
      </c>
      <c r="AC217" s="3"/>
      <c r="AD217" s="3"/>
      <c r="AE217" t="s">
        <v>5497</v>
      </c>
      <c r="AF217" s="4" t="s">
        <v>1170</v>
      </c>
    </row>
    <row r="218" spans="1:32" ht="273.60000000000002" x14ac:dyDescent="0.3">
      <c r="A218" t="s">
        <v>1826</v>
      </c>
      <c r="B218" s="1" t="s">
        <v>1205</v>
      </c>
      <c r="C218" s="5" t="s">
        <v>2284</v>
      </c>
      <c r="D218" s="2" t="s">
        <v>3801</v>
      </c>
      <c r="E218" s="1" t="s">
        <v>270</v>
      </c>
      <c r="F218" s="3">
        <v>40.5</v>
      </c>
      <c r="G218" s="3"/>
      <c r="H218" s="3"/>
      <c r="I218" s="3"/>
      <c r="J218" s="3"/>
      <c r="K218" s="3"/>
      <c r="L218" s="3">
        <v>43.6</v>
      </c>
      <c r="M218" s="3"/>
      <c r="N218" s="3"/>
      <c r="O218" s="3"/>
      <c r="P218" s="3"/>
      <c r="Q218" s="3"/>
      <c r="R218" s="3">
        <v>36.4</v>
      </c>
      <c r="S218" s="3"/>
      <c r="T218" s="3"/>
      <c r="U218" s="3"/>
      <c r="V218" s="3"/>
      <c r="W218" s="3"/>
      <c r="X218" s="3"/>
      <c r="Y218" s="3"/>
      <c r="Z218" s="3"/>
      <c r="AA218" s="3"/>
      <c r="AB218" s="3"/>
      <c r="AC218" s="3"/>
      <c r="AD218" s="3"/>
      <c r="AE218" t="s">
        <v>5498</v>
      </c>
      <c r="AF218" s="4" t="s">
        <v>1226</v>
      </c>
    </row>
    <row r="219" spans="1:32" ht="273.60000000000002" x14ac:dyDescent="0.3">
      <c r="A219" t="s">
        <v>1826</v>
      </c>
      <c r="B219" s="1" t="s">
        <v>1205</v>
      </c>
      <c r="C219" s="5" t="s">
        <v>2285</v>
      </c>
      <c r="D219" s="2" t="s">
        <v>3802</v>
      </c>
      <c r="E219" s="1" t="s">
        <v>436</v>
      </c>
      <c r="F219" s="3">
        <v>40.9</v>
      </c>
      <c r="G219" s="3"/>
      <c r="H219" s="3"/>
      <c r="I219" s="3"/>
      <c r="J219" s="3"/>
      <c r="K219" s="3"/>
      <c r="L219" s="3">
        <v>47.7</v>
      </c>
      <c r="M219" s="3"/>
      <c r="N219" s="3"/>
      <c r="O219" s="3"/>
      <c r="P219" s="3"/>
      <c r="Q219" s="3"/>
      <c r="R219" s="3">
        <v>36.6</v>
      </c>
      <c r="S219" s="3"/>
      <c r="T219" s="3"/>
      <c r="U219" s="3"/>
      <c r="V219" s="3"/>
      <c r="W219" s="3"/>
      <c r="X219" s="3"/>
      <c r="Y219" s="3"/>
      <c r="Z219" s="3"/>
      <c r="AA219" s="3"/>
      <c r="AB219" s="3"/>
      <c r="AC219" s="3"/>
      <c r="AD219" s="3"/>
      <c r="AE219" t="s">
        <v>5498</v>
      </c>
      <c r="AF219" s="4" t="s">
        <v>1226</v>
      </c>
    </row>
    <row r="220" spans="1:32" ht="273.60000000000002" x14ac:dyDescent="0.3">
      <c r="A220" t="s">
        <v>1826</v>
      </c>
      <c r="B220" s="1" t="s">
        <v>1205</v>
      </c>
      <c r="C220" s="5" t="s">
        <v>2286</v>
      </c>
      <c r="D220" s="2" t="s">
        <v>3803</v>
      </c>
      <c r="E220" s="1" t="s">
        <v>478</v>
      </c>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t="s">
        <v>5499</v>
      </c>
      <c r="AF220" s="4" t="s">
        <v>1226</v>
      </c>
    </row>
    <row r="221" spans="1:32" ht="273.60000000000002" x14ac:dyDescent="0.3">
      <c r="A221" t="s">
        <v>1826</v>
      </c>
      <c r="B221" s="1" t="s">
        <v>1205</v>
      </c>
      <c r="C221" s="5" t="s">
        <v>2287</v>
      </c>
      <c r="D221" s="2" t="s">
        <v>3804</v>
      </c>
      <c r="E221" s="1" t="s">
        <v>68</v>
      </c>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t="s">
        <v>5499</v>
      </c>
      <c r="AF221" s="4" t="s">
        <v>1226</v>
      </c>
    </row>
    <row r="222" spans="1:32" ht="273.60000000000002" x14ac:dyDescent="0.3">
      <c r="A222" t="s">
        <v>1826</v>
      </c>
      <c r="B222" s="1" t="s">
        <v>1205</v>
      </c>
      <c r="C222" s="5" t="s">
        <v>2288</v>
      </c>
      <c r="D222" s="2" t="s">
        <v>3805</v>
      </c>
      <c r="E222" s="1" t="s">
        <v>260</v>
      </c>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t="s">
        <v>5499</v>
      </c>
      <c r="AF222" s="4" t="s">
        <v>1226</v>
      </c>
    </row>
    <row r="223" spans="1:32" ht="273.60000000000002" x14ac:dyDescent="0.3">
      <c r="A223" t="s">
        <v>1826</v>
      </c>
      <c r="B223" s="1" t="s">
        <v>1205</v>
      </c>
      <c r="C223" s="5" t="s">
        <v>2289</v>
      </c>
      <c r="D223" s="2" t="s">
        <v>3806</v>
      </c>
      <c r="E223" s="1" t="s">
        <v>1667</v>
      </c>
      <c r="F223" s="3">
        <v>53.5626535627</v>
      </c>
      <c r="G223" s="3"/>
      <c r="H223" s="3"/>
      <c r="I223" s="3"/>
      <c r="J223" s="3"/>
      <c r="K223" s="3"/>
      <c r="L223" s="3">
        <v>53.2</v>
      </c>
      <c r="M223" s="3"/>
      <c r="N223" s="3"/>
      <c r="O223" s="3"/>
      <c r="P223" s="3"/>
      <c r="Q223" s="3"/>
      <c r="R223" s="3">
        <v>58.847256151633999</v>
      </c>
      <c r="S223" s="3"/>
      <c r="T223" s="3"/>
      <c r="U223" s="3"/>
      <c r="V223" s="3"/>
      <c r="W223" s="3"/>
      <c r="X223" s="3"/>
      <c r="Y223" s="3"/>
      <c r="Z223" s="3"/>
      <c r="AA223" s="3"/>
      <c r="AB223" s="3"/>
      <c r="AC223" s="3"/>
      <c r="AD223" s="3"/>
      <c r="AE223" t="s">
        <v>5500</v>
      </c>
      <c r="AF223" s="4" t="s">
        <v>1226</v>
      </c>
    </row>
    <row r="224" spans="1:32" ht="273.60000000000002" x14ac:dyDescent="0.3">
      <c r="A224" t="s">
        <v>1826</v>
      </c>
      <c r="B224" s="1" t="s">
        <v>1205</v>
      </c>
      <c r="C224" s="5" t="s">
        <v>2290</v>
      </c>
      <c r="D224" s="2" t="s">
        <v>3807</v>
      </c>
      <c r="E224" s="1" t="s">
        <v>1878</v>
      </c>
      <c r="F224" s="3">
        <v>45.925925925900003</v>
      </c>
      <c r="G224" s="3"/>
      <c r="H224" s="3"/>
      <c r="I224" s="3"/>
      <c r="J224" s="3"/>
      <c r="K224" s="3"/>
      <c r="L224" s="3"/>
      <c r="M224" s="3"/>
      <c r="N224" s="3"/>
      <c r="O224" s="3"/>
      <c r="P224" s="3"/>
      <c r="Q224" s="3"/>
      <c r="R224" s="3">
        <v>52.778405458635298</v>
      </c>
      <c r="S224" s="3"/>
      <c r="T224" s="3"/>
      <c r="U224" s="3"/>
      <c r="V224" s="3"/>
      <c r="W224" s="3"/>
      <c r="X224" s="3"/>
      <c r="Y224" s="3"/>
      <c r="Z224" s="3"/>
      <c r="AA224" s="3"/>
      <c r="AB224" s="3"/>
      <c r="AC224" s="3"/>
      <c r="AD224" s="3"/>
      <c r="AE224" t="s">
        <v>5500</v>
      </c>
      <c r="AF224" s="4" t="s">
        <v>1226</v>
      </c>
    </row>
    <row r="225" spans="1:32" ht="273.60000000000002" x14ac:dyDescent="0.3">
      <c r="A225" t="s">
        <v>1826</v>
      </c>
      <c r="B225" s="1" t="s">
        <v>1205</v>
      </c>
      <c r="C225" s="5" t="s">
        <v>2291</v>
      </c>
      <c r="D225" s="2" t="s">
        <v>3808</v>
      </c>
      <c r="E225" s="1" t="s">
        <v>6</v>
      </c>
      <c r="F225" s="3">
        <v>60.635696821499998</v>
      </c>
      <c r="G225" s="3"/>
      <c r="H225" s="3"/>
      <c r="I225" s="3"/>
      <c r="J225" s="3"/>
      <c r="K225" s="3"/>
      <c r="L225" s="3"/>
      <c r="M225" s="3"/>
      <c r="N225" s="3"/>
      <c r="O225" s="3"/>
      <c r="P225" s="3"/>
      <c r="Q225" s="3"/>
      <c r="R225" s="3">
        <v>64.808452922188295</v>
      </c>
      <c r="S225" s="3"/>
      <c r="T225" s="3"/>
      <c r="U225" s="3"/>
      <c r="V225" s="3"/>
      <c r="W225" s="3"/>
      <c r="X225" s="3"/>
      <c r="Y225" s="3"/>
      <c r="Z225" s="3"/>
      <c r="AA225" s="3"/>
      <c r="AB225" s="3"/>
      <c r="AC225" s="3"/>
      <c r="AD225" s="3"/>
      <c r="AE225" t="s">
        <v>5500</v>
      </c>
      <c r="AF225" s="4" t="s">
        <v>1226</v>
      </c>
    </row>
    <row r="226" spans="1:32" ht="273.60000000000002" x14ac:dyDescent="0.3">
      <c r="A226" t="s">
        <v>1826</v>
      </c>
      <c r="B226" s="1" t="s">
        <v>1205</v>
      </c>
      <c r="C226" s="5" t="s">
        <v>2292</v>
      </c>
      <c r="D226" s="2" t="s">
        <v>3809</v>
      </c>
      <c r="E226" s="1" t="s">
        <v>632</v>
      </c>
      <c r="F226" s="3">
        <v>40.700000000000003</v>
      </c>
      <c r="G226" s="3"/>
      <c r="H226" s="3"/>
      <c r="I226" s="3"/>
      <c r="J226" s="3"/>
      <c r="K226" s="3"/>
      <c r="L226" s="3">
        <v>45.7</v>
      </c>
      <c r="M226" s="3"/>
      <c r="N226" s="3"/>
      <c r="O226" s="3"/>
      <c r="P226" s="3"/>
      <c r="Q226" s="3"/>
      <c r="R226" s="3">
        <v>36.5</v>
      </c>
      <c r="S226" s="3"/>
      <c r="T226" s="3"/>
      <c r="U226" s="3"/>
      <c r="V226" s="3"/>
      <c r="W226" s="3"/>
      <c r="X226" s="3"/>
      <c r="Y226" s="3"/>
      <c r="Z226" s="3"/>
      <c r="AA226" s="3"/>
      <c r="AB226" s="3"/>
      <c r="AC226" s="3"/>
      <c r="AD226" s="3"/>
      <c r="AE226" t="s">
        <v>5498</v>
      </c>
      <c r="AF226" s="4" t="s">
        <v>1226</v>
      </c>
    </row>
    <row r="227" spans="1:32" ht="273.60000000000002" x14ac:dyDescent="0.3">
      <c r="A227" t="s">
        <v>1826</v>
      </c>
      <c r="B227" s="1" t="s">
        <v>1205</v>
      </c>
      <c r="C227" s="5" t="s">
        <v>2293</v>
      </c>
      <c r="D227" s="2" t="s">
        <v>3810</v>
      </c>
      <c r="E227" s="1" t="s">
        <v>2000</v>
      </c>
      <c r="F227" s="3"/>
      <c r="G227" s="3"/>
      <c r="H227" s="3"/>
      <c r="I227" s="3"/>
      <c r="J227" s="3"/>
      <c r="K227" s="3"/>
      <c r="L227" s="3">
        <v>88</v>
      </c>
      <c r="M227" s="3"/>
      <c r="N227" s="3"/>
      <c r="O227" s="3"/>
      <c r="P227" s="3"/>
      <c r="Q227" s="3"/>
      <c r="R227" s="3">
        <v>85.56</v>
      </c>
      <c r="S227" s="3"/>
      <c r="T227" s="3"/>
      <c r="U227" s="3"/>
      <c r="V227" s="3"/>
      <c r="W227" s="3"/>
      <c r="X227" s="3"/>
      <c r="Y227" s="3"/>
      <c r="Z227" s="3"/>
      <c r="AA227" s="3"/>
      <c r="AB227" s="3"/>
      <c r="AC227" s="3"/>
      <c r="AD227" s="3"/>
      <c r="AE227" t="s">
        <v>5501</v>
      </c>
      <c r="AF227" s="4" t="s">
        <v>1226</v>
      </c>
    </row>
    <row r="228" spans="1:32" ht="273.60000000000002" x14ac:dyDescent="0.3">
      <c r="A228" t="s">
        <v>1826</v>
      </c>
      <c r="B228" s="1" t="s">
        <v>1205</v>
      </c>
      <c r="C228" s="5" t="s">
        <v>2294</v>
      </c>
      <c r="D228" s="2" t="s">
        <v>3811</v>
      </c>
      <c r="E228" s="1" t="s">
        <v>833</v>
      </c>
      <c r="F228" s="3"/>
      <c r="G228" s="3"/>
      <c r="H228" s="3"/>
      <c r="I228" s="3"/>
      <c r="J228" s="3"/>
      <c r="K228" s="3"/>
      <c r="L228" s="3">
        <v>89.52</v>
      </c>
      <c r="M228" s="3"/>
      <c r="N228" s="3"/>
      <c r="O228" s="3"/>
      <c r="P228" s="3"/>
      <c r="Q228" s="3"/>
      <c r="R228" s="3">
        <v>85.89</v>
      </c>
      <c r="S228" s="3"/>
      <c r="T228" s="3"/>
      <c r="U228" s="3"/>
      <c r="V228" s="3"/>
      <c r="W228" s="3"/>
      <c r="X228" s="3"/>
      <c r="Y228" s="3"/>
      <c r="Z228" s="3"/>
      <c r="AA228" s="3"/>
      <c r="AB228" s="3"/>
      <c r="AC228" s="3"/>
      <c r="AD228" s="3"/>
      <c r="AE228" t="s">
        <v>5501</v>
      </c>
      <c r="AF228" s="4" t="s">
        <v>1226</v>
      </c>
    </row>
    <row r="229" spans="1:32" ht="273.60000000000002" x14ac:dyDescent="0.3">
      <c r="A229" t="s">
        <v>1826</v>
      </c>
      <c r="B229" s="1" t="s">
        <v>1205</v>
      </c>
      <c r="C229" s="5" t="s">
        <v>2295</v>
      </c>
      <c r="D229" s="2" t="s">
        <v>3812</v>
      </c>
      <c r="E229" s="1" t="s">
        <v>1006</v>
      </c>
      <c r="F229" s="3"/>
      <c r="G229" s="3"/>
      <c r="H229" s="3"/>
      <c r="I229" s="3"/>
      <c r="J229" s="3"/>
      <c r="K229" s="3"/>
      <c r="L229" s="3">
        <v>86.66</v>
      </c>
      <c r="M229" s="3"/>
      <c r="N229" s="3"/>
      <c r="O229" s="3"/>
      <c r="P229" s="3"/>
      <c r="Q229" s="3"/>
      <c r="R229" s="3">
        <v>85.23</v>
      </c>
      <c r="S229" s="3"/>
      <c r="T229" s="3"/>
      <c r="U229" s="3"/>
      <c r="V229" s="3"/>
      <c r="W229" s="3"/>
      <c r="X229" s="3"/>
      <c r="Y229" s="3"/>
      <c r="Z229" s="3"/>
      <c r="AA229" s="3"/>
      <c r="AB229" s="3"/>
      <c r="AC229" s="3"/>
      <c r="AD229" s="3"/>
      <c r="AE229" t="s">
        <v>5501</v>
      </c>
      <c r="AF229" s="4" t="s">
        <v>1226</v>
      </c>
    </row>
    <row r="230" spans="1:32" ht="273.60000000000002" x14ac:dyDescent="0.3">
      <c r="A230" t="s">
        <v>1826</v>
      </c>
      <c r="B230" s="1" t="s">
        <v>1205</v>
      </c>
      <c r="C230" s="5" t="s">
        <v>2296</v>
      </c>
      <c r="D230" s="2" t="s">
        <v>3813</v>
      </c>
      <c r="E230" s="1" t="s">
        <v>1589</v>
      </c>
      <c r="F230" s="3"/>
      <c r="G230" s="3"/>
      <c r="H230" s="3"/>
      <c r="I230" s="3"/>
      <c r="J230" s="3"/>
      <c r="K230" s="3"/>
      <c r="L230" s="3">
        <v>2.4</v>
      </c>
      <c r="M230" s="3"/>
      <c r="N230" s="3"/>
      <c r="O230" s="3"/>
      <c r="P230" s="3"/>
      <c r="Q230" s="3"/>
      <c r="R230" s="3">
        <v>5.48</v>
      </c>
      <c r="S230" s="3"/>
      <c r="T230" s="3"/>
      <c r="U230" s="3"/>
      <c r="V230" s="3"/>
      <c r="W230" s="3"/>
      <c r="X230" s="3"/>
      <c r="Y230" s="3"/>
      <c r="Z230" s="3"/>
      <c r="AA230" s="3"/>
      <c r="AB230" s="3"/>
      <c r="AC230" s="3"/>
      <c r="AD230" s="3"/>
      <c r="AE230" t="s">
        <v>5502</v>
      </c>
      <c r="AF230" s="4" t="s">
        <v>1226</v>
      </c>
    </row>
    <row r="231" spans="1:32" ht="273.60000000000002" x14ac:dyDescent="0.3">
      <c r="A231" t="s">
        <v>1826</v>
      </c>
      <c r="B231" s="1" t="s">
        <v>1205</v>
      </c>
      <c r="C231" s="5" t="s">
        <v>2297</v>
      </c>
      <c r="D231" s="2" t="s">
        <v>3814</v>
      </c>
      <c r="E231" s="1" t="s">
        <v>681</v>
      </c>
      <c r="F231" s="3"/>
      <c r="G231" s="3"/>
      <c r="H231" s="3"/>
      <c r="I231" s="3"/>
      <c r="J231" s="3"/>
      <c r="K231" s="3"/>
      <c r="L231" s="3">
        <v>1.95</v>
      </c>
      <c r="M231" s="3"/>
      <c r="N231" s="3"/>
      <c r="O231" s="3"/>
      <c r="P231" s="3"/>
      <c r="Q231" s="3"/>
      <c r="R231" s="3">
        <v>4.6500000000000004</v>
      </c>
      <c r="S231" s="3"/>
      <c r="T231" s="3"/>
      <c r="U231" s="3"/>
      <c r="V231" s="3"/>
      <c r="W231" s="3"/>
      <c r="X231" s="3"/>
      <c r="Y231" s="3"/>
      <c r="Z231" s="3"/>
      <c r="AA231" s="3"/>
      <c r="AB231" s="3"/>
      <c r="AC231" s="3"/>
      <c r="AD231" s="3"/>
      <c r="AE231" t="s">
        <v>5502</v>
      </c>
      <c r="AF231" s="4" t="s">
        <v>1226</v>
      </c>
    </row>
    <row r="232" spans="1:32" ht="273.60000000000002" x14ac:dyDescent="0.3">
      <c r="A232" t="s">
        <v>1826</v>
      </c>
      <c r="B232" s="1" t="s">
        <v>1205</v>
      </c>
      <c r="C232" s="5" t="s">
        <v>2298</v>
      </c>
      <c r="D232" s="2" t="s">
        <v>3815</v>
      </c>
      <c r="E232" s="1" t="s">
        <v>884</v>
      </c>
      <c r="F232" s="3"/>
      <c r="G232" s="3"/>
      <c r="H232" s="3"/>
      <c r="I232" s="3"/>
      <c r="J232" s="3"/>
      <c r="K232" s="3"/>
      <c r="L232" s="3">
        <v>2.87</v>
      </c>
      <c r="M232" s="3"/>
      <c r="N232" s="3"/>
      <c r="O232" s="3"/>
      <c r="P232" s="3"/>
      <c r="Q232" s="3"/>
      <c r="R232" s="3">
        <v>6.29</v>
      </c>
      <c r="S232" s="3"/>
      <c r="T232" s="3"/>
      <c r="U232" s="3"/>
      <c r="V232" s="3"/>
      <c r="W232" s="3"/>
      <c r="X232" s="3"/>
      <c r="Y232" s="3"/>
      <c r="Z232" s="3"/>
      <c r="AA232" s="3"/>
      <c r="AB232" s="3"/>
      <c r="AC232" s="3"/>
      <c r="AD232" s="3"/>
      <c r="AE232" t="s">
        <v>5502</v>
      </c>
      <c r="AF232" s="4" t="s">
        <v>1226</v>
      </c>
    </row>
    <row r="233" spans="1:32" ht="273.60000000000002" x14ac:dyDescent="0.3">
      <c r="A233" t="s">
        <v>1826</v>
      </c>
      <c r="B233" s="1" t="s">
        <v>1205</v>
      </c>
      <c r="C233" s="5" t="s">
        <v>2299</v>
      </c>
      <c r="D233" s="2" t="s">
        <v>3816</v>
      </c>
      <c r="E233" s="1" t="s">
        <v>41</v>
      </c>
      <c r="F233" s="3">
        <v>46.4373464373</v>
      </c>
      <c r="G233" s="3"/>
      <c r="H233" s="3"/>
      <c r="I233" s="3"/>
      <c r="J233" s="3"/>
      <c r="K233" s="3"/>
      <c r="L233" s="3">
        <v>46.8</v>
      </c>
      <c r="M233" s="3"/>
      <c r="N233" s="3"/>
      <c r="O233" s="3"/>
      <c r="P233" s="3"/>
      <c r="Q233" s="3"/>
      <c r="R233" s="3">
        <v>41.152743848366001</v>
      </c>
      <c r="S233" s="3"/>
      <c r="T233" s="3"/>
      <c r="U233" s="3"/>
      <c r="V233" s="3"/>
      <c r="W233" s="3"/>
      <c r="X233" s="3"/>
      <c r="Y233" s="3"/>
      <c r="Z233" s="3"/>
      <c r="AA233" s="3"/>
      <c r="AB233" s="3"/>
      <c r="AC233" s="3"/>
      <c r="AD233" s="3"/>
      <c r="AE233" t="s">
        <v>5503</v>
      </c>
      <c r="AF233" s="4" t="s">
        <v>1226</v>
      </c>
    </row>
    <row r="234" spans="1:32" ht="273.60000000000002" x14ac:dyDescent="0.3">
      <c r="A234" t="s">
        <v>1826</v>
      </c>
      <c r="B234" s="1" t="s">
        <v>1205</v>
      </c>
      <c r="C234" s="5" t="s">
        <v>2300</v>
      </c>
      <c r="D234" s="2" t="s">
        <v>3817</v>
      </c>
      <c r="E234" s="1" t="s">
        <v>956</v>
      </c>
      <c r="F234" s="3">
        <v>54.074074074099997</v>
      </c>
      <c r="G234" s="3"/>
      <c r="H234" s="3"/>
      <c r="I234" s="3"/>
      <c r="J234" s="3"/>
      <c r="K234" s="3"/>
      <c r="L234" s="3"/>
      <c r="M234" s="3"/>
      <c r="N234" s="3"/>
      <c r="O234" s="3"/>
      <c r="P234" s="3"/>
      <c r="Q234" s="3"/>
      <c r="R234" s="3">
        <v>47.221594541364702</v>
      </c>
      <c r="S234" s="3"/>
      <c r="T234" s="3"/>
      <c r="U234" s="3"/>
      <c r="V234" s="3"/>
      <c r="W234" s="3"/>
      <c r="X234" s="3"/>
      <c r="Y234" s="3"/>
      <c r="Z234" s="3"/>
      <c r="AA234" s="3"/>
      <c r="AB234" s="3"/>
      <c r="AC234" s="3"/>
      <c r="AD234" s="3"/>
      <c r="AE234" t="s">
        <v>5503</v>
      </c>
      <c r="AF234" s="4" t="s">
        <v>1226</v>
      </c>
    </row>
    <row r="235" spans="1:32" ht="273.60000000000002" x14ac:dyDescent="0.3">
      <c r="A235" t="s">
        <v>1826</v>
      </c>
      <c r="B235" s="1" t="s">
        <v>1205</v>
      </c>
      <c r="C235" s="5" t="s">
        <v>2301</v>
      </c>
      <c r="D235" s="2" t="s">
        <v>3818</v>
      </c>
      <c r="E235" s="1" t="s">
        <v>1135</v>
      </c>
      <c r="F235" s="3">
        <v>39.364303178500002</v>
      </c>
      <c r="G235" s="3"/>
      <c r="H235" s="3"/>
      <c r="I235" s="3"/>
      <c r="J235" s="3"/>
      <c r="K235" s="3"/>
      <c r="L235" s="3"/>
      <c r="M235" s="3"/>
      <c r="N235" s="3"/>
      <c r="O235" s="3"/>
      <c r="P235" s="3"/>
      <c r="Q235" s="3"/>
      <c r="R235" s="3">
        <v>35.191547077811698</v>
      </c>
      <c r="S235" s="3"/>
      <c r="T235" s="3"/>
      <c r="U235" s="3"/>
      <c r="V235" s="3"/>
      <c r="W235" s="3"/>
      <c r="X235" s="3"/>
      <c r="Y235" s="3"/>
      <c r="Z235" s="3"/>
      <c r="AA235" s="3"/>
      <c r="AB235" s="3"/>
      <c r="AC235" s="3"/>
      <c r="AD235" s="3"/>
      <c r="AE235" t="s">
        <v>5503</v>
      </c>
      <c r="AF235" s="4" t="s">
        <v>1226</v>
      </c>
    </row>
    <row r="236" spans="1:32" ht="244.8" x14ac:dyDescent="0.3">
      <c r="A236" t="s">
        <v>1826</v>
      </c>
      <c r="B236" s="1" t="s">
        <v>1205</v>
      </c>
      <c r="C236" s="5" t="s">
        <v>2302</v>
      </c>
      <c r="D236" s="2" t="s">
        <v>3819</v>
      </c>
      <c r="E236" s="1" t="s">
        <v>1373</v>
      </c>
      <c r="F236" s="3">
        <v>46.098560333252003</v>
      </c>
      <c r="G236" s="3">
        <v>42.9351615905762</v>
      </c>
      <c r="H236" s="3">
        <v>43.1302299499512</v>
      </c>
      <c r="I236" s="3">
        <v>47.152641296386697</v>
      </c>
      <c r="J236" s="3"/>
      <c r="K236" s="3"/>
      <c r="L236" s="3"/>
      <c r="M236" s="3"/>
      <c r="N236" s="3"/>
      <c r="O236" s="3">
        <v>46.598720550537102</v>
      </c>
      <c r="P236" s="3"/>
      <c r="Q236" s="3"/>
      <c r="R236" s="3"/>
      <c r="S236" s="3">
        <v>34.348171234130902</v>
      </c>
      <c r="T236" s="3">
        <v>30.3167400360107</v>
      </c>
      <c r="U236" s="3">
        <v>27.298730850219702</v>
      </c>
      <c r="V236" s="3">
        <v>18.203870773315401</v>
      </c>
      <c r="W236" s="3">
        <v>17.140060424804702</v>
      </c>
      <c r="X236" s="3">
        <v>12.6659297943115</v>
      </c>
      <c r="Y236" s="3">
        <v>11.4065599441528</v>
      </c>
      <c r="Z236" s="3">
        <v>9.6739301681518608</v>
      </c>
      <c r="AA236" s="3">
        <v>10.439359664916999</v>
      </c>
      <c r="AB236" s="3">
        <v>9.7704095840454102</v>
      </c>
      <c r="AC236" s="3">
        <v>3.8506500720977801</v>
      </c>
      <c r="AD236" s="3"/>
      <c r="AE236" t="s">
        <v>5504</v>
      </c>
      <c r="AF236" s="4" t="s">
        <v>801</v>
      </c>
    </row>
    <row r="237" spans="1:32" ht="244.8" x14ac:dyDescent="0.3">
      <c r="A237" t="s">
        <v>1826</v>
      </c>
      <c r="B237" s="1" t="s">
        <v>1205</v>
      </c>
      <c r="C237" s="5" t="s">
        <v>2303</v>
      </c>
      <c r="D237" s="2" t="s">
        <v>3820</v>
      </c>
      <c r="E237" s="1" t="s">
        <v>869</v>
      </c>
      <c r="F237" s="3">
        <v>54.146949768066399</v>
      </c>
      <c r="G237" s="3">
        <v>50.905059814453097</v>
      </c>
      <c r="H237" s="3">
        <v>51.8832397460938</v>
      </c>
      <c r="I237" s="3">
        <v>52.861030578613303</v>
      </c>
      <c r="J237" s="3"/>
      <c r="K237" s="3"/>
      <c r="L237" s="3"/>
      <c r="M237" s="3"/>
      <c r="N237" s="3"/>
      <c r="O237" s="3">
        <v>51.060428619384801</v>
      </c>
      <c r="P237" s="3"/>
      <c r="Q237" s="3"/>
      <c r="R237" s="3"/>
      <c r="S237" s="3">
        <v>36.173301696777301</v>
      </c>
      <c r="T237" s="3">
        <v>33.811851501464801</v>
      </c>
      <c r="U237" s="3">
        <v>30.9415893554688</v>
      </c>
      <c r="V237" s="3">
        <v>21.770830154418899</v>
      </c>
      <c r="W237" s="3">
        <v>20.273130416870099</v>
      </c>
      <c r="X237" s="3">
        <v>16.015029907226602</v>
      </c>
      <c r="Y237" s="3">
        <v>14.38743019104</v>
      </c>
      <c r="Z237" s="3">
        <v>12.777339935302701</v>
      </c>
      <c r="AA237" s="3">
        <v>13.1803798675537</v>
      </c>
      <c r="AB237" s="3">
        <v>13.1423797607422</v>
      </c>
      <c r="AC237" s="3">
        <v>5.6178898811340297</v>
      </c>
      <c r="AD237" s="3"/>
      <c r="AE237" t="s">
        <v>5504</v>
      </c>
      <c r="AF237" s="4" t="s">
        <v>801</v>
      </c>
    </row>
    <row r="238" spans="1:32" ht="244.8" x14ac:dyDescent="0.3">
      <c r="A238" t="s">
        <v>1826</v>
      </c>
      <c r="B238" s="1" t="s">
        <v>1205</v>
      </c>
      <c r="C238" s="5" t="s">
        <v>2304</v>
      </c>
      <c r="D238" s="2" t="s">
        <v>3821</v>
      </c>
      <c r="E238" s="1" t="s">
        <v>1051</v>
      </c>
      <c r="F238" s="3">
        <v>38.133991241455099</v>
      </c>
      <c r="G238" s="3">
        <v>35.031150817871101</v>
      </c>
      <c r="H238" s="3">
        <v>34.431358337402301</v>
      </c>
      <c r="I238" s="3">
        <v>41.480091094970703</v>
      </c>
      <c r="J238" s="3"/>
      <c r="K238" s="3"/>
      <c r="L238" s="3"/>
      <c r="M238" s="3"/>
      <c r="N238" s="3"/>
      <c r="O238" s="3">
        <v>42.244598388671903</v>
      </c>
      <c r="P238" s="3"/>
      <c r="Q238" s="3"/>
      <c r="R238" s="3"/>
      <c r="S238" s="3">
        <v>32.5814208984375</v>
      </c>
      <c r="T238" s="3">
        <v>26.9257698059082</v>
      </c>
      <c r="U238" s="3">
        <v>23.7534294128418</v>
      </c>
      <c r="V238" s="3">
        <v>14.7195701599121</v>
      </c>
      <c r="W238" s="3">
        <v>14.066789627075201</v>
      </c>
      <c r="X238" s="3">
        <v>9.3684797286987305</v>
      </c>
      <c r="Y238" s="3">
        <v>8.4630002975463903</v>
      </c>
      <c r="Z238" s="3">
        <v>6.60254001617432</v>
      </c>
      <c r="AA238" s="3">
        <v>7.7228899002075204</v>
      </c>
      <c r="AB238" s="3">
        <v>6.4267997741699201</v>
      </c>
      <c r="AC238" s="3">
        <v>2.0987300872802699</v>
      </c>
      <c r="AD238" s="3"/>
      <c r="AE238" t="s">
        <v>5504</v>
      </c>
      <c r="AF238" s="4" t="s">
        <v>801</v>
      </c>
    </row>
    <row r="239" spans="1:32" ht="230.4" x14ac:dyDescent="0.3">
      <c r="A239" t="s">
        <v>1826</v>
      </c>
      <c r="B239" s="1" t="s">
        <v>1205</v>
      </c>
      <c r="C239" s="5" t="s">
        <v>2305</v>
      </c>
      <c r="D239" s="2" t="s">
        <v>3822</v>
      </c>
      <c r="E239" s="1" t="s">
        <v>878</v>
      </c>
      <c r="F239" s="3">
        <v>1270523</v>
      </c>
      <c r="G239" s="3">
        <v>1226123</v>
      </c>
      <c r="H239" s="3">
        <v>1273189</v>
      </c>
      <c r="I239" s="3">
        <v>1424769</v>
      </c>
      <c r="J239" s="3"/>
      <c r="K239" s="3"/>
      <c r="L239" s="3"/>
      <c r="M239" s="3"/>
      <c r="N239" s="3"/>
      <c r="O239" s="3">
        <v>1618142</v>
      </c>
      <c r="P239" s="3"/>
      <c r="Q239" s="3"/>
      <c r="R239" s="3"/>
      <c r="S239" s="3">
        <v>1287197</v>
      </c>
      <c r="T239" s="3">
        <v>1162501</v>
      </c>
      <c r="U239" s="3">
        <v>1071248</v>
      </c>
      <c r="V239" s="3">
        <v>730548</v>
      </c>
      <c r="W239" s="3">
        <v>704168</v>
      </c>
      <c r="X239" s="3">
        <v>531743</v>
      </c>
      <c r="Y239" s="3">
        <v>488219</v>
      </c>
      <c r="Z239" s="3">
        <v>421374</v>
      </c>
      <c r="AA239" s="3">
        <v>461941</v>
      </c>
      <c r="AB239" s="3">
        <v>438977</v>
      </c>
      <c r="AC239" s="3">
        <v>175494</v>
      </c>
      <c r="AD239" s="3"/>
      <c r="AE239" t="s">
        <v>5505</v>
      </c>
      <c r="AF239" s="4" t="s">
        <v>503</v>
      </c>
    </row>
    <row r="240" spans="1:32" ht="230.4" x14ac:dyDescent="0.3">
      <c r="A240" t="s">
        <v>1826</v>
      </c>
      <c r="B240" s="1" t="s">
        <v>1205</v>
      </c>
      <c r="C240" s="5" t="s">
        <v>2306</v>
      </c>
      <c r="D240" s="2" t="s">
        <v>3823</v>
      </c>
      <c r="E240" s="1" t="s">
        <v>380</v>
      </c>
      <c r="F240" s="3">
        <v>742267</v>
      </c>
      <c r="G240" s="3">
        <v>723845</v>
      </c>
      <c r="H240" s="3">
        <v>763412</v>
      </c>
      <c r="I240" s="3">
        <v>796113</v>
      </c>
      <c r="J240" s="3"/>
      <c r="K240" s="3"/>
      <c r="L240" s="3"/>
      <c r="M240" s="3"/>
      <c r="N240" s="3"/>
      <c r="O240" s="3">
        <v>875719</v>
      </c>
      <c r="P240" s="3"/>
      <c r="Q240" s="3"/>
      <c r="R240" s="3"/>
      <c r="S240" s="3">
        <v>666781</v>
      </c>
      <c r="T240" s="3">
        <v>638456</v>
      </c>
      <c r="U240" s="3">
        <v>598860</v>
      </c>
      <c r="V240" s="3">
        <v>431727</v>
      </c>
      <c r="W240" s="3">
        <v>412430</v>
      </c>
      <c r="X240" s="3">
        <v>333560</v>
      </c>
      <c r="Y240" s="3">
        <v>305964</v>
      </c>
      <c r="Z240" s="3">
        <v>276833</v>
      </c>
      <c r="AA240" s="3">
        <v>290304</v>
      </c>
      <c r="AB240" s="3">
        <v>293992</v>
      </c>
      <c r="AC240" s="3">
        <v>127461</v>
      </c>
      <c r="AD240" s="3"/>
      <c r="AE240" t="s">
        <v>5505</v>
      </c>
      <c r="AF240" s="4" t="s">
        <v>503</v>
      </c>
    </row>
    <row r="241" spans="1:32" ht="230.4" x14ac:dyDescent="0.3">
      <c r="A241" t="s">
        <v>1826</v>
      </c>
      <c r="B241" s="1" t="s">
        <v>1205</v>
      </c>
      <c r="C241" s="5" t="s">
        <v>2307</v>
      </c>
      <c r="D241" s="2" t="s">
        <v>3824</v>
      </c>
      <c r="E241" s="1" t="s">
        <v>1099</v>
      </c>
      <c r="F241" s="3">
        <v>528256</v>
      </c>
      <c r="G241" s="3">
        <v>502278</v>
      </c>
      <c r="H241" s="3">
        <v>509777</v>
      </c>
      <c r="I241" s="3">
        <v>628656</v>
      </c>
      <c r="J241" s="3"/>
      <c r="K241" s="3"/>
      <c r="L241" s="3"/>
      <c r="M241" s="3"/>
      <c r="N241" s="3"/>
      <c r="O241" s="3">
        <v>742423</v>
      </c>
      <c r="P241" s="3"/>
      <c r="Q241" s="3"/>
      <c r="R241" s="3"/>
      <c r="S241" s="3">
        <v>620416</v>
      </c>
      <c r="T241" s="3">
        <v>524045</v>
      </c>
      <c r="U241" s="3">
        <v>472388</v>
      </c>
      <c r="V241" s="3">
        <v>298821</v>
      </c>
      <c r="W241" s="3">
        <v>291738</v>
      </c>
      <c r="X241" s="3">
        <v>198183</v>
      </c>
      <c r="Y241" s="3">
        <v>182255</v>
      </c>
      <c r="Z241" s="3">
        <v>144541</v>
      </c>
      <c r="AA241" s="3">
        <v>171637</v>
      </c>
      <c r="AB241" s="3">
        <v>144985</v>
      </c>
      <c r="AC241" s="3">
        <v>48033</v>
      </c>
      <c r="AD241" s="3"/>
      <c r="AE241" t="s">
        <v>5505</v>
      </c>
      <c r="AF241" s="4" t="s">
        <v>503</v>
      </c>
    </row>
    <row r="242" spans="1:32" ht="72" x14ac:dyDescent="0.3">
      <c r="A242" t="s">
        <v>1826</v>
      </c>
      <c r="B242" s="1" t="s">
        <v>1205</v>
      </c>
      <c r="C242" s="5" t="s">
        <v>2308</v>
      </c>
      <c r="D242" s="2" t="s">
        <v>3825</v>
      </c>
      <c r="E242" s="1" t="s">
        <v>1054</v>
      </c>
      <c r="F242" s="3">
        <v>58</v>
      </c>
      <c r="G242" s="3"/>
      <c r="H242" s="3"/>
      <c r="I242" s="3"/>
      <c r="J242" s="3">
        <v>58</v>
      </c>
      <c r="K242" s="3"/>
      <c r="L242" s="3">
        <v>36</v>
      </c>
      <c r="M242" s="3"/>
      <c r="N242" s="3"/>
      <c r="O242" s="3"/>
      <c r="P242" s="3"/>
      <c r="Q242" s="3"/>
      <c r="R242" s="3">
        <v>17.5</v>
      </c>
      <c r="S242" s="3"/>
      <c r="T242" s="3"/>
      <c r="U242" s="3"/>
      <c r="V242" s="3"/>
      <c r="W242" s="3"/>
      <c r="X242" s="3"/>
      <c r="Y242" s="3"/>
      <c r="Z242" s="3"/>
      <c r="AA242" s="3"/>
      <c r="AB242" s="3"/>
      <c r="AC242" s="3"/>
      <c r="AD242" s="3"/>
      <c r="AE242" t="s">
        <v>5506</v>
      </c>
      <c r="AF242" s="4" t="s">
        <v>820</v>
      </c>
    </row>
    <row r="243" spans="1:32" ht="86.4" x14ac:dyDescent="0.3">
      <c r="A243" t="s">
        <v>1826</v>
      </c>
      <c r="B243" s="1" t="s">
        <v>1205</v>
      </c>
      <c r="C243" s="5" t="s">
        <v>2309</v>
      </c>
      <c r="D243" s="2" t="s">
        <v>3826</v>
      </c>
      <c r="E243" s="1" t="s">
        <v>1690</v>
      </c>
      <c r="F243" s="3">
        <v>-7.6157711517454629</v>
      </c>
      <c r="G243" s="3">
        <v>-4.479793452250715</v>
      </c>
      <c r="H243" s="3">
        <v>-0.81863725953027944</v>
      </c>
      <c r="I243" s="3">
        <v>-2.2735917543498463</v>
      </c>
      <c r="J243" s="3">
        <v>-7.5586373256635264</v>
      </c>
      <c r="K243" s="3">
        <v>3.2604994357344079</v>
      </c>
      <c r="L243" s="3">
        <v>-0.8268007385082673</v>
      </c>
      <c r="M243" s="3">
        <v>1.8354301534127464</v>
      </c>
      <c r="N243" s="3">
        <v>3.8740158567642058</v>
      </c>
      <c r="O243" s="3">
        <v>8.985069687156571</v>
      </c>
      <c r="P243" s="3">
        <v>4.4948773233443919</v>
      </c>
      <c r="Q243" s="3">
        <v>-0.49930332972920899</v>
      </c>
      <c r="R243" s="3">
        <v>6.5549538757909174</v>
      </c>
      <c r="S243" s="3">
        <v>4.7530314542258294</v>
      </c>
      <c r="T243" s="3">
        <v>3.5289533114751728</v>
      </c>
      <c r="U243" s="3">
        <v>-1.3877690675284096</v>
      </c>
      <c r="V243" s="3">
        <v>4.3518238626474721</v>
      </c>
      <c r="W243" s="3">
        <v>2.619058661397458</v>
      </c>
      <c r="X243" s="3">
        <v>3.9319246270242729</v>
      </c>
      <c r="Y243" s="3">
        <v>4.8695665028707937</v>
      </c>
      <c r="Z243" s="3">
        <v>10.371421109380087</v>
      </c>
      <c r="AA243" s="3">
        <v>5.4118366455752485</v>
      </c>
      <c r="AB243" s="3">
        <v>8.2443985329781899</v>
      </c>
      <c r="AC243" s="3">
        <v>2.1946686687931356</v>
      </c>
      <c r="AD243" s="3">
        <v>4.9725127615728741</v>
      </c>
      <c r="AE243" t="s">
        <v>5507</v>
      </c>
      <c r="AF243" s="4" t="s">
        <v>1714</v>
      </c>
    </row>
    <row r="244" spans="1:32" ht="86.4" x14ac:dyDescent="0.3">
      <c r="A244" t="s">
        <v>1826</v>
      </c>
      <c r="B244" s="1" t="s">
        <v>1205</v>
      </c>
      <c r="C244" s="5" t="s">
        <v>2310</v>
      </c>
      <c r="D244" s="2" t="s">
        <v>3827</v>
      </c>
      <c r="E244" s="1" t="s">
        <v>209</v>
      </c>
      <c r="F244" s="3">
        <v>4.6501180480338631</v>
      </c>
      <c r="G244" s="3">
        <v>3.8477286860830344</v>
      </c>
      <c r="H244" s="3">
        <v>3.6699176202854185</v>
      </c>
      <c r="I244" s="3">
        <v>3.3175721065406698</v>
      </c>
      <c r="J244" s="3">
        <v>2.3127793999294926</v>
      </c>
      <c r="K244" s="3">
        <v>2.7095565890335496</v>
      </c>
      <c r="L244" s="3">
        <v>2.4914131927229906</v>
      </c>
      <c r="M244" s="3">
        <v>2.652194858103571</v>
      </c>
      <c r="N244" s="3">
        <v>3.0633399093607148</v>
      </c>
      <c r="O244" s="3">
        <v>4.5014436677016176</v>
      </c>
      <c r="P244" s="3">
        <v>5.0329479192546938</v>
      </c>
      <c r="Q244" s="3">
        <v>4.9145311357427222</v>
      </c>
      <c r="R244" s="3">
        <v>6.173154863686185</v>
      </c>
      <c r="S244" s="3">
        <v>6.4772515351191524</v>
      </c>
      <c r="T244" s="3">
        <v>6.4393352115583848</v>
      </c>
      <c r="U244" s="3">
        <v>5.426647992833443</v>
      </c>
      <c r="V244" s="3">
        <v>6.1967884668026256</v>
      </c>
      <c r="W244" s="3">
        <v>6.5044964434095673</v>
      </c>
      <c r="X244" s="3">
        <v>7.1386186131293563</v>
      </c>
      <c r="Y244" s="3">
        <v>7.8973015395911519</v>
      </c>
      <c r="Z244" s="3">
        <v>10.780626220577513</v>
      </c>
      <c r="AA244" s="3">
        <v>11.437185759075286</v>
      </c>
      <c r="AB244" s="3">
        <v>13.322411870710779</v>
      </c>
      <c r="AC244" s="3">
        <v>12.970798442314052</v>
      </c>
      <c r="AD244" s="3">
        <v>13.590663827491015</v>
      </c>
      <c r="AE244" t="s">
        <v>5508</v>
      </c>
      <c r="AF244" s="4" t="s">
        <v>1714</v>
      </c>
    </row>
    <row r="245" spans="1:32" ht="86.4" x14ac:dyDescent="0.3">
      <c r="A245" t="s">
        <v>1826</v>
      </c>
      <c r="B245" s="1" t="s">
        <v>1205</v>
      </c>
      <c r="C245" s="5" t="s">
        <v>2311</v>
      </c>
      <c r="D245" s="2" t="s">
        <v>3828</v>
      </c>
      <c r="E245" s="1" t="s">
        <v>756</v>
      </c>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t="s">
        <v>5509</v>
      </c>
      <c r="AF245" s="4" t="s">
        <v>1714</v>
      </c>
    </row>
    <row r="246" spans="1:32" ht="86.4" x14ac:dyDescent="0.3">
      <c r="A246" t="s">
        <v>1826</v>
      </c>
      <c r="B246" s="1" t="s">
        <v>1205</v>
      </c>
      <c r="C246" s="5" t="s">
        <v>2312</v>
      </c>
      <c r="D246" s="2" t="s">
        <v>3829</v>
      </c>
      <c r="E246" s="1" t="s">
        <v>219</v>
      </c>
      <c r="F246" s="3"/>
      <c r="G246" s="3"/>
      <c r="H246" s="3">
        <v>1.831855085696328</v>
      </c>
      <c r="I246" s="3">
        <v>-5.5323440377479081</v>
      </c>
      <c r="J246" s="3">
        <v>5.7915267436383164</v>
      </c>
      <c r="K246" s="3">
        <v>-4.4466200387469081</v>
      </c>
      <c r="L246" s="3">
        <v>16.205442104521453</v>
      </c>
      <c r="M246" s="3">
        <v>13.581733757815206</v>
      </c>
      <c r="N246" s="3">
        <v>5.6346931720967044</v>
      </c>
      <c r="O246" s="3">
        <v>8.4848473435531844</v>
      </c>
      <c r="P246" s="3">
        <v>8.5603393407882962</v>
      </c>
      <c r="Q246" s="3">
        <v>-0.34863279825686411</v>
      </c>
      <c r="R246" s="3">
        <v>5.5839039887803255</v>
      </c>
      <c r="S246" s="3">
        <v>10.286650512640099</v>
      </c>
      <c r="T246" s="3">
        <v>11.650463820105557</v>
      </c>
      <c r="U246" s="3">
        <v>18.007538683298616</v>
      </c>
      <c r="V246" s="3">
        <v>9.1360034553832996</v>
      </c>
      <c r="W246" s="3">
        <v>10.357418234973464</v>
      </c>
      <c r="X246" s="3">
        <v>8.2652521875289846</v>
      </c>
      <c r="Y246" s="3">
        <v>4.3824790944329557</v>
      </c>
      <c r="Z246" s="3">
        <v>6.380634042842364</v>
      </c>
      <c r="AA246" s="3">
        <v>7.7863163404674918</v>
      </c>
      <c r="AB246" s="3">
        <v>4.3083533746712295</v>
      </c>
      <c r="AC246" s="3">
        <v>9.4275344764609716</v>
      </c>
      <c r="AD246" s="3">
        <v>7.5181533034448984</v>
      </c>
      <c r="AE246" t="s">
        <v>5510</v>
      </c>
      <c r="AF246" s="4" t="s">
        <v>1714</v>
      </c>
    </row>
    <row r="247" spans="1:32" ht="86.4" x14ac:dyDescent="0.3">
      <c r="A247" t="s">
        <v>1826</v>
      </c>
      <c r="B247" s="1" t="s">
        <v>1205</v>
      </c>
      <c r="C247" s="5" t="s">
        <v>2313</v>
      </c>
      <c r="D247" s="2" t="s">
        <v>3830</v>
      </c>
      <c r="E247" s="1" t="s">
        <v>749</v>
      </c>
      <c r="F247" s="3">
        <v>2.9122105254991779</v>
      </c>
      <c r="G247" s="3">
        <v>0.81747895810232685</v>
      </c>
      <c r="H247" s="3">
        <v>2.6014187120314678</v>
      </c>
      <c r="I247" s="3">
        <v>-4.2641002352007318</v>
      </c>
      <c r="J247" s="3">
        <v>3.9244163718657763</v>
      </c>
      <c r="K247" s="3">
        <v>-3.0786489469245173</v>
      </c>
      <c r="L247" s="3">
        <v>12.583282261521648</v>
      </c>
      <c r="M247" s="3">
        <v>16.949336724378664</v>
      </c>
      <c r="N247" s="3">
        <v>5.9956757985063458</v>
      </c>
      <c r="O247" s="3">
        <v>6.9611677595150292</v>
      </c>
      <c r="P247" s="3">
        <v>7.025488931734488</v>
      </c>
      <c r="Q247" s="3">
        <v>0.3612329774821752</v>
      </c>
      <c r="R247" s="3">
        <v>5.7706727724661402</v>
      </c>
      <c r="S247" s="3">
        <v>10.356409513148893</v>
      </c>
      <c r="T247" s="3">
        <v>9.9026254872970743</v>
      </c>
      <c r="U247" s="3">
        <v>16.57016905624517</v>
      </c>
      <c r="V247" s="3">
        <v>7.5514172857265995</v>
      </c>
      <c r="W247" s="3">
        <v>10.200247615810364</v>
      </c>
      <c r="X247" s="3">
        <v>4.6145931381839205</v>
      </c>
      <c r="Y247" s="3">
        <v>4.8683457950162579</v>
      </c>
      <c r="Z247" s="3">
        <v>6.730512839801233</v>
      </c>
      <c r="AA247" s="3">
        <v>7.7576333036476584</v>
      </c>
      <c r="AB247" s="3">
        <v>4.8425685166857679</v>
      </c>
      <c r="AC247" s="3">
        <v>8.9284535108622958</v>
      </c>
      <c r="AD247" s="3">
        <v>6.6619571818129142</v>
      </c>
      <c r="AE247" t="s">
        <v>5511</v>
      </c>
      <c r="AF247" s="4" t="s">
        <v>1714</v>
      </c>
    </row>
    <row r="248" spans="1:32" ht="72" x14ac:dyDescent="0.3">
      <c r="A248" t="s">
        <v>1826</v>
      </c>
      <c r="B248" s="1" t="s">
        <v>1205</v>
      </c>
      <c r="C248" s="5" t="s">
        <v>2314</v>
      </c>
      <c r="D248" s="2" t="s">
        <v>3831</v>
      </c>
      <c r="E248" s="1" t="s">
        <v>1123</v>
      </c>
      <c r="F248" s="3">
        <v>0</v>
      </c>
      <c r="G248" s="3">
        <v>0</v>
      </c>
      <c r="H248" s="3">
        <v>0</v>
      </c>
      <c r="I248" s="3">
        <v>0</v>
      </c>
      <c r="J248" s="3">
        <v>0</v>
      </c>
      <c r="K248" s="3">
        <v>0</v>
      </c>
      <c r="L248" s="3">
        <v>0</v>
      </c>
      <c r="M248" s="3">
        <v>0</v>
      </c>
      <c r="N248" s="3">
        <v>0</v>
      </c>
      <c r="O248" s="3">
        <v>0</v>
      </c>
      <c r="P248" s="3">
        <v>0</v>
      </c>
      <c r="Q248" s="3">
        <v>0</v>
      </c>
      <c r="R248" s="3">
        <v>0</v>
      </c>
      <c r="S248" s="3">
        <v>0</v>
      </c>
      <c r="T248" s="3">
        <v>0</v>
      </c>
      <c r="U248" s="3">
        <v>0</v>
      </c>
      <c r="V248" s="3">
        <v>0</v>
      </c>
      <c r="W248" s="3">
        <v>0</v>
      </c>
      <c r="X248" s="3">
        <v>0</v>
      </c>
      <c r="Y248" s="3">
        <v>0</v>
      </c>
      <c r="Z248" s="3">
        <v>0</v>
      </c>
      <c r="AA248" s="3">
        <v>0</v>
      </c>
      <c r="AB248" s="3"/>
      <c r="AC248" s="3"/>
      <c r="AD248" s="3"/>
      <c r="AE248" t="s">
        <v>5512</v>
      </c>
      <c r="AF248" s="4" t="s">
        <v>937</v>
      </c>
    </row>
    <row r="249" spans="1:32" ht="129.6" x14ac:dyDescent="0.3">
      <c r="A249" t="s">
        <v>1826</v>
      </c>
      <c r="B249" s="1" t="s">
        <v>1205</v>
      </c>
      <c r="C249" s="5" t="s">
        <v>2315</v>
      </c>
      <c r="D249" s="2" t="s">
        <v>3832</v>
      </c>
      <c r="E249" s="1" t="s">
        <v>1420</v>
      </c>
      <c r="F249" s="3">
        <v>62.204699485455251</v>
      </c>
      <c r="G249" s="3">
        <v>64.854506690461591</v>
      </c>
      <c r="H249" s="3">
        <v>61.950608667091004</v>
      </c>
      <c r="I249" s="3">
        <v>66.841470961857851</v>
      </c>
      <c r="J249" s="3">
        <v>74.757062146892707</v>
      </c>
      <c r="K249" s="3">
        <v>74.574764696097347</v>
      </c>
      <c r="L249" s="3">
        <v>78.146807242908096</v>
      </c>
      <c r="M249" s="3">
        <v>74.882069109495617</v>
      </c>
      <c r="N249" s="3">
        <v>74.292735750860345</v>
      </c>
      <c r="O249" s="3">
        <v>75.772354410779784</v>
      </c>
      <c r="P249" s="3">
        <v>70.273260475368048</v>
      </c>
      <c r="Q249" s="3">
        <v>73.258434898367682</v>
      </c>
      <c r="R249" s="3">
        <v>68.958119943377028</v>
      </c>
      <c r="S249" s="3">
        <v>65.606550707402434</v>
      </c>
      <c r="T249" s="3">
        <v>66.850081904263092</v>
      </c>
      <c r="U249" s="3">
        <v>64.511557987086618</v>
      </c>
      <c r="V249" s="3">
        <v>62.914329962221494</v>
      </c>
      <c r="W249" s="3">
        <v>60.175007396281231</v>
      </c>
      <c r="X249" s="3">
        <v>57.011807624018886</v>
      </c>
      <c r="Y249" s="3">
        <v>58.99771308658844</v>
      </c>
      <c r="Z249" s="3">
        <v>59.258403375215337</v>
      </c>
      <c r="AA249" s="3">
        <v>62.90836461476507</v>
      </c>
      <c r="AB249" s="3">
        <v>61.157017910591826</v>
      </c>
      <c r="AC249" s="3"/>
      <c r="AD249" s="3"/>
      <c r="AE249" t="s">
        <v>5513</v>
      </c>
      <c r="AF249" s="4" t="s">
        <v>1616</v>
      </c>
    </row>
    <row r="250" spans="1:32" ht="129.6" x14ac:dyDescent="0.3">
      <c r="A250" t="s">
        <v>1826</v>
      </c>
      <c r="B250" s="1" t="s">
        <v>1205</v>
      </c>
      <c r="C250" s="5" t="s">
        <v>2316</v>
      </c>
      <c r="D250" s="2" t="s">
        <v>3833</v>
      </c>
      <c r="E250" s="1" t="s">
        <v>1624</v>
      </c>
      <c r="F250" s="3"/>
      <c r="G250" s="3"/>
      <c r="H250" s="3"/>
      <c r="I250" s="3"/>
      <c r="J250" s="3">
        <v>1.3742691532831099</v>
      </c>
      <c r="K250" s="3">
        <v>1.44500498863889</v>
      </c>
      <c r="L250" s="3">
        <v>1.5580013883106301</v>
      </c>
      <c r="M250" s="3">
        <v>1.7921222329769899</v>
      </c>
      <c r="N250" s="3">
        <v>2.39626574498031</v>
      </c>
      <c r="O250" s="3">
        <v>2.6559774856434002</v>
      </c>
      <c r="P250" s="3">
        <v>4.2024391904089704</v>
      </c>
      <c r="Q250" s="3">
        <v>4.24338290757093</v>
      </c>
      <c r="R250" s="3">
        <v>4.4969423227372696</v>
      </c>
      <c r="S250" s="3">
        <v>4.4612844013934501</v>
      </c>
      <c r="T250" s="3">
        <v>4.6499602893391296</v>
      </c>
      <c r="U250" s="3">
        <v>4.9306481043800199</v>
      </c>
      <c r="V250" s="3">
        <v>5.0510988253680598</v>
      </c>
      <c r="W250" s="3">
        <v>5.1879721036944204</v>
      </c>
      <c r="X250" s="3">
        <v>5.0437244999808497</v>
      </c>
      <c r="Y250" s="3">
        <v>4.9962365449589203</v>
      </c>
      <c r="Z250" s="3">
        <v>4.87074329411075</v>
      </c>
      <c r="AA250" s="3">
        <v>4.7396002353542901</v>
      </c>
      <c r="AB250" s="3">
        <v>4.19885052219563</v>
      </c>
      <c r="AC250" s="3"/>
      <c r="AD250" s="3"/>
      <c r="AE250" t="s">
        <v>5514</v>
      </c>
      <c r="AF250" s="4" t="s">
        <v>489</v>
      </c>
    </row>
    <row r="251" spans="1:32" ht="331.2" x14ac:dyDescent="0.3">
      <c r="A251" t="s">
        <v>1826</v>
      </c>
      <c r="B251" s="1" t="s">
        <v>1205</v>
      </c>
      <c r="C251" s="5" t="s">
        <v>2317</v>
      </c>
      <c r="D251" s="2" t="s">
        <v>3834</v>
      </c>
      <c r="E251" s="1" t="s">
        <v>1008</v>
      </c>
      <c r="F251" s="3">
        <v>-117763000</v>
      </c>
      <c r="G251" s="3">
        <v>-110000000</v>
      </c>
      <c r="H251" s="3">
        <v>-114409000</v>
      </c>
      <c r="I251" s="3">
        <v>-115000000</v>
      </c>
      <c r="J251" s="3">
        <v>-133348000</v>
      </c>
      <c r="K251" s="3">
        <v>-109352000</v>
      </c>
      <c r="L251" s="3">
        <v>-118675000</v>
      </c>
      <c r="M251" s="3">
        <v>-166696000</v>
      </c>
      <c r="N251" s="3">
        <v>79000000</v>
      </c>
      <c r="O251" s="3">
        <v>155000000</v>
      </c>
      <c r="P251" s="3">
        <v>195665000</v>
      </c>
      <c r="Q251" s="3">
        <v>207484000</v>
      </c>
      <c r="R251" s="3">
        <v>579354000</v>
      </c>
      <c r="S251" s="3">
        <v>-345675000</v>
      </c>
      <c r="T251" s="3">
        <v>-400660000</v>
      </c>
      <c r="U251" s="3">
        <v>-331520000</v>
      </c>
      <c r="V251" s="3">
        <v>-37682000</v>
      </c>
      <c r="W251" s="3">
        <v>-173480000</v>
      </c>
      <c r="X251" s="3">
        <v>575279000</v>
      </c>
      <c r="Y251" s="3">
        <v>1663340000</v>
      </c>
      <c r="Z251" s="3">
        <v>712915000</v>
      </c>
      <c r="AA251" s="3">
        <v>685410000</v>
      </c>
      <c r="AB251" s="3">
        <v>2077572000</v>
      </c>
      <c r="AC251" s="3">
        <v>281002000</v>
      </c>
      <c r="AD251" s="3"/>
      <c r="AE251" t="s">
        <v>5515</v>
      </c>
      <c r="AF251" s="4" t="s">
        <v>1435</v>
      </c>
    </row>
    <row r="252" spans="1:32" ht="100.8" x14ac:dyDescent="0.3">
      <c r="A252" t="s">
        <v>1826</v>
      </c>
      <c r="B252" s="1" t="s">
        <v>1205</v>
      </c>
      <c r="C252" s="5" t="s">
        <v>2318</v>
      </c>
      <c r="D252" s="2" t="s">
        <v>3835</v>
      </c>
      <c r="E252" s="1" t="s">
        <v>1244</v>
      </c>
      <c r="F252" s="3"/>
      <c r="G252" s="3"/>
      <c r="H252" s="3"/>
      <c r="I252" s="3"/>
      <c r="J252" s="3"/>
      <c r="K252" s="3">
        <v>799564368.93945801</v>
      </c>
      <c r="L252" s="3">
        <v>815769709.009799</v>
      </c>
      <c r="M252" s="3">
        <v>889761551.21237504</v>
      </c>
      <c r="N252" s="3">
        <v>990652562.72263002</v>
      </c>
      <c r="O252" s="3">
        <v>1014424440.5406661</v>
      </c>
      <c r="P252" s="3">
        <v>1027371677.8824279</v>
      </c>
      <c r="Q252" s="3">
        <v>871055576.58676398</v>
      </c>
      <c r="R252" s="3">
        <v>845976348.88923895</v>
      </c>
      <c r="S252" s="3">
        <v>789859414.114748</v>
      </c>
      <c r="T252" s="3">
        <v>758080096.24875402</v>
      </c>
      <c r="U252" s="3">
        <v>642975967.31271005</v>
      </c>
      <c r="V252" s="3">
        <v>789822317.07376599</v>
      </c>
      <c r="W252" s="3">
        <v>871549207.61569095</v>
      </c>
      <c r="X252" s="3">
        <v>1129530018.4597616</v>
      </c>
      <c r="Y252" s="3">
        <v>1120885271.5230315</v>
      </c>
      <c r="Z252" s="3">
        <v>701182039.6126107</v>
      </c>
      <c r="AA252" s="3">
        <v>875106932.01074982</v>
      </c>
      <c r="AB252" s="3">
        <v>869524900.97778761</v>
      </c>
      <c r="AC252" s="3"/>
      <c r="AD252" s="3"/>
      <c r="AE252" t="s">
        <v>5516</v>
      </c>
      <c r="AF252" s="4" t="s">
        <v>1807</v>
      </c>
    </row>
    <row r="253" spans="1:32" ht="100.8" x14ac:dyDescent="0.3">
      <c r="A253" t="s">
        <v>1826</v>
      </c>
      <c r="B253" s="1" t="s">
        <v>1205</v>
      </c>
      <c r="C253" s="5" t="s">
        <v>2319</v>
      </c>
      <c r="D253" s="2" t="s">
        <v>3836</v>
      </c>
      <c r="E253" s="1" t="s">
        <v>241</v>
      </c>
      <c r="F253" s="3"/>
      <c r="G253" s="3"/>
      <c r="H253" s="3"/>
      <c r="I253" s="3"/>
      <c r="J253" s="3"/>
      <c r="K253" s="3">
        <v>2130442985.019954</v>
      </c>
      <c r="L253" s="3">
        <v>2241009904.969553</v>
      </c>
      <c r="M253" s="3">
        <v>2426369680.5632849</v>
      </c>
      <c r="N253" s="3">
        <v>2676584089.3694448</v>
      </c>
      <c r="O253" s="3">
        <v>2618534975.6598701</v>
      </c>
      <c r="P253" s="3">
        <v>2742279630.1524138</v>
      </c>
      <c r="Q253" s="3">
        <v>2638497450.3254814</v>
      </c>
      <c r="R253" s="3">
        <v>2773278576.4294567</v>
      </c>
      <c r="S253" s="3">
        <v>3057357728.0571032</v>
      </c>
      <c r="T253" s="3">
        <v>2899554427.1951108</v>
      </c>
      <c r="U253" s="3">
        <v>2640528473.1018939</v>
      </c>
      <c r="V253" s="3">
        <v>2756464009.923841</v>
      </c>
      <c r="W253" s="3">
        <v>3187651226.5013108</v>
      </c>
      <c r="X253" s="3">
        <v>3385116667.1143074</v>
      </c>
      <c r="Y253" s="3">
        <v>3330963682.5801349</v>
      </c>
      <c r="Z253" s="3">
        <v>3064205930.0235481</v>
      </c>
      <c r="AA253" s="3">
        <v>3836783836.1648722</v>
      </c>
      <c r="AB253" s="3">
        <v>4637627778.7661114</v>
      </c>
      <c r="AC253" s="3"/>
      <c r="AD253" s="3"/>
      <c r="AE253" t="s">
        <v>5517</v>
      </c>
      <c r="AF253" s="4" t="s">
        <v>1807</v>
      </c>
    </row>
    <row r="254" spans="1:32" ht="230.4" x14ac:dyDescent="0.3">
      <c r="A254" t="s">
        <v>1826</v>
      </c>
      <c r="B254" s="1" t="s">
        <v>1205</v>
      </c>
      <c r="C254" s="5" t="s">
        <v>2320</v>
      </c>
      <c r="D254" s="2" t="s">
        <v>3837</v>
      </c>
      <c r="E254" s="1" t="s">
        <v>1029</v>
      </c>
      <c r="F254" s="3"/>
      <c r="G254" s="3"/>
      <c r="H254" s="3"/>
      <c r="I254" s="3"/>
      <c r="J254" s="3"/>
      <c r="K254" s="3">
        <v>61.006027726323772</v>
      </c>
      <c r="L254" s="3">
        <v>59.003390238520289</v>
      </c>
      <c r="M254" s="3">
        <v>60.014318966405241</v>
      </c>
      <c r="N254" s="3">
        <v>59.683235498328017</v>
      </c>
      <c r="O254" s="3">
        <v>57.167751214514595</v>
      </c>
      <c r="P254" s="3">
        <v>53.989979293356996</v>
      </c>
      <c r="Q254" s="3">
        <v>58.726480837844875</v>
      </c>
      <c r="R254" s="3">
        <v>58.957501202900296</v>
      </c>
      <c r="S254" s="3">
        <v>62.748608906953798</v>
      </c>
      <c r="T254" s="3">
        <v>62.411924372601021</v>
      </c>
      <c r="U254" s="3">
        <v>56.088776972227365</v>
      </c>
      <c r="V254" s="3">
        <v>35.741578968756762</v>
      </c>
      <c r="W254" s="3">
        <v>32.857103478282667</v>
      </c>
      <c r="X254" s="3">
        <v>23.053241152345649</v>
      </c>
      <c r="Y254" s="3">
        <v>22.701893964103661</v>
      </c>
      <c r="Z254" s="3">
        <v>30.26980010811004</v>
      </c>
      <c r="AA254" s="3">
        <v>25.288719637125773</v>
      </c>
      <c r="AB254" s="3">
        <v>18.496797396892433</v>
      </c>
      <c r="AC254" s="3"/>
      <c r="AD254" s="3"/>
      <c r="AE254" t="s">
        <v>5518</v>
      </c>
      <c r="AF254" s="4" t="s">
        <v>613</v>
      </c>
    </row>
    <row r="255" spans="1:32" ht="230.4" x14ac:dyDescent="0.3">
      <c r="A255" t="s">
        <v>1826</v>
      </c>
      <c r="B255" s="1" t="s">
        <v>1205</v>
      </c>
      <c r="C255" s="5" t="s">
        <v>2321</v>
      </c>
      <c r="D255" s="2" t="s">
        <v>3838</v>
      </c>
      <c r="E255" s="1" t="s">
        <v>1235</v>
      </c>
      <c r="F255" s="3"/>
      <c r="G255" s="3"/>
      <c r="H255" s="3"/>
      <c r="I255" s="3"/>
      <c r="J255" s="3"/>
      <c r="K255" s="3">
        <v>28.153504449534417</v>
      </c>
      <c r="L255" s="3">
        <v>28.201121618208912</v>
      </c>
      <c r="M255" s="3">
        <v>28.234278576499182</v>
      </c>
      <c r="N255" s="3">
        <v>26.267654956327796</v>
      </c>
      <c r="O255" s="3">
        <v>25.980156510989882</v>
      </c>
      <c r="P255" s="3">
        <v>26.190022160791855</v>
      </c>
      <c r="Q255" s="3">
        <v>20.57824746872274</v>
      </c>
      <c r="R255" s="3">
        <v>20.496228455324999</v>
      </c>
      <c r="S255" s="3">
        <v>23.424450309372684</v>
      </c>
      <c r="T255" s="3">
        <v>24.634877769324433</v>
      </c>
      <c r="U255" s="3">
        <v>24.292745685415191</v>
      </c>
      <c r="V255" s="3">
        <v>24.977757639965827</v>
      </c>
      <c r="W255" s="3">
        <v>19.887807598836343</v>
      </c>
      <c r="X255" s="3">
        <v>24.186631472583521</v>
      </c>
      <c r="Y255" s="3">
        <v>25.958824991086328</v>
      </c>
      <c r="Z255" s="3">
        <v>28.126903063935327</v>
      </c>
      <c r="AA255" s="3">
        <v>27.993867284936798</v>
      </c>
      <c r="AB255" s="3">
        <v>32.986794974120258</v>
      </c>
      <c r="AC255" s="3"/>
      <c r="AD255" s="3"/>
      <c r="AE255" t="s">
        <v>5519</v>
      </c>
      <c r="AF255" s="4" t="s">
        <v>613</v>
      </c>
    </row>
    <row r="256" spans="1:32" ht="345.6" x14ac:dyDescent="0.3">
      <c r="A256" t="s">
        <v>1826</v>
      </c>
      <c r="B256" s="1" t="s">
        <v>1205</v>
      </c>
      <c r="C256" s="5" t="s">
        <v>2322</v>
      </c>
      <c r="D256" s="2" t="s">
        <v>3839</v>
      </c>
      <c r="E256" s="1" t="s">
        <v>649</v>
      </c>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t="s">
        <v>5520</v>
      </c>
      <c r="AF256" s="4" t="s">
        <v>1437</v>
      </c>
    </row>
    <row r="257" spans="1:32" ht="86.4" x14ac:dyDescent="0.3">
      <c r="A257" t="s">
        <v>1826</v>
      </c>
      <c r="B257" s="1" t="s">
        <v>1205</v>
      </c>
      <c r="C257" s="5" t="s">
        <v>2323</v>
      </c>
      <c r="D257" s="2" t="s">
        <v>3840</v>
      </c>
      <c r="E257" s="1" t="s">
        <v>1007</v>
      </c>
      <c r="F257" s="3"/>
      <c r="G257" s="3">
        <v>47.404159142632189</v>
      </c>
      <c r="H257" s="3">
        <v>46.022092939436931</v>
      </c>
      <c r="I257" s="3">
        <v>42.415664071715028</v>
      </c>
      <c r="J257" s="3">
        <v>43.555981166706573</v>
      </c>
      <c r="K257" s="3">
        <v>42.224387319193582</v>
      </c>
      <c r="L257" s="3">
        <v>45.75731697849546</v>
      </c>
      <c r="M257" s="3">
        <v>43.635868083946576</v>
      </c>
      <c r="N257" s="3">
        <v>42.492089079945075</v>
      </c>
      <c r="O257" s="3">
        <v>44.611846990347075</v>
      </c>
      <c r="P257" s="3">
        <v>43.582002602479434</v>
      </c>
      <c r="Q257" s="3">
        <v>43.316563560648</v>
      </c>
      <c r="R257" s="3">
        <v>44.542647184971266</v>
      </c>
      <c r="S257" s="3">
        <v>49.535825144115925</v>
      </c>
      <c r="T257" s="3">
        <v>53.237913819056324</v>
      </c>
      <c r="U257" s="3">
        <v>33.396344351802185</v>
      </c>
      <c r="V257" s="3">
        <v>33.27638225056986</v>
      </c>
      <c r="W257" s="3">
        <v>30.330965672447306</v>
      </c>
      <c r="X257" s="3">
        <v>30.973883672210061</v>
      </c>
      <c r="Y257" s="3">
        <v>32.37619236626405</v>
      </c>
      <c r="Z257" s="3">
        <v>28.722827229502023</v>
      </c>
      <c r="AA257" s="3">
        <v>25.628402366342474</v>
      </c>
      <c r="AB257" s="3">
        <v>22.455446622343779</v>
      </c>
      <c r="AC257" s="3">
        <v>23.339079717437176</v>
      </c>
      <c r="AD257" s="3"/>
      <c r="AE257" t="s">
        <v>5521</v>
      </c>
      <c r="AF257" s="4" t="s">
        <v>115</v>
      </c>
    </row>
    <row r="258" spans="1:32" ht="86.4" x14ac:dyDescent="0.3">
      <c r="A258" t="s">
        <v>1826</v>
      </c>
      <c r="B258" s="1" t="s">
        <v>1205</v>
      </c>
      <c r="C258" s="5" t="s">
        <v>2324</v>
      </c>
      <c r="D258" s="2" t="s">
        <v>3841</v>
      </c>
      <c r="E258" s="1" t="s">
        <v>1829</v>
      </c>
      <c r="F258" s="3"/>
      <c r="G258" s="3">
        <v>484078000000</v>
      </c>
      <c r="H258" s="3">
        <v>523528000000</v>
      </c>
      <c r="I258" s="3">
        <v>539400000000</v>
      </c>
      <c r="J258" s="3">
        <v>545800000000</v>
      </c>
      <c r="K258" s="3">
        <v>563400000000</v>
      </c>
      <c r="L258" s="3">
        <v>589400000000</v>
      </c>
      <c r="M258" s="3">
        <v>640400000000</v>
      </c>
      <c r="N258" s="3">
        <v>711700000000</v>
      </c>
      <c r="O258" s="3">
        <v>745000000000</v>
      </c>
      <c r="P258" s="3">
        <v>800475000000</v>
      </c>
      <c r="Q258" s="3">
        <v>719800000000</v>
      </c>
      <c r="R258" s="3">
        <v>934674000000</v>
      </c>
      <c r="S258" s="3">
        <v>1038900000000</v>
      </c>
      <c r="T258" s="3">
        <v>1183300000000</v>
      </c>
      <c r="U258" s="3">
        <v>1217083000000</v>
      </c>
      <c r="V258" s="3">
        <v>1279169000000</v>
      </c>
      <c r="W258" s="3">
        <v>1382379040506</v>
      </c>
      <c r="X258" s="3">
        <v>1483784687729</v>
      </c>
      <c r="Y258" s="3">
        <v>1560900000000</v>
      </c>
      <c r="Z258" s="3">
        <v>1670550000000</v>
      </c>
      <c r="AA258" s="3">
        <v>1694300000000</v>
      </c>
      <c r="AB258" s="3">
        <v>1829212000000</v>
      </c>
      <c r="AC258" s="3">
        <v>2044878000000</v>
      </c>
      <c r="AD258" s="3"/>
      <c r="AE258" t="s">
        <v>5522</v>
      </c>
      <c r="AF258" s="4" t="s">
        <v>115</v>
      </c>
    </row>
    <row r="259" spans="1:32" ht="86.4" x14ac:dyDescent="0.3">
      <c r="A259" t="s">
        <v>1826</v>
      </c>
      <c r="B259" s="1" t="s">
        <v>1205</v>
      </c>
      <c r="C259" s="5" t="s">
        <v>2325</v>
      </c>
      <c r="D259" s="2" t="s">
        <v>3842</v>
      </c>
      <c r="E259" s="1" t="s">
        <v>949</v>
      </c>
      <c r="F259" s="3"/>
      <c r="G259" s="3"/>
      <c r="H259" s="3"/>
      <c r="I259" s="3"/>
      <c r="J259" s="3"/>
      <c r="K259" s="3">
        <v>49.3</v>
      </c>
      <c r="L259" s="3">
        <v>55</v>
      </c>
      <c r="M259" s="3"/>
      <c r="N259" s="3"/>
      <c r="O259" s="3"/>
      <c r="P259" s="3"/>
      <c r="Q259" s="3"/>
      <c r="R259" s="3">
        <v>65</v>
      </c>
      <c r="S259" s="3"/>
      <c r="T259" s="3"/>
      <c r="U259" s="3"/>
      <c r="V259" s="3">
        <v>71.7</v>
      </c>
      <c r="W259" s="3"/>
      <c r="X259" s="3"/>
      <c r="Y259" s="3"/>
      <c r="Z259" s="3"/>
      <c r="AA259" s="3"/>
      <c r="AB259" s="3"/>
      <c r="AC259" s="3"/>
      <c r="AD259" s="3"/>
      <c r="AE259" t="s">
        <v>5523</v>
      </c>
      <c r="AF259" s="4" t="s">
        <v>504</v>
      </c>
    </row>
    <row r="260" spans="1:32" ht="129.6" x14ac:dyDescent="0.3">
      <c r="A260" t="s">
        <v>1826</v>
      </c>
      <c r="B260" s="1" t="s">
        <v>1205</v>
      </c>
      <c r="C260" s="5" t="s">
        <v>2326</v>
      </c>
      <c r="D260" s="2" t="s">
        <v>3843</v>
      </c>
      <c r="E260" s="1" t="s">
        <v>1541</v>
      </c>
      <c r="F260" s="3"/>
      <c r="G260" s="3"/>
      <c r="H260" s="3"/>
      <c r="I260" s="3"/>
      <c r="J260" s="3"/>
      <c r="K260" s="3">
        <v>50</v>
      </c>
      <c r="L260" s="3"/>
      <c r="M260" s="3"/>
      <c r="N260" s="3"/>
      <c r="O260" s="3"/>
      <c r="P260" s="3"/>
      <c r="Q260" s="3"/>
      <c r="R260" s="3">
        <v>64.7</v>
      </c>
      <c r="S260" s="3"/>
      <c r="T260" s="3"/>
      <c r="U260" s="3"/>
      <c r="V260" s="3">
        <v>70.900000000000006</v>
      </c>
      <c r="W260" s="3"/>
      <c r="X260" s="3"/>
      <c r="Y260" s="3"/>
      <c r="Z260" s="3"/>
      <c r="AA260" s="3"/>
      <c r="AB260" s="3"/>
      <c r="AC260" s="3"/>
      <c r="AD260" s="3"/>
      <c r="AE260" t="s">
        <v>5523</v>
      </c>
      <c r="AF260" s="4" t="s">
        <v>1192</v>
      </c>
    </row>
    <row r="261" spans="1:32" ht="86.4" x14ac:dyDescent="0.3">
      <c r="A261" t="s">
        <v>1826</v>
      </c>
      <c r="B261" s="1" t="s">
        <v>1205</v>
      </c>
      <c r="C261" s="5" t="s">
        <v>2327</v>
      </c>
      <c r="D261" s="2" t="s">
        <v>3844</v>
      </c>
      <c r="E261" s="1" t="s">
        <v>1743</v>
      </c>
      <c r="F261" s="3"/>
      <c r="G261" s="3"/>
      <c r="H261" s="3"/>
      <c r="I261" s="3"/>
      <c r="J261" s="3"/>
      <c r="K261" s="3">
        <v>48.6</v>
      </c>
      <c r="L261" s="3"/>
      <c r="M261" s="3"/>
      <c r="N261" s="3"/>
      <c r="O261" s="3"/>
      <c r="P261" s="3"/>
      <c r="Q261" s="3"/>
      <c r="R261" s="3">
        <v>65.2</v>
      </c>
      <c r="S261" s="3"/>
      <c r="T261" s="3"/>
      <c r="U261" s="3"/>
      <c r="V261" s="3">
        <v>75.2</v>
      </c>
      <c r="W261" s="3"/>
      <c r="X261" s="3"/>
      <c r="Y261" s="3"/>
      <c r="Z261" s="3"/>
      <c r="AA261" s="3"/>
      <c r="AB261" s="3"/>
      <c r="AC261" s="3"/>
      <c r="AD261" s="3"/>
      <c r="AE261" t="s">
        <v>5523</v>
      </c>
      <c r="AF261" s="4" t="s">
        <v>504</v>
      </c>
    </row>
    <row r="262" spans="1:32" ht="86.4" x14ac:dyDescent="0.3">
      <c r="A262" t="s">
        <v>1826</v>
      </c>
      <c r="B262" s="1" t="s">
        <v>1205</v>
      </c>
      <c r="C262" s="5" t="s">
        <v>2328</v>
      </c>
      <c r="D262" s="2" t="s">
        <v>3845</v>
      </c>
      <c r="E262" s="1" t="s">
        <v>1477</v>
      </c>
      <c r="F262" s="3"/>
      <c r="G262" s="3"/>
      <c r="H262" s="3"/>
      <c r="I262" s="3"/>
      <c r="J262" s="3"/>
      <c r="K262" s="3">
        <v>36.299999999999997</v>
      </c>
      <c r="L262" s="3">
        <v>40.5</v>
      </c>
      <c r="M262" s="3"/>
      <c r="N262" s="3"/>
      <c r="O262" s="3"/>
      <c r="P262" s="3"/>
      <c r="Q262" s="3"/>
      <c r="R262" s="3">
        <v>53.6</v>
      </c>
      <c r="S262" s="3"/>
      <c r="T262" s="3"/>
      <c r="U262" s="3"/>
      <c r="V262" s="3">
        <v>60.1</v>
      </c>
      <c r="W262" s="3"/>
      <c r="X262" s="3"/>
      <c r="Y262" s="3"/>
      <c r="Z262" s="3"/>
      <c r="AA262" s="3"/>
      <c r="AB262" s="3"/>
      <c r="AC262" s="3"/>
      <c r="AD262" s="3"/>
      <c r="AE262" t="s">
        <v>5523</v>
      </c>
      <c r="AF262" s="4" t="s">
        <v>504</v>
      </c>
    </row>
    <row r="263" spans="1:32" ht="86.4" x14ac:dyDescent="0.3">
      <c r="A263" t="s">
        <v>1826</v>
      </c>
      <c r="B263" s="1" t="s">
        <v>1205</v>
      </c>
      <c r="C263" s="5" t="s">
        <v>2329</v>
      </c>
      <c r="D263" s="2" t="s">
        <v>3846</v>
      </c>
      <c r="E263" s="1" t="s">
        <v>861</v>
      </c>
      <c r="F263" s="3"/>
      <c r="G263" s="3"/>
      <c r="H263" s="3"/>
      <c r="I263" s="3"/>
      <c r="J263" s="3"/>
      <c r="K263" s="3">
        <v>70.900000000000006</v>
      </c>
      <c r="L263" s="3">
        <v>79.3</v>
      </c>
      <c r="M263" s="3"/>
      <c r="N263" s="3"/>
      <c r="O263" s="3"/>
      <c r="P263" s="3"/>
      <c r="Q263" s="3"/>
      <c r="R263" s="3">
        <v>84.5</v>
      </c>
      <c r="S263" s="3"/>
      <c r="T263" s="3"/>
      <c r="U263" s="3"/>
      <c r="V263" s="3">
        <v>89.8</v>
      </c>
      <c r="W263" s="3"/>
      <c r="X263" s="3"/>
      <c r="Y263" s="3"/>
      <c r="Z263" s="3"/>
      <c r="AA263" s="3"/>
      <c r="AB263" s="3"/>
      <c r="AC263" s="3"/>
      <c r="AD263" s="3"/>
      <c r="AE263" t="s">
        <v>5523</v>
      </c>
      <c r="AF263" s="4" t="s">
        <v>504</v>
      </c>
    </row>
    <row r="264" spans="1:32" ht="86.4" x14ac:dyDescent="0.3">
      <c r="A264" t="s">
        <v>1826</v>
      </c>
      <c r="B264" s="1" t="s">
        <v>1205</v>
      </c>
      <c r="C264" s="5" t="s">
        <v>2330</v>
      </c>
      <c r="D264" s="2" t="s">
        <v>3847</v>
      </c>
      <c r="E264" s="1" t="s">
        <v>864</v>
      </c>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t="s">
        <v>5524</v>
      </c>
      <c r="AF264" s="4" t="s">
        <v>1961</v>
      </c>
    </row>
    <row r="265" spans="1:32" ht="144" x14ac:dyDescent="0.3">
      <c r="A265" t="s">
        <v>1826</v>
      </c>
      <c r="B265" s="1" t="s">
        <v>1205</v>
      </c>
      <c r="C265" s="5" t="s">
        <v>2331</v>
      </c>
      <c r="D265" s="2" t="s">
        <v>3848</v>
      </c>
      <c r="E265" s="1" t="s">
        <v>572</v>
      </c>
      <c r="F265" s="3">
        <v>10</v>
      </c>
      <c r="G265" s="3">
        <v>10</v>
      </c>
      <c r="H265" s="3">
        <v>10</v>
      </c>
      <c r="I265" s="3">
        <v>10</v>
      </c>
      <c r="J265" s="3">
        <v>10</v>
      </c>
      <c r="K265" s="3">
        <v>10</v>
      </c>
      <c r="L265" s="3">
        <v>10</v>
      </c>
      <c r="M265" s="3">
        <v>10</v>
      </c>
      <c r="N265" s="3">
        <v>10</v>
      </c>
      <c r="O265" s="3">
        <v>10</v>
      </c>
      <c r="P265" s="3">
        <v>10</v>
      </c>
      <c r="Q265" s="3">
        <v>10</v>
      </c>
      <c r="R265" s="3">
        <v>10</v>
      </c>
      <c r="S265" s="3">
        <v>10</v>
      </c>
      <c r="T265" s="3">
        <v>10</v>
      </c>
      <c r="U265" s="3">
        <v>10</v>
      </c>
      <c r="V265" s="3">
        <v>10</v>
      </c>
      <c r="W265" s="3">
        <v>10</v>
      </c>
      <c r="X265" s="3">
        <v>10</v>
      </c>
      <c r="Y265" s="3">
        <v>10</v>
      </c>
      <c r="Z265" s="3">
        <v>10</v>
      </c>
      <c r="AA265" s="3">
        <v>10</v>
      </c>
      <c r="AB265" s="3">
        <v>10</v>
      </c>
      <c r="AC265" s="3">
        <v>10</v>
      </c>
      <c r="AD265" s="3"/>
      <c r="AE265" t="s">
        <v>5525</v>
      </c>
      <c r="AF265" s="4" t="s">
        <v>348</v>
      </c>
    </row>
    <row r="266" spans="1:32" ht="100.8" x14ac:dyDescent="0.3">
      <c r="A266" t="s">
        <v>1826</v>
      </c>
      <c r="B266" s="1" t="s">
        <v>1205</v>
      </c>
      <c r="C266" s="5" t="s">
        <v>2332</v>
      </c>
      <c r="D266" s="2" t="s">
        <v>3849</v>
      </c>
      <c r="E266" s="1" t="s">
        <v>809</v>
      </c>
      <c r="F266" s="3"/>
      <c r="G266" s="3"/>
      <c r="H266" s="3"/>
      <c r="I266" s="3"/>
      <c r="J266" s="3"/>
      <c r="K266" s="3">
        <v>55.021977005386958</v>
      </c>
      <c r="L266" s="3">
        <v>52.660267164735913</v>
      </c>
      <c r="M266" s="3">
        <v>53.530684326402053</v>
      </c>
      <c r="N266" s="3">
        <v>53.410264160485212</v>
      </c>
      <c r="O266" s="3">
        <v>50.898206457161542</v>
      </c>
      <c r="P266" s="3">
        <v>47.528748854489407</v>
      </c>
      <c r="Q266" s="3">
        <v>51.826561921747619</v>
      </c>
      <c r="R266" s="3">
        <v>52.260851685504974</v>
      </c>
      <c r="S266" s="3">
        <v>55.900776819372872</v>
      </c>
      <c r="T266" s="3">
        <v>55.791945404534388</v>
      </c>
      <c r="U266" s="3">
        <v>48.495201808641248</v>
      </c>
      <c r="V266" s="3">
        <v>26.001791164140045</v>
      </c>
      <c r="W266" s="3">
        <v>26.918669286141494</v>
      </c>
      <c r="X266" s="3">
        <v>24.483988538578885</v>
      </c>
      <c r="Y266" s="3">
        <v>24.395285475281881</v>
      </c>
      <c r="Z266" s="3">
        <v>30.941427701939929</v>
      </c>
      <c r="AA266" s="3">
        <v>26.095674718970685</v>
      </c>
      <c r="AB266" s="3">
        <v>18.750706516938436</v>
      </c>
      <c r="AC266" s="3"/>
      <c r="AD266" s="3"/>
      <c r="AE266" t="s">
        <v>5526</v>
      </c>
      <c r="AF266" s="4" t="s">
        <v>1807</v>
      </c>
    </row>
    <row r="267" spans="1:32" ht="100.8" x14ac:dyDescent="0.3">
      <c r="A267" t="s">
        <v>1826</v>
      </c>
      <c r="B267" s="1" t="s">
        <v>1205</v>
      </c>
      <c r="C267" s="5" t="s">
        <v>2333</v>
      </c>
      <c r="D267" s="2" t="s">
        <v>3850</v>
      </c>
      <c r="E267" s="1" t="s">
        <v>1828</v>
      </c>
      <c r="F267" s="3"/>
      <c r="G267" s="3"/>
      <c r="H267" s="3"/>
      <c r="I267" s="3"/>
      <c r="J267" s="3"/>
      <c r="K267" s="3">
        <v>23.483781465986624</v>
      </c>
      <c r="L267" s="3">
        <v>23.690744737824019</v>
      </c>
      <c r="M267" s="3">
        <v>21.916754081357695</v>
      </c>
      <c r="N267" s="3">
        <v>21.796208325003846</v>
      </c>
      <c r="O267" s="3">
        <v>22.55662753699356</v>
      </c>
      <c r="P267" s="3">
        <v>20.202538783219424</v>
      </c>
      <c r="Q267" s="3">
        <v>22.330488144082054</v>
      </c>
      <c r="R267" s="3">
        <v>16.61408373860327</v>
      </c>
      <c r="S267" s="3">
        <v>20.255311132215311</v>
      </c>
      <c r="T267" s="3">
        <v>20.642687997962526</v>
      </c>
      <c r="U267" s="3">
        <v>20.465151179172608</v>
      </c>
      <c r="V267" s="3">
        <v>33.093124406392221</v>
      </c>
      <c r="W267" s="3">
        <v>35.475671380979662</v>
      </c>
      <c r="X267" s="3">
        <v>29.200829107791364</v>
      </c>
      <c r="Y267" s="3">
        <v>30.951381870567232</v>
      </c>
      <c r="Z267" s="3">
        <v>32.24396129070513</v>
      </c>
      <c r="AA267" s="3">
        <v>26.901182454057562</v>
      </c>
      <c r="AB267" s="3">
        <v>31.721942628893117</v>
      </c>
      <c r="AC267" s="3"/>
      <c r="AD267" s="3"/>
      <c r="AE267" t="s">
        <v>5527</v>
      </c>
      <c r="AF267" s="4" t="s">
        <v>1807</v>
      </c>
    </row>
    <row r="268" spans="1:32" ht="43.2" x14ac:dyDescent="0.3">
      <c r="A268" t="s">
        <v>1826</v>
      </c>
      <c r="B268" s="1" t="s">
        <v>1205</v>
      </c>
      <c r="C268" s="5" t="s">
        <v>2334</v>
      </c>
      <c r="D268" s="2" t="s">
        <v>3851</v>
      </c>
      <c r="E268" s="1" t="s">
        <v>1144</v>
      </c>
      <c r="F268" s="3"/>
      <c r="G268" s="3"/>
      <c r="H268" s="3"/>
      <c r="I268" s="3"/>
      <c r="J268" s="3"/>
      <c r="K268" s="3">
        <v>24.4</v>
      </c>
      <c r="L268" s="3"/>
      <c r="M268" s="3"/>
      <c r="N268" s="3"/>
      <c r="O268" s="3"/>
      <c r="P268" s="3"/>
      <c r="Q268" s="3"/>
      <c r="R268" s="3">
        <v>23.1</v>
      </c>
      <c r="S268" s="3"/>
      <c r="T268" s="3"/>
      <c r="U268" s="3"/>
      <c r="V268" s="3"/>
      <c r="W268" s="3"/>
      <c r="X268" s="3"/>
      <c r="Y268" s="3"/>
      <c r="Z268" s="3"/>
      <c r="AA268" s="3"/>
      <c r="AB268" s="3"/>
      <c r="AC268" s="3"/>
      <c r="AD268" s="3"/>
      <c r="AE268" t="s">
        <v>5528</v>
      </c>
      <c r="AF268" s="4" t="s">
        <v>721</v>
      </c>
    </row>
    <row r="269" spans="1:32" ht="43.2" x14ac:dyDescent="0.3">
      <c r="A269" t="s">
        <v>1826</v>
      </c>
      <c r="B269" s="1" t="s">
        <v>1205</v>
      </c>
      <c r="C269" s="5" t="s">
        <v>2335</v>
      </c>
      <c r="D269" s="2" t="s">
        <v>3852</v>
      </c>
      <c r="E269" s="1" t="s">
        <v>1314</v>
      </c>
      <c r="F269" s="3"/>
      <c r="G269" s="3"/>
      <c r="H269" s="3"/>
      <c r="I269" s="3"/>
      <c r="J269" s="3"/>
      <c r="K269" s="3">
        <v>49.1</v>
      </c>
      <c r="L269" s="3"/>
      <c r="M269" s="3"/>
      <c r="N269" s="3"/>
      <c r="O269" s="3"/>
      <c r="P269" s="3"/>
      <c r="Q269" s="3"/>
      <c r="R269" s="3">
        <v>55.1</v>
      </c>
      <c r="S269" s="3"/>
      <c r="T269" s="3"/>
      <c r="U269" s="3"/>
      <c r="V269" s="3"/>
      <c r="W269" s="3"/>
      <c r="X269" s="3"/>
      <c r="Y269" s="3"/>
      <c r="Z269" s="3"/>
      <c r="AA269" s="3"/>
      <c r="AB269" s="3"/>
      <c r="AC269" s="3"/>
      <c r="AD269" s="3"/>
      <c r="AE269" t="s">
        <v>5529</v>
      </c>
      <c r="AF269" s="4" t="s">
        <v>721</v>
      </c>
    </row>
    <row r="270" spans="1:32" ht="72" x14ac:dyDescent="0.3">
      <c r="A270" t="s">
        <v>1826</v>
      </c>
      <c r="B270" s="1" t="s">
        <v>1205</v>
      </c>
      <c r="C270" s="5" t="s">
        <v>2336</v>
      </c>
      <c r="D270" s="2" t="s">
        <v>3853</v>
      </c>
      <c r="E270" s="1" t="s">
        <v>753</v>
      </c>
      <c r="F270" s="3">
        <v>75.227200607352898</v>
      </c>
      <c r="G270" s="3">
        <v>78.5082568831034</v>
      </c>
      <c r="H270" s="3">
        <v>80.9241638777508</v>
      </c>
      <c r="I270" s="3">
        <v>83.592077757298895</v>
      </c>
      <c r="J270" s="3">
        <v>84.810840517544904</v>
      </c>
      <c r="K270" s="3">
        <v>88.106445939908397</v>
      </c>
      <c r="L270" s="3">
        <v>90.280200672727901</v>
      </c>
      <c r="M270" s="3">
        <v>91.988307751236704</v>
      </c>
      <c r="N270" s="3">
        <v>97.791415618689399</v>
      </c>
      <c r="O270" s="3">
        <v>98.788403577139505</v>
      </c>
      <c r="P270" s="3">
        <v>100</v>
      </c>
      <c r="Q270" s="3">
        <v>104.912433950525</v>
      </c>
      <c r="R270" s="3">
        <v>106.281028400716</v>
      </c>
      <c r="S270" s="3">
        <v>109.024322817415</v>
      </c>
      <c r="T270" s="3">
        <v>109.513495413212</v>
      </c>
      <c r="U270" s="3">
        <v>110.88405631310501</v>
      </c>
      <c r="V270" s="3">
        <v>111.685945921178</v>
      </c>
      <c r="W270" s="3">
        <v>112.451978676858</v>
      </c>
      <c r="X270" s="3">
        <v>112.856141244189</v>
      </c>
      <c r="Y270" s="3">
        <v>111.606977877028</v>
      </c>
      <c r="Z270" s="3">
        <v>114.31345442113501</v>
      </c>
      <c r="AA270" s="3">
        <v>118.99110598776601</v>
      </c>
      <c r="AB270" s="3">
        <v>125.269275743533</v>
      </c>
      <c r="AC270" s="3">
        <v>130.76498552318401</v>
      </c>
      <c r="AD270" s="3">
        <v>135.29778786651801</v>
      </c>
      <c r="AE270" t="s">
        <v>5530</v>
      </c>
      <c r="AF270" s="4" t="s">
        <v>1925</v>
      </c>
    </row>
    <row r="271" spans="1:32" ht="28.8" x14ac:dyDescent="0.3">
      <c r="A271" t="s">
        <v>1826</v>
      </c>
      <c r="B271" s="1" t="s">
        <v>1205</v>
      </c>
      <c r="C271" s="5" t="s">
        <v>2337</v>
      </c>
      <c r="D271" s="2" t="s">
        <v>3854</v>
      </c>
      <c r="E271" s="1" t="s">
        <v>448</v>
      </c>
      <c r="F271" s="3">
        <v>68.8</v>
      </c>
      <c r="G271" s="3"/>
      <c r="H271" s="3"/>
      <c r="I271" s="3"/>
      <c r="J271" s="3"/>
      <c r="K271" s="3"/>
      <c r="L271" s="3"/>
      <c r="M271" s="3"/>
      <c r="N271" s="3"/>
      <c r="O271" s="3"/>
      <c r="P271" s="3"/>
      <c r="Q271" s="3"/>
      <c r="R271" s="3">
        <v>81.8</v>
      </c>
      <c r="S271" s="3"/>
      <c r="T271" s="3"/>
      <c r="U271" s="3"/>
      <c r="V271" s="3">
        <v>79.7</v>
      </c>
      <c r="W271" s="3"/>
      <c r="X271" s="3"/>
      <c r="Y271" s="3"/>
      <c r="Z271" s="3"/>
      <c r="AA271" s="3"/>
      <c r="AB271" s="3"/>
      <c r="AC271" s="3"/>
      <c r="AD271" s="3"/>
      <c r="AE271" t="s">
        <v>5531</v>
      </c>
      <c r="AF271" s="4" t="s">
        <v>855</v>
      </c>
    </row>
    <row r="272" spans="1:32" ht="100.8" x14ac:dyDescent="0.3">
      <c r="A272" t="s">
        <v>1826</v>
      </c>
      <c r="B272" s="1" t="s">
        <v>1205</v>
      </c>
      <c r="C272" s="5" t="s">
        <v>2338</v>
      </c>
      <c r="D272" s="2" t="s">
        <v>3855</v>
      </c>
      <c r="E272" s="1" t="s">
        <v>760</v>
      </c>
      <c r="F272" s="3">
        <v>434422</v>
      </c>
      <c r="G272" s="3">
        <v>543845</v>
      </c>
      <c r="H272" s="3">
        <v>579060</v>
      </c>
      <c r="I272" s="3">
        <v>612546</v>
      </c>
      <c r="J272" s="3">
        <v>670000</v>
      </c>
      <c r="K272" s="3">
        <v>710000</v>
      </c>
      <c r="L272" s="3"/>
      <c r="M272" s="3">
        <v>590306</v>
      </c>
      <c r="N272" s="3">
        <v>713625</v>
      </c>
      <c r="O272" s="3">
        <v>677029</v>
      </c>
      <c r="P272" s="3">
        <v>717700</v>
      </c>
      <c r="Q272" s="3">
        <v>766071</v>
      </c>
      <c r="R272" s="3">
        <v>880104</v>
      </c>
      <c r="S272" s="3">
        <v>983188</v>
      </c>
      <c r="T272" s="3">
        <v>991767</v>
      </c>
      <c r="U272" s="3">
        <v>927379</v>
      </c>
      <c r="V272" s="3">
        <v>885750</v>
      </c>
      <c r="W272" s="3">
        <v>907646</v>
      </c>
      <c r="X272" s="3">
        <v>924596</v>
      </c>
      <c r="Y272" s="3">
        <v>994646</v>
      </c>
      <c r="Z272" s="3">
        <v>979517</v>
      </c>
      <c r="AA272" s="3">
        <v>1042418</v>
      </c>
      <c r="AB272" s="3"/>
      <c r="AC272" s="3"/>
      <c r="AD272" s="3"/>
      <c r="AE272" t="s">
        <v>5532</v>
      </c>
      <c r="AF272" s="4" t="s">
        <v>1907</v>
      </c>
    </row>
    <row r="273" spans="1:32" ht="100.8" x14ac:dyDescent="0.3">
      <c r="A273" t="s">
        <v>1826</v>
      </c>
      <c r="B273" s="1" t="s">
        <v>1205</v>
      </c>
      <c r="C273" s="5" t="s">
        <v>2339</v>
      </c>
      <c r="D273" s="2" t="s">
        <v>3856</v>
      </c>
      <c r="E273" s="1" t="s">
        <v>1467</v>
      </c>
      <c r="F273" s="3"/>
      <c r="G273" s="3"/>
      <c r="H273" s="3"/>
      <c r="I273" s="3"/>
      <c r="J273" s="3"/>
      <c r="K273" s="3"/>
      <c r="L273" s="3">
        <v>14.60509609</v>
      </c>
      <c r="M273" s="3"/>
      <c r="N273" s="3"/>
      <c r="O273" s="3"/>
      <c r="P273" s="3"/>
      <c r="Q273" s="3"/>
      <c r="R273" s="3">
        <v>18.2</v>
      </c>
      <c r="S273" s="3"/>
      <c r="T273" s="3"/>
      <c r="U273" s="3"/>
      <c r="V273" s="3">
        <v>15.499888950000001</v>
      </c>
      <c r="W273" s="3">
        <v>22.2671897514271</v>
      </c>
      <c r="X273" s="3">
        <v>21.488061240503299</v>
      </c>
      <c r="Y273" s="3"/>
      <c r="Z273" s="3">
        <v>25.537330440752701</v>
      </c>
      <c r="AA273" s="3">
        <v>21</v>
      </c>
      <c r="AB273" s="3">
        <v>31.9711571456027</v>
      </c>
      <c r="AC273" s="3"/>
      <c r="AD273" s="3"/>
      <c r="AE273" t="s">
        <v>5533</v>
      </c>
      <c r="AF273" s="4" t="s">
        <v>434</v>
      </c>
    </row>
    <row r="274" spans="1:32" ht="144" x14ac:dyDescent="0.3">
      <c r="A274" t="s">
        <v>1826</v>
      </c>
      <c r="B274" s="1" t="s">
        <v>1205</v>
      </c>
      <c r="C274" s="5" t="s">
        <v>2340</v>
      </c>
      <c r="D274" s="2" t="s">
        <v>3857</v>
      </c>
      <c r="E274" s="1" t="s">
        <v>1377</v>
      </c>
      <c r="F274" s="3"/>
      <c r="G274" s="3"/>
      <c r="H274" s="3"/>
      <c r="I274" s="3"/>
      <c r="J274" s="3"/>
      <c r="K274" s="3"/>
      <c r="L274" s="3">
        <v>11.03054163</v>
      </c>
      <c r="M274" s="3"/>
      <c r="N274" s="3"/>
      <c r="O274" s="3"/>
      <c r="P274" s="3"/>
      <c r="Q274" s="3"/>
      <c r="R274" s="3">
        <v>12.5</v>
      </c>
      <c r="S274" s="3"/>
      <c r="T274" s="3"/>
      <c r="U274" s="3"/>
      <c r="V274" s="3">
        <v>14.262240670000001</v>
      </c>
      <c r="W274" s="3">
        <v>18.149370022785298</v>
      </c>
      <c r="X274" s="3">
        <v>17.805461426923301</v>
      </c>
      <c r="Y274" s="3"/>
      <c r="Z274" s="3">
        <v>19.616069685290899</v>
      </c>
      <c r="AA274" s="3">
        <v>17.899999999999999</v>
      </c>
      <c r="AB274" s="3">
        <v>25.151765242875001</v>
      </c>
      <c r="AC274" s="3"/>
      <c r="AD274" s="3"/>
      <c r="AE274" t="s">
        <v>5534</v>
      </c>
      <c r="AF274" s="4" t="s">
        <v>1857</v>
      </c>
    </row>
    <row r="275" spans="1:32" ht="230.4" x14ac:dyDescent="0.3">
      <c r="A275" t="s">
        <v>1826</v>
      </c>
      <c r="B275" s="1" t="s">
        <v>1205</v>
      </c>
      <c r="C275" s="5" t="s">
        <v>2341</v>
      </c>
      <c r="D275" s="2" t="s">
        <v>3858</v>
      </c>
      <c r="E275" s="1" t="s">
        <v>1503</v>
      </c>
      <c r="F275" s="3">
        <v>35.728850901246098</v>
      </c>
      <c r="G275" s="3">
        <v>35.1963461440914</v>
      </c>
      <c r="H275" s="3">
        <v>34.925491290283901</v>
      </c>
      <c r="I275" s="3">
        <v>34.662791273193797</v>
      </c>
      <c r="J275" s="3">
        <v>34.078042265727802</v>
      </c>
      <c r="K275" s="3">
        <v>33.497111538233803</v>
      </c>
      <c r="L275" s="3">
        <v>32.9935206165175</v>
      </c>
      <c r="M275" s="3">
        <v>32.434173483920098</v>
      </c>
      <c r="N275" s="3">
        <v>31.958933294732699</v>
      </c>
      <c r="O275" s="3">
        <v>31.055294733857799</v>
      </c>
      <c r="P275" s="3">
        <v>29.905486653460802</v>
      </c>
      <c r="Q275" s="3">
        <v>29.064286537756399</v>
      </c>
      <c r="R275" s="3">
        <v>28.465477129503</v>
      </c>
      <c r="S275" s="3">
        <v>23.649984749898302</v>
      </c>
      <c r="T275" s="3">
        <v>22.211621583311199</v>
      </c>
      <c r="U275" s="3">
        <v>20.693773736038299</v>
      </c>
      <c r="V275" s="3">
        <v>19.226800738923199</v>
      </c>
      <c r="W275" s="3">
        <v>16.676140718024499</v>
      </c>
      <c r="X275" s="3">
        <v>18.350849325089602</v>
      </c>
      <c r="Y275" s="3">
        <v>20.037799473699302</v>
      </c>
      <c r="Z275" s="3">
        <v>23.142883076965699</v>
      </c>
      <c r="AA275" s="3">
        <v>25.3256637843653</v>
      </c>
      <c r="AB275" s="3">
        <v>29.692541470018799</v>
      </c>
      <c r="AC275" s="3">
        <v>28.127962163829999</v>
      </c>
      <c r="AD275" s="3"/>
      <c r="AE275" t="s">
        <v>5535</v>
      </c>
      <c r="AF275" s="4" t="s">
        <v>952</v>
      </c>
    </row>
    <row r="276" spans="1:32" ht="230.4" x14ac:dyDescent="0.3">
      <c r="A276" t="s">
        <v>1826</v>
      </c>
      <c r="B276" s="1" t="s">
        <v>1205</v>
      </c>
      <c r="C276" s="5" t="s">
        <v>2342</v>
      </c>
      <c r="D276" s="2" t="s">
        <v>3859</v>
      </c>
      <c r="E276" s="1" t="s">
        <v>235</v>
      </c>
      <c r="F276" s="3">
        <v>20.902880952859199</v>
      </c>
      <c r="G276" s="3">
        <v>20.137164441107402</v>
      </c>
      <c r="H276" s="3">
        <v>19.7233596930113</v>
      </c>
      <c r="I276" s="3">
        <v>19.425965352061699</v>
      </c>
      <c r="J276" s="3">
        <v>18.906360569640601</v>
      </c>
      <c r="K276" s="3">
        <v>18.2938341949611</v>
      </c>
      <c r="L276" s="3">
        <v>17.686906684151801</v>
      </c>
      <c r="M276" s="3">
        <v>16.992676452812301</v>
      </c>
      <c r="N276" s="3">
        <v>16.362307046086102</v>
      </c>
      <c r="O276" s="3">
        <v>15.397173196493201</v>
      </c>
      <c r="P276" s="3">
        <v>14.377571557934999</v>
      </c>
      <c r="Q276" s="3">
        <v>13.722085476735</v>
      </c>
      <c r="R276" s="3">
        <v>13.734293959071501</v>
      </c>
      <c r="S276" s="3">
        <v>9.5388163121681799</v>
      </c>
      <c r="T276" s="3">
        <v>9.0947851918228793</v>
      </c>
      <c r="U276" s="3">
        <v>8.6218585519301296</v>
      </c>
      <c r="V276" s="3">
        <v>8.1342913283194598</v>
      </c>
      <c r="W276" s="3">
        <v>10.3178985758006</v>
      </c>
      <c r="X276" s="3">
        <v>9.7956458763203198</v>
      </c>
      <c r="Y276" s="3">
        <v>9.2639147647294102</v>
      </c>
      <c r="Z276" s="3">
        <v>9.7890108416923294</v>
      </c>
      <c r="AA276" s="3">
        <v>9.6959743480798704</v>
      </c>
      <c r="AB276" s="3">
        <v>9.8518982878188304</v>
      </c>
      <c r="AC276" s="3">
        <v>9.6551124485168494</v>
      </c>
      <c r="AD276" s="3"/>
      <c r="AE276" t="s">
        <v>5535</v>
      </c>
      <c r="AF276" s="4" t="s">
        <v>952</v>
      </c>
    </row>
    <row r="277" spans="1:32" ht="230.4" x14ac:dyDescent="0.3">
      <c r="A277" t="s">
        <v>1826</v>
      </c>
      <c r="B277" s="1" t="s">
        <v>1205</v>
      </c>
      <c r="C277" s="5" t="s">
        <v>2343</v>
      </c>
      <c r="D277" s="2" t="s">
        <v>3860</v>
      </c>
      <c r="E277" s="1" t="s">
        <v>1906</v>
      </c>
      <c r="F277" s="3">
        <v>26.5513449579094</v>
      </c>
      <c r="G277" s="3">
        <v>25.9797638149617</v>
      </c>
      <c r="H277" s="3">
        <v>25.726796725941298</v>
      </c>
      <c r="I277" s="3">
        <v>25.548197812219701</v>
      </c>
      <c r="J277" s="3">
        <v>25.106066553066601</v>
      </c>
      <c r="K277" s="3">
        <v>24.610769512975299</v>
      </c>
      <c r="L277" s="3">
        <v>24.151213520095201</v>
      </c>
      <c r="M277" s="3">
        <v>23.6199350758361</v>
      </c>
      <c r="N277" s="3">
        <v>23.145085483507199</v>
      </c>
      <c r="O277" s="3">
        <v>22.280699924491898</v>
      </c>
      <c r="P277" s="3">
        <v>21.279138435925201</v>
      </c>
      <c r="Q277" s="3">
        <v>20.617808072325499</v>
      </c>
      <c r="R277" s="3">
        <v>20.4259691523642</v>
      </c>
      <c r="S277" s="3">
        <v>15.7735072206165</v>
      </c>
      <c r="T277" s="3">
        <v>14.7949476318054</v>
      </c>
      <c r="U277" s="3">
        <v>13.790103321593399</v>
      </c>
      <c r="V277" s="3">
        <v>12.811674962322201</v>
      </c>
      <c r="W277" s="3">
        <v>12.9929006885446</v>
      </c>
      <c r="X277" s="3">
        <v>13.391895114699899</v>
      </c>
      <c r="Y277" s="3">
        <v>13.790993545062699</v>
      </c>
      <c r="Z277" s="3">
        <v>15.429500755415299</v>
      </c>
      <c r="AA277" s="3">
        <v>16.350001409409401</v>
      </c>
      <c r="AB277" s="3">
        <v>18.350658587061499</v>
      </c>
      <c r="AC277" s="3">
        <v>17.593209004404802</v>
      </c>
      <c r="AD277" s="3"/>
      <c r="AE277" t="s">
        <v>5535</v>
      </c>
      <c r="AF277" s="4" t="s">
        <v>952</v>
      </c>
    </row>
    <row r="278" spans="1:32" x14ac:dyDescent="0.3">
      <c r="A278" t="s">
        <v>1826</v>
      </c>
      <c r="B278" s="1" t="s">
        <v>1205</v>
      </c>
      <c r="C278" s="5" t="s">
        <v>2344</v>
      </c>
      <c r="D278" s="2" t="s">
        <v>3861</v>
      </c>
      <c r="E278" s="1" t="s">
        <v>747</v>
      </c>
      <c r="F278" s="3">
        <v>-0.77719926834106401</v>
      </c>
      <c r="G278" s="3"/>
      <c r="H278" s="3">
        <v>-0.80153119564056396</v>
      </c>
      <c r="I278" s="3">
        <v>-1.01384484767914</v>
      </c>
      <c r="J278" s="3">
        <v>-1.2413234710693399</v>
      </c>
      <c r="K278" s="3">
        <v>-1.2497872114181501</v>
      </c>
      <c r="L278" s="3">
        <v>-1.2075288295745801</v>
      </c>
      <c r="M278" s="3">
        <v>-1.09506964683533</v>
      </c>
      <c r="N278" s="3">
        <v>-1.11905133724213</v>
      </c>
      <c r="O278" s="3">
        <v>-1.1173851490020801</v>
      </c>
      <c r="P278" s="3">
        <v>-1.1728545427322401</v>
      </c>
      <c r="Q278" s="3">
        <v>-1.03099358081818</v>
      </c>
      <c r="R278" s="3">
        <v>-0.838509380817413</v>
      </c>
      <c r="S278" s="3">
        <v>-0.740123450756073</v>
      </c>
      <c r="T278" s="3">
        <v>-0.41922751069068898</v>
      </c>
      <c r="U278" s="3">
        <v>-0.46236008405685403</v>
      </c>
      <c r="V278" s="3">
        <v>-0.55547499656677202</v>
      </c>
      <c r="W278" s="3">
        <v>-0.55049896240234397</v>
      </c>
      <c r="X278" s="3">
        <v>-0.52620673179626498</v>
      </c>
      <c r="Y278" s="3">
        <v>-0.56373685598373402</v>
      </c>
      <c r="Z278" s="3">
        <v>-0.55172675848007202</v>
      </c>
      <c r="AA278" s="3">
        <v>-0.39522925019264199</v>
      </c>
      <c r="AB278" s="3">
        <v>-0.33870556950569197</v>
      </c>
      <c r="AC278" s="3">
        <v>-0.31300741434097301</v>
      </c>
      <c r="AD278" s="3"/>
      <c r="AE278" t="s">
        <v>5536</v>
      </c>
    </row>
    <row r="279" spans="1:32" x14ac:dyDescent="0.3">
      <c r="A279" t="s">
        <v>1826</v>
      </c>
      <c r="B279" s="1" t="s">
        <v>1205</v>
      </c>
      <c r="C279" s="5" t="s">
        <v>2345</v>
      </c>
      <c r="D279" s="2" t="s">
        <v>3862</v>
      </c>
      <c r="E279" s="1" t="s">
        <v>466</v>
      </c>
      <c r="F279" s="3">
        <v>4</v>
      </c>
      <c r="G279" s="3"/>
      <c r="H279" s="3">
        <v>4</v>
      </c>
      <c r="I279" s="3">
        <v>5</v>
      </c>
      <c r="J279" s="3">
        <v>7</v>
      </c>
      <c r="K279" s="3">
        <v>8</v>
      </c>
      <c r="L279" s="3">
        <v>9</v>
      </c>
      <c r="M279" s="3">
        <v>8</v>
      </c>
      <c r="N279" s="3">
        <v>10</v>
      </c>
      <c r="O279" s="3">
        <v>12</v>
      </c>
      <c r="P279" s="3">
        <v>12</v>
      </c>
      <c r="Q279" s="3">
        <v>13</v>
      </c>
      <c r="R279" s="3">
        <v>14</v>
      </c>
      <c r="S279" s="3">
        <v>15</v>
      </c>
      <c r="T279" s="3">
        <v>14</v>
      </c>
      <c r="U279" s="3">
        <v>15</v>
      </c>
      <c r="V279" s="3">
        <v>15</v>
      </c>
      <c r="W279" s="3">
        <v>14</v>
      </c>
      <c r="X279" s="3">
        <v>14</v>
      </c>
      <c r="Y279" s="3">
        <v>15</v>
      </c>
      <c r="Z279" s="3">
        <v>14</v>
      </c>
      <c r="AA279" s="3">
        <v>13</v>
      </c>
      <c r="AB279" s="3">
        <v>13</v>
      </c>
      <c r="AC279" s="3">
        <v>14</v>
      </c>
      <c r="AD279" s="3"/>
      <c r="AE279" t="s">
        <v>5537</v>
      </c>
      <c r="AF279" t="s">
        <v>751</v>
      </c>
    </row>
    <row r="280" spans="1:32" x14ac:dyDescent="0.3">
      <c r="A280" t="s">
        <v>1826</v>
      </c>
      <c r="B280" s="1" t="s">
        <v>1205</v>
      </c>
      <c r="C280" s="5" t="s">
        <v>2346</v>
      </c>
      <c r="D280" s="2" t="s">
        <v>3863</v>
      </c>
      <c r="E280" s="1" t="s">
        <v>845</v>
      </c>
      <c r="F280" s="3">
        <v>28.723403930664102</v>
      </c>
      <c r="G280" s="3"/>
      <c r="H280" s="3">
        <v>26.4550266265869</v>
      </c>
      <c r="I280" s="3">
        <v>13.2275133132935</v>
      </c>
      <c r="J280" s="3">
        <v>9.8522167205810494</v>
      </c>
      <c r="K280" s="3">
        <v>9.2682924270629901</v>
      </c>
      <c r="L280" s="3">
        <v>8.7804880142211896</v>
      </c>
      <c r="M280" s="3">
        <v>12.135922431945801</v>
      </c>
      <c r="N280" s="3">
        <v>12.62135887146</v>
      </c>
      <c r="O280" s="3">
        <v>11.961722373962401</v>
      </c>
      <c r="P280" s="3">
        <v>10.9523811340332</v>
      </c>
      <c r="Q280" s="3">
        <v>16.5876770019531</v>
      </c>
      <c r="R280" s="3">
        <v>21.800947189331101</v>
      </c>
      <c r="S280" s="3">
        <v>25.118482589721701</v>
      </c>
      <c r="T280" s="3">
        <v>42.307693481445298</v>
      </c>
      <c r="U280" s="3">
        <v>39.047618865966797</v>
      </c>
      <c r="V280" s="3">
        <v>33.809524536132798</v>
      </c>
      <c r="W280" s="3">
        <v>36.666667938232401</v>
      </c>
      <c r="X280" s="3">
        <v>34.285713195800803</v>
      </c>
      <c r="Y280" s="3">
        <v>32.380950927734403</v>
      </c>
      <c r="Z280" s="3">
        <v>32.380950927734403</v>
      </c>
      <c r="AA280" s="3">
        <v>40</v>
      </c>
      <c r="AB280" s="3">
        <v>42.924530029296903</v>
      </c>
      <c r="AC280" s="3">
        <v>44.339622497558601</v>
      </c>
      <c r="AD280" s="3"/>
      <c r="AE280" t="s">
        <v>5538</v>
      </c>
    </row>
    <row r="281" spans="1:32" x14ac:dyDescent="0.3">
      <c r="A281" t="s">
        <v>1826</v>
      </c>
      <c r="B281" s="1" t="s">
        <v>1205</v>
      </c>
      <c r="C281" s="5" t="s">
        <v>2347</v>
      </c>
      <c r="D281" s="2" t="s">
        <v>3864</v>
      </c>
      <c r="E281" s="1" t="s">
        <v>792</v>
      </c>
      <c r="F281" s="3">
        <v>8.5106382369995099</v>
      </c>
      <c r="G281" s="3"/>
      <c r="H281" s="3">
        <v>7.9365077018737802</v>
      </c>
      <c r="I281" s="3">
        <v>4.2328042984008798</v>
      </c>
      <c r="J281" s="3">
        <v>0.98522168397903398</v>
      </c>
      <c r="K281" s="3">
        <v>0</v>
      </c>
      <c r="L281" s="3">
        <v>0.97560977935791005</v>
      </c>
      <c r="M281" s="3">
        <v>3.88349509239197</v>
      </c>
      <c r="N281" s="3">
        <v>3.3980581760406499</v>
      </c>
      <c r="O281" s="3">
        <v>2.8708133697509801</v>
      </c>
      <c r="P281" s="3">
        <v>1.90476191043854</v>
      </c>
      <c r="Q281" s="3">
        <v>4.26540279388428</v>
      </c>
      <c r="R281" s="3">
        <v>14.218009948730501</v>
      </c>
      <c r="S281" s="3">
        <v>17.061611175537099</v>
      </c>
      <c r="T281" s="3">
        <v>29.807691574096701</v>
      </c>
      <c r="U281" s="3">
        <v>28.095237731933601</v>
      </c>
      <c r="V281" s="3">
        <v>23.809524536132798</v>
      </c>
      <c r="W281" s="3">
        <v>23.809524536132798</v>
      </c>
      <c r="X281" s="3">
        <v>26.190475463867202</v>
      </c>
      <c r="Y281" s="3">
        <v>25.238094329833999</v>
      </c>
      <c r="Z281" s="3">
        <v>24.761905670166001</v>
      </c>
      <c r="AA281" s="3">
        <v>29.0476188659668</v>
      </c>
      <c r="AB281" s="3">
        <v>31.132076263427699</v>
      </c>
      <c r="AC281" s="3">
        <v>32.075469970703097</v>
      </c>
      <c r="AD281" s="3"/>
      <c r="AE281" t="s">
        <v>5539</v>
      </c>
      <c r="AF281" t="s">
        <v>295</v>
      </c>
    </row>
    <row r="282" spans="1:32" x14ac:dyDescent="0.3">
      <c r="A282" t="s">
        <v>1826</v>
      </c>
      <c r="B282" s="1" t="s">
        <v>1205</v>
      </c>
      <c r="C282" s="5" t="s">
        <v>2348</v>
      </c>
      <c r="D282" s="2" t="s">
        <v>3865</v>
      </c>
      <c r="E282" s="1" t="s">
        <v>318</v>
      </c>
      <c r="F282" s="3">
        <v>45.212764739990199</v>
      </c>
      <c r="G282" s="3"/>
      <c r="H282" s="3">
        <v>40.211639404296903</v>
      </c>
      <c r="I282" s="3">
        <v>30.158729553222699</v>
      </c>
      <c r="J282" s="3">
        <v>19.2118225097656</v>
      </c>
      <c r="K282" s="3">
        <v>18.048780441284201</v>
      </c>
      <c r="L282" s="3">
        <v>19.024391174316399</v>
      </c>
      <c r="M282" s="3">
        <v>21.844659805297901</v>
      </c>
      <c r="N282" s="3">
        <v>19.902912139892599</v>
      </c>
      <c r="O282" s="3">
        <v>21.0526313781738</v>
      </c>
      <c r="P282" s="3">
        <v>19.0476188659668</v>
      </c>
      <c r="Q282" s="3">
        <v>23.222749710083001</v>
      </c>
      <c r="R282" s="3">
        <v>31.279621124267599</v>
      </c>
      <c r="S282" s="3">
        <v>36.492889404296903</v>
      </c>
      <c r="T282" s="3">
        <v>51.9230766296387</v>
      </c>
      <c r="U282" s="3">
        <v>50</v>
      </c>
      <c r="V282" s="3">
        <v>44.761905670166001</v>
      </c>
      <c r="W282" s="3">
        <v>43.333332061767599</v>
      </c>
      <c r="X282" s="3">
        <v>43.809524536132798</v>
      </c>
      <c r="Y282" s="3">
        <v>40.952381134033203</v>
      </c>
      <c r="Z282" s="3">
        <v>43.333332061767599</v>
      </c>
      <c r="AA282" s="3">
        <v>49.523811340332003</v>
      </c>
      <c r="AB282" s="3">
        <v>51.415092468261697</v>
      </c>
      <c r="AC282" s="3">
        <v>51.886791229247997</v>
      </c>
      <c r="AD282" s="3"/>
      <c r="AE282" t="s">
        <v>5540</v>
      </c>
      <c r="AF282" t="s">
        <v>126</v>
      </c>
    </row>
    <row r="283" spans="1:32" x14ac:dyDescent="0.3">
      <c r="A283" t="s">
        <v>1826</v>
      </c>
      <c r="B283" s="1" t="s">
        <v>1205</v>
      </c>
      <c r="C283" s="5" t="s">
        <v>2349</v>
      </c>
      <c r="D283" s="2" t="s">
        <v>3866</v>
      </c>
      <c r="E283" s="1" t="s">
        <v>1874</v>
      </c>
      <c r="F283" s="3">
        <v>0.25018540024757402</v>
      </c>
      <c r="G283" s="3"/>
      <c r="H283" s="3">
        <v>0.21233263611793499</v>
      </c>
      <c r="I283" s="3">
        <v>0.212354525923729</v>
      </c>
      <c r="J283" s="3">
        <v>0.19065870344638799</v>
      </c>
      <c r="K283" s="3">
        <v>0.18162539601326</v>
      </c>
      <c r="L283" s="3">
        <v>0.16548736393451699</v>
      </c>
      <c r="M283" s="3">
        <v>0.17132171988487199</v>
      </c>
      <c r="N283" s="3">
        <v>0.158422410488129</v>
      </c>
      <c r="O283" s="3">
        <v>0.16239920258522</v>
      </c>
      <c r="P283" s="3">
        <v>0.15887314081192</v>
      </c>
      <c r="Q283" s="3">
        <v>0.15143084526062001</v>
      </c>
      <c r="R283" s="3">
        <v>0.13641959428787201</v>
      </c>
      <c r="S283" s="3">
        <v>0.13472700119018599</v>
      </c>
      <c r="T283" s="3">
        <v>0.13333216309547399</v>
      </c>
      <c r="U283" s="3">
        <v>0.13232472538948101</v>
      </c>
      <c r="V283" s="3">
        <v>0.13456824421882599</v>
      </c>
      <c r="W283" s="3">
        <v>0.128253549337387</v>
      </c>
      <c r="X283" s="3">
        <v>0.12949204444885301</v>
      </c>
      <c r="Y283" s="3">
        <v>0.13322921097278601</v>
      </c>
      <c r="Z283" s="3">
        <v>0.136623740196228</v>
      </c>
      <c r="AA283" s="3">
        <v>0.14727689325809501</v>
      </c>
      <c r="AB283" s="3">
        <v>0.14755292236805001</v>
      </c>
      <c r="AC283" s="3">
        <v>0.15025305747985801</v>
      </c>
      <c r="AD283" s="3"/>
      <c r="AE283" t="s">
        <v>5541</v>
      </c>
      <c r="AF283" t="s">
        <v>202</v>
      </c>
    </row>
    <row r="284" spans="1:32" x14ac:dyDescent="0.3">
      <c r="A284" t="s">
        <v>1826</v>
      </c>
      <c r="B284" s="1" t="s">
        <v>1205</v>
      </c>
      <c r="C284" s="5" t="s">
        <v>2350</v>
      </c>
      <c r="D284" s="2" t="s">
        <v>3867</v>
      </c>
      <c r="E284" s="1" t="s">
        <v>1673</v>
      </c>
      <c r="F284" s="3"/>
      <c r="G284" s="3"/>
      <c r="H284" s="3">
        <v>20.615242472415499</v>
      </c>
      <c r="I284" s="3"/>
      <c r="J284" s="3"/>
      <c r="K284" s="3"/>
      <c r="L284" s="3"/>
      <c r="M284" s="3"/>
      <c r="N284" s="3">
        <v>8.0707938247793507</v>
      </c>
      <c r="O284" s="3"/>
      <c r="P284" s="3"/>
      <c r="Q284" s="3"/>
      <c r="R284" s="3"/>
      <c r="S284" s="3"/>
      <c r="T284" s="3"/>
      <c r="U284" s="3">
        <v>7.9225485063366499</v>
      </c>
      <c r="V284" s="3"/>
      <c r="W284" s="3"/>
      <c r="X284" s="3">
        <v>3.0736966785737501</v>
      </c>
      <c r="Y284" s="3"/>
      <c r="Z284" s="3"/>
      <c r="AA284" s="3">
        <v>3.8145316806141998</v>
      </c>
      <c r="AB284" s="3"/>
      <c r="AC284" s="3"/>
      <c r="AD284" s="3"/>
      <c r="AE284" t="s">
        <v>5542</v>
      </c>
      <c r="AF284" t="s">
        <v>752</v>
      </c>
    </row>
    <row r="285" spans="1:32" x14ac:dyDescent="0.3">
      <c r="A285" t="s">
        <v>1826</v>
      </c>
      <c r="B285" s="1" t="s">
        <v>1205</v>
      </c>
      <c r="C285" s="5" t="s">
        <v>2351</v>
      </c>
      <c r="D285" s="2" t="s">
        <v>3868</v>
      </c>
      <c r="E285" s="1" t="s">
        <v>423</v>
      </c>
      <c r="F285" s="3"/>
      <c r="G285" s="3"/>
      <c r="H285" s="3">
        <v>20.855207585057599</v>
      </c>
      <c r="I285" s="3"/>
      <c r="J285" s="3"/>
      <c r="K285" s="3"/>
      <c r="L285" s="3"/>
      <c r="M285" s="3"/>
      <c r="N285" s="3">
        <v>4.8361044802356696</v>
      </c>
      <c r="O285" s="3"/>
      <c r="P285" s="3"/>
      <c r="Q285" s="3"/>
      <c r="R285" s="3"/>
      <c r="S285" s="3"/>
      <c r="T285" s="3"/>
      <c r="U285" s="3">
        <v>6.4357909902558799</v>
      </c>
      <c r="V285" s="3"/>
      <c r="W285" s="3"/>
      <c r="X285" s="3">
        <v>0.67611156744513001</v>
      </c>
      <c r="Y285" s="3"/>
      <c r="Z285" s="3"/>
      <c r="AA285" s="3">
        <v>0.87117225765538497</v>
      </c>
      <c r="AB285" s="3"/>
      <c r="AC285" s="3"/>
      <c r="AD285" s="3"/>
      <c r="AE285" t="s">
        <v>5542</v>
      </c>
      <c r="AF285" t="s">
        <v>752</v>
      </c>
    </row>
    <row r="286" spans="1:32" x14ac:dyDescent="0.3">
      <c r="A286" t="s">
        <v>1826</v>
      </c>
      <c r="B286" s="1" t="s">
        <v>1205</v>
      </c>
      <c r="C286" s="5" t="s">
        <v>2352</v>
      </c>
      <c r="D286" s="2" t="s">
        <v>3869</v>
      </c>
      <c r="E286" s="1" t="s">
        <v>316</v>
      </c>
      <c r="F286" s="3"/>
      <c r="G286" s="3"/>
      <c r="H286" s="3">
        <v>20.1079745403541</v>
      </c>
      <c r="I286" s="3"/>
      <c r="J286" s="3"/>
      <c r="K286" s="3"/>
      <c r="L286" s="3"/>
      <c r="M286" s="3"/>
      <c r="N286" s="3">
        <v>7.6728740935160804</v>
      </c>
      <c r="O286" s="3"/>
      <c r="P286" s="3"/>
      <c r="Q286" s="3"/>
      <c r="R286" s="3"/>
      <c r="S286" s="3"/>
      <c r="T286" s="3"/>
      <c r="U286" s="3">
        <v>7.2397180037347297</v>
      </c>
      <c r="V286" s="3"/>
      <c r="W286" s="3"/>
      <c r="X286" s="3">
        <v>2.02110093517721</v>
      </c>
      <c r="Y286" s="3"/>
      <c r="Z286" s="3"/>
      <c r="AA286" s="3">
        <v>4.2125834660660999</v>
      </c>
      <c r="AB286" s="3"/>
      <c r="AC286" s="3"/>
      <c r="AD286" s="3"/>
      <c r="AE286" t="s">
        <v>5542</v>
      </c>
      <c r="AF286" t="s">
        <v>752</v>
      </c>
    </row>
    <row r="287" spans="1:32" x14ac:dyDescent="0.3">
      <c r="A287" t="s">
        <v>1826</v>
      </c>
      <c r="B287" s="1" t="s">
        <v>1205</v>
      </c>
      <c r="C287" s="5" t="s">
        <v>2353</v>
      </c>
      <c r="D287" s="2" t="s">
        <v>3870</v>
      </c>
      <c r="E287" s="1" t="s">
        <v>208</v>
      </c>
      <c r="F287" s="3"/>
      <c r="G287" s="3"/>
      <c r="H287" s="3">
        <v>19.3222669829699</v>
      </c>
      <c r="I287" s="3"/>
      <c r="J287" s="3"/>
      <c r="K287" s="3"/>
      <c r="L287" s="3"/>
      <c r="M287" s="3"/>
      <c r="N287" s="3">
        <v>9.6025505850694195</v>
      </c>
      <c r="O287" s="3"/>
      <c r="P287" s="3"/>
      <c r="Q287" s="3"/>
      <c r="R287" s="3"/>
      <c r="S287" s="3"/>
      <c r="T287" s="3"/>
      <c r="U287" s="3">
        <v>8.4569286054902104</v>
      </c>
      <c r="V287" s="3"/>
      <c r="W287" s="3"/>
      <c r="X287" s="3">
        <v>3.8074242232132902</v>
      </c>
      <c r="Y287" s="3"/>
      <c r="Z287" s="3"/>
      <c r="AA287" s="3">
        <v>3.9528734585578098</v>
      </c>
      <c r="AB287" s="3"/>
      <c r="AC287" s="3"/>
      <c r="AD287" s="3"/>
      <c r="AE287" t="s">
        <v>5542</v>
      </c>
      <c r="AF287" t="s">
        <v>752</v>
      </c>
    </row>
    <row r="288" spans="1:32" ht="28.8" x14ac:dyDescent="0.3">
      <c r="A288" t="s">
        <v>1826</v>
      </c>
      <c r="B288" s="1" t="s">
        <v>1205</v>
      </c>
      <c r="C288" s="5" t="s">
        <v>2354</v>
      </c>
      <c r="D288" s="2" t="s">
        <v>3871</v>
      </c>
      <c r="E288" s="1" t="s">
        <v>544</v>
      </c>
      <c r="F288" s="3"/>
      <c r="G288" s="3"/>
      <c r="H288" s="3">
        <v>25.201346734447</v>
      </c>
      <c r="I288" s="3"/>
      <c r="J288" s="3"/>
      <c r="K288" s="3"/>
      <c r="L288" s="3"/>
      <c r="M288" s="3"/>
      <c r="N288" s="3">
        <v>2.2804419805140199</v>
      </c>
      <c r="O288" s="3"/>
      <c r="P288" s="3"/>
      <c r="Q288" s="3"/>
      <c r="R288" s="3"/>
      <c r="S288" s="3"/>
      <c r="T288" s="3"/>
      <c r="U288" s="3">
        <v>5.4258096278854504</v>
      </c>
      <c r="V288" s="3"/>
      <c r="W288" s="3"/>
      <c r="X288" s="3">
        <v>0.58835788431390001</v>
      </c>
      <c r="Y288" s="3"/>
      <c r="Z288" s="3"/>
      <c r="AA288" s="3">
        <v>0.98888306774696899</v>
      </c>
      <c r="AB288" s="3"/>
      <c r="AC288" s="3"/>
      <c r="AD288" s="3"/>
      <c r="AE288" t="s">
        <v>5542</v>
      </c>
      <c r="AF288" t="s">
        <v>752</v>
      </c>
    </row>
    <row r="289" spans="1:32" x14ac:dyDescent="0.3">
      <c r="A289" t="s">
        <v>1826</v>
      </c>
      <c r="B289" s="1" t="s">
        <v>1205</v>
      </c>
      <c r="C289" s="5" t="s">
        <v>2355</v>
      </c>
      <c r="D289" s="2" t="s">
        <v>3872</v>
      </c>
      <c r="E289" s="1" t="s">
        <v>81</v>
      </c>
      <c r="F289" s="3"/>
      <c r="G289" s="3"/>
      <c r="H289" s="3">
        <v>17.5941510645746</v>
      </c>
      <c r="I289" s="3"/>
      <c r="J289" s="3"/>
      <c r="K289" s="3"/>
      <c r="L289" s="3"/>
      <c r="M289" s="3"/>
      <c r="N289" s="3">
        <v>15.9494949425982</v>
      </c>
      <c r="O289" s="3"/>
      <c r="P289" s="3"/>
      <c r="Q289" s="3"/>
      <c r="R289" s="3"/>
      <c r="S289" s="3"/>
      <c r="T289" s="3"/>
      <c r="U289" s="3">
        <v>12.0492274963166</v>
      </c>
      <c r="V289" s="3"/>
      <c r="W289" s="3"/>
      <c r="X289" s="3">
        <v>8.27368524019173</v>
      </c>
      <c r="Y289" s="3"/>
      <c r="Z289" s="3"/>
      <c r="AA289" s="3">
        <v>9.0428958798178698</v>
      </c>
      <c r="AB289" s="3"/>
      <c r="AC289" s="3"/>
      <c r="AD289" s="3"/>
      <c r="AE289" t="s">
        <v>5542</v>
      </c>
      <c r="AF289" t="s">
        <v>752</v>
      </c>
    </row>
    <row r="290" spans="1:32" x14ac:dyDescent="0.3">
      <c r="A290" t="s">
        <v>1826</v>
      </c>
      <c r="B290" s="1" t="s">
        <v>1205</v>
      </c>
      <c r="C290" s="5" t="s">
        <v>2356</v>
      </c>
      <c r="D290" s="2" t="s">
        <v>3873</v>
      </c>
      <c r="E290" s="1" t="s">
        <v>334</v>
      </c>
      <c r="F290" s="3"/>
      <c r="G290" s="3"/>
      <c r="H290" s="3">
        <v>25.300790882683899</v>
      </c>
      <c r="I290" s="3"/>
      <c r="J290" s="3"/>
      <c r="K290" s="3"/>
      <c r="L290" s="3"/>
      <c r="M290" s="3"/>
      <c r="N290" s="3">
        <v>32.3991555762045</v>
      </c>
      <c r="O290" s="3"/>
      <c r="P290" s="3"/>
      <c r="Q290" s="3"/>
      <c r="R290" s="3"/>
      <c r="S290" s="3"/>
      <c r="T290" s="3"/>
      <c r="U290" s="3">
        <v>32.862669797758898</v>
      </c>
      <c r="V290" s="3"/>
      <c r="W290" s="3"/>
      <c r="X290" s="3">
        <v>9.0498026574669108</v>
      </c>
      <c r="Y290" s="3"/>
      <c r="Z290" s="3"/>
      <c r="AA290" s="3">
        <v>9.0009824013730704</v>
      </c>
      <c r="AB290" s="3"/>
      <c r="AC290" s="3"/>
      <c r="AD290" s="3"/>
      <c r="AE290" t="s">
        <v>5543</v>
      </c>
      <c r="AF290" t="s">
        <v>752</v>
      </c>
    </row>
    <row r="291" spans="1:32" x14ac:dyDescent="0.3">
      <c r="A291" t="s">
        <v>1826</v>
      </c>
      <c r="B291" s="1" t="s">
        <v>1205</v>
      </c>
      <c r="C291" s="5" t="s">
        <v>2357</v>
      </c>
      <c r="D291" s="2" t="s">
        <v>3874</v>
      </c>
      <c r="E291" s="1" t="s">
        <v>390</v>
      </c>
      <c r="F291" s="3"/>
      <c r="G291" s="3"/>
      <c r="H291" s="3">
        <v>5.7750572775352902</v>
      </c>
      <c r="I291" s="3"/>
      <c r="J291" s="3"/>
      <c r="K291" s="3"/>
      <c r="L291" s="3"/>
      <c r="M291" s="3"/>
      <c r="N291" s="3">
        <v>26.718426834697599</v>
      </c>
      <c r="O291" s="3"/>
      <c r="P291" s="3"/>
      <c r="Q291" s="3"/>
      <c r="R291" s="3"/>
      <c r="S291" s="3"/>
      <c r="T291" s="3"/>
      <c r="U291" s="3">
        <v>27.229263285304501</v>
      </c>
      <c r="V291" s="3"/>
      <c r="W291" s="3"/>
      <c r="X291" s="3">
        <v>5.4059335185958703</v>
      </c>
      <c r="Y291" s="3"/>
      <c r="Z291" s="3"/>
      <c r="AA291" s="3">
        <v>3.9968886811548199</v>
      </c>
      <c r="AB291" s="3"/>
      <c r="AC291" s="3"/>
      <c r="AD291" s="3"/>
      <c r="AE291" t="s">
        <v>5544</v>
      </c>
      <c r="AF291" t="s">
        <v>752</v>
      </c>
    </row>
    <row r="292" spans="1:32" x14ac:dyDescent="0.3">
      <c r="A292" t="s">
        <v>1826</v>
      </c>
      <c r="B292" s="1" t="s">
        <v>1205</v>
      </c>
      <c r="C292" s="5" t="s">
        <v>2358</v>
      </c>
      <c r="D292" s="2" t="s">
        <v>3875</v>
      </c>
      <c r="E292" s="1" t="s">
        <v>654</v>
      </c>
      <c r="F292" s="3"/>
      <c r="G292" s="3"/>
      <c r="H292" s="3">
        <v>4.75100670144041</v>
      </c>
      <c r="I292" s="3"/>
      <c r="J292" s="3"/>
      <c r="K292" s="3"/>
      <c r="L292" s="3"/>
      <c r="M292" s="3"/>
      <c r="N292" s="3">
        <v>32.572747034880301</v>
      </c>
      <c r="O292" s="3"/>
      <c r="P292" s="3"/>
      <c r="Q292" s="3"/>
      <c r="R292" s="3"/>
      <c r="S292" s="3"/>
      <c r="T292" s="3"/>
      <c r="U292" s="3">
        <v>34.1512917303086</v>
      </c>
      <c r="V292" s="3"/>
      <c r="W292" s="3"/>
      <c r="X292" s="3">
        <v>4.5690879507965398</v>
      </c>
      <c r="Y292" s="3"/>
      <c r="Z292" s="3"/>
      <c r="AA292" s="3">
        <v>4.0968455943256403</v>
      </c>
      <c r="AB292" s="3"/>
      <c r="AC292" s="3"/>
      <c r="AD292" s="3"/>
      <c r="AE292" t="s">
        <v>5544</v>
      </c>
      <c r="AF292" t="s">
        <v>752</v>
      </c>
    </row>
    <row r="293" spans="1:32" x14ac:dyDescent="0.3">
      <c r="A293" t="s">
        <v>1826</v>
      </c>
      <c r="B293" s="1" t="s">
        <v>1205</v>
      </c>
      <c r="C293" s="5" t="s">
        <v>2359</v>
      </c>
      <c r="D293" s="2" t="s">
        <v>3876</v>
      </c>
      <c r="E293" s="1" t="s">
        <v>558</v>
      </c>
      <c r="F293" s="3"/>
      <c r="G293" s="3"/>
      <c r="H293" s="3">
        <v>5.5726907192863102</v>
      </c>
      <c r="I293" s="3"/>
      <c r="J293" s="3"/>
      <c r="K293" s="3"/>
      <c r="L293" s="3"/>
      <c r="M293" s="3"/>
      <c r="N293" s="3">
        <v>31.7543824399736</v>
      </c>
      <c r="O293" s="3"/>
      <c r="P293" s="3"/>
      <c r="Q293" s="3"/>
      <c r="R293" s="3"/>
      <c r="S293" s="3"/>
      <c r="T293" s="3"/>
      <c r="U293" s="3">
        <v>31.478822122985299</v>
      </c>
      <c r="V293" s="3"/>
      <c r="W293" s="3"/>
      <c r="X293" s="3">
        <v>6.3335013781773997</v>
      </c>
      <c r="Y293" s="3"/>
      <c r="Z293" s="3"/>
      <c r="AA293" s="3">
        <v>4.1842419971294698</v>
      </c>
      <c r="AB293" s="3"/>
      <c r="AC293" s="3"/>
      <c r="AD293" s="3"/>
      <c r="AE293" t="s">
        <v>5544</v>
      </c>
      <c r="AF293" t="s">
        <v>752</v>
      </c>
    </row>
    <row r="294" spans="1:32" x14ac:dyDescent="0.3">
      <c r="A294" t="s">
        <v>1826</v>
      </c>
      <c r="B294" s="1" t="s">
        <v>1205</v>
      </c>
      <c r="C294" s="5" t="s">
        <v>2360</v>
      </c>
      <c r="D294" s="2" t="s">
        <v>3877</v>
      </c>
      <c r="E294" s="1" t="s">
        <v>440</v>
      </c>
      <c r="F294" s="3"/>
      <c r="G294" s="3"/>
      <c r="H294" s="3">
        <v>6.3406319510294402</v>
      </c>
      <c r="I294" s="3"/>
      <c r="J294" s="3"/>
      <c r="K294" s="3"/>
      <c r="L294" s="3"/>
      <c r="M294" s="3"/>
      <c r="N294" s="3">
        <v>24.7404420426315</v>
      </c>
      <c r="O294" s="3"/>
      <c r="P294" s="3"/>
      <c r="Q294" s="3"/>
      <c r="R294" s="3"/>
      <c r="S294" s="3"/>
      <c r="T294" s="3"/>
      <c r="U294" s="3">
        <v>22.666826342606299</v>
      </c>
      <c r="V294" s="3"/>
      <c r="W294" s="3"/>
      <c r="X294" s="3">
        <v>6.5612359132239098</v>
      </c>
      <c r="Y294" s="3"/>
      <c r="Z294" s="3"/>
      <c r="AA294" s="3">
        <v>4.4485849759011602</v>
      </c>
      <c r="AB294" s="3"/>
      <c r="AC294" s="3"/>
      <c r="AD294" s="3"/>
      <c r="AE294" t="s">
        <v>5544</v>
      </c>
      <c r="AF294" t="s">
        <v>752</v>
      </c>
    </row>
    <row r="295" spans="1:32" ht="28.8" x14ac:dyDescent="0.3">
      <c r="A295" t="s">
        <v>1826</v>
      </c>
      <c r="B295" s="1" t="s">
        <v>1205</v>
      </c>
      <c r="C295" s="5" t="s">
        <v>2361</v>
      </c>
      <c r="D295" s="2" t="s">
        <v>3878</v>
      </c>
      <c r="E295" s="1" t="s">
        <v>770</v>
      </c>
      <c r="F295" s="3"/>
      <c r="G295" s="3"/>
      <c r="H295" s="3">
        <v>3.2549678126086499</v>
      </c>
      <c r="I295" s="3"/>
      <c r="J295" s="3"/>
      <c r="K295" s="3"/>
      <c r="L295" s="3"/>
      <c r="M295" s="3"/>
      <c r="N295" s="3">
        <v>28.558688599066802</v>
      </c>
      <c r="O295" s="3"/>
      <c r="P295" s="3"/>
      <c r="Q295" s="3"/>
      <c r="R295" s="3"/>
      <c r="S295" s="3"/>
      <c r="T295" s="3"/>
      <c r="U295" s="3">
        <v>36.464980351674903</v>
      </c>
      <c r="V295" s="3"/>
      <c r="W295" s="3"/>
      <c r="X295" s="3">
        <v>3.81304246898361</v>
      </c>
      <c r="Y295" s="3"/>
      <c r="Z295" s="3"/>
      <c r="AA295" s="3">
        <v>3.4102364563907699</v>
      </c>
      <c r="AB295" s="3"/>
      <c r="AC295" s="3"/>
      <c r="AD295" s="3"/>
      <c r="AE295" t="s">
        <v>5544</v>
      </c>
      <c r="AF295" t="s">
        <v>752</v>
      </c>
    </row>
    <row r="296" spans="1:32" ht="28.8" x14ac:dyDescent="0.3">
      <c r="A296" t="s">
        <v>1826</v>
      </c>
      <c r="B296" s="1" t="s">
        <v>1205</v>
      </c>
      <c r="C296" s="5" t="s">
        <v>2362</v>
      </c>
      <c r="D296" s="2" t="s">
        <v>3879</v>
      </c>
      <c r="E296" s="1" t="s">
        <v>336</v>
      </c>
      <c r="F296" s="3"/>
      <c r="G296" s="3"/>
      <c r="H296" s="3">
        <v>8.9536683365113294</v>
      </c>
      <c r="I296" s="3"/>
      <c r="J296" s="3"/>
      <c r="K296" s="3"/>
      <c r="L296" s="3"/>
      <c r="M296" s="3"/>
      <c r="N296" s="3">
        <v>15.962962329045901</v>
      </c>
      <c r="O296" s="3"/>
      <c r="P296" s="3"/>
      <c r="Q296" s="3"/>
      <c r="R296" s="3"/>
      <c r="S296" s="3"/>
      <c r="T296" s="3"/>
      <c r="U296" s="3">
        <v>11.402505752775401</v>
      </c>
      <c r="V296" s="3"/>
      <c r="W296" s="3"/>
      <c r="X296" s="3">
        <v>5.7525534737601802</v>
      </c>
      <c r="Y296" s="3"/>
      <c r="Z296" s="3"/>
      <c r="AA296" s="3">
        <v>3.84420476067897</v>
      </c>
      <c r="AB296" s="3"/>
      <c r="AC296" s="3"/>
      <c r="AD296" s="3"/>
      <c r="AE296" t="s">
        <v>5544</v>
      </c>
      <c r="AF296" t="s">
        <v>752</v>
      </c>
    </row>
    <row r="297" spans="1:32" x14ac:dyDescent="0.3">
      <c r="A297" t="s">
        <v>1826</v>
      </c>
      <c r="B297" s="1" t="s">
        <v>1205</v>
      </c>
      <c r="C297" s="5" t="s">
        <v>2363</v>
      </c>
      <c r="D297" s="2" t="s">
        <v>3880</v>
      </c>
      <c r="E297" s="1" t="s">
        <v>891</v>
      </c>
      <c r="F297" s="3"/>
      <c r="G297" s="3"/>
      <c r="H297" s="3"/>
      <c r="I297" s="3"/>
      <c r="J297" s="3"/>
      <c r="K297" s="3"/>
      <c r="L297" s="3"/>
      <c r="M297" s="3"/>
      <c r="N297" s="3"/>
      <c r="O297" s="3"/>
      <c r="P297" s="3"/>
      <c r="Q297" s="3"/>
      <c r="R297" s="3"/>
      <c r="S297" s="3"/>
      <c r="T297" s="3"/>
      <c r="U297" s="3"/>
      <c r="V297" s="3"/>
      <c r="W297" s="3"/>
      <c r="X297" s="3"/>
      <c r="Y297" s="3"/>
      <c r="Z297" s="3"/>
      <c r="AA297" s="3">
        <v>1.8978823182175399</v>
      </c>
      <c r="AB297" s="3"/>
      <c r="AC297" s="3"/>
      <c r="AD297" s="3"/>
      <c r="AE297" t="s">
        <v>5545</v>
      </c>
      <c r="AF297" t="s">
        <v>752</v>
      </c>
    </row>
    <row r="298" spans="1:32" x14ac:dyDescent="0.3">
      <c r="A298" t="s">
        <v>1826</v>
      </c>
      <c r="B298" s="1" t="s">
        <v>1205</v>
      </c>
      <c r="C298" s="5" t="s">
        <v>2364</v>
      </c>
      <c r="D298" s="2" t="s">
        <v>3881</v>
      </c>
      <c r="E298" s="1" t="s">
        <v>1868</v>
      </c>
      <c r="F298" s="3"/>
      <c r="G298" s="3"/>
      <c r="H298" s="3"/>
      <c r="I298" s="3"/>
      <c r="J298" s="3"/>
      <c r="K298" s="3"/>
      <c r="L298" s="3"/>
      <c r="M298" s="3"/>
      <c r="N298" s="3"/>
      <c r="O298" s="3"/>
      <c r="P298" s="3"/>
      <c r="Q298" s="3"/>
      <c r="R298" s="3"/>
      <c r="S298" s="3"/>
      <c r="T298" s="3"/>
      <c r="U298" s="3"/>
      <c r="V298" s="3"/>
      <c r="W298" s="3"/>
      <c r="X298" s="3"/>
      <c r="Y298" s="3"/>
      <c r="Z298" s="3"/>
      <c r="AA298" s="3">
        <v>0.57254072174996895</v>
      </c>
      <c r="AB298" s="3"/>
      <c r="AC298" s="3"/>
      <c r="AD298" s="3"/>
      <c r="AE298" t="s">
        <v>5545</v>
      </c>
      <c r="AF298" t="s">
        <v>752</v>
      </c>
    </row>
    <row r="299" spans="1:32" x14ac:dyDescent="0.3">
      <c r="A299" t="s">
        <v>1826</v>
      </c>
      <c r="B299" s="1" t="s">
        <v>1205</v>
      </c>
      <c r="C299" s="5" t="s">
        <v>2365</v>
      </c>
      <c r="D299" s="2" t="s">
        <v>3882</v>
      </c>
      <c r="E299" s="1" t="s">
        <v>1765</v>
      </c>
      <c r="F299" s="3"/>
      <c r="G299" s="3"/>
      <c r="H299" s="3"/>
      <c r="I299" s="3"/>
      <c r="J299" s="3"/>
      <c r="K299" s="3"/>
      <c r="L299" s="3"/>
      <c r="M299" s="3"/>
      <c r="N299" s="3"/>
      <c r="O299" s="3"/>
      <c r="P299" s="3"/>
      <c r="Q299" s="3"/>
      <c r="R299" s="3"/>
      <c r="S299" s="3"/>
      <c r="T299" s="3"/>
      <c r="U299" s="3"/>
      <c r="V299" s="3"/>
      <c r="W299" s="3"/>
      <c r="X299" s="3"/>
      <c r="Y299" s="3"/>
      <c r="Z299" s="3"/>
      <c r="AA299" s="3">
        <v>1.56226147819637</v>
      </c>
      <c r="AB299" s="3"/>
      <c r="AC299" s="3"/>
      <c r="AD299" s="3"/>
      <c r="AE299" t="s">
        <v>5545</v>
      </c>
      <c r="AF299" t="s">
        <v>752</v>
      </c>
    </row>
    <row r="300" spans="1:32" x14ac:dyDescent="0.3">
      <c r="A300" t="s">
        <v>1826</v>
      </c>
      <c r="B300" s="1" t="s">
        <v>1205</v>
      </c>
      <c r="C300" s="5" t="s">
        <v>2366</v>
      </c>
      <c r="D300" s="2" t="s">
        <v>3883</v>
      </c>
      <c r="E300" s="1" t="s">
        <v>1637</v>
      </c>
      <c r="F300" s="3"/>
      <c r="G300" s="3"/>
      <c r="H300" s="3"/>
      <c r="I300" s="3"/>
      <c r="J300" s="3"/>
      <c r="K300" s="3"/>
      <c r="L300" s="3"/>
      <c r="M300" s="3"/>
      <c r="N300" s="3"/>
      <c r="O300" s="3"/>
      <c r="P300" s="3"/>
      <c r="Q300" s="3"/>
      <c r="R300" s="3"/>
      <c r="S300" s="3"/>
      <c r="T300" s="3"/>
      <c r="U300" s="3"/>
      <c r="V300" s="3"/>
      <c r="W300" s="3"/>
      <c r="X300" s="3"/>
      <c r="Y300" s="3"/>
      <c r="Z300" s="3"/>
      <c r="AA300" s="3">
        <v>2.4936123446551401</v>
      </c>
      <c r="AB300" s="3"/>
      <c r="AC300" s="3"/>
      <c r="AD300" s="3"/>
      <c r="AE300" t="s">
        <v>5545</v>
      </c>
      <c r="AF300" t="s">
        <v>752</v>
      </c>
    </row>
    <row r="301" spans="1:32" ht="28.8" x14ac:dyDescent="0.3">
      <c r="A301" t="s">
        <v>1826</v>
      </c>
      <c r="B301" s="1" t="s">
        <v>1205</v>
      </c>
      <c r="C301" s="5" t="s">
        <v>2367</v>
      </c>
      <c r="D301" s="2" t="s">
        <v>3884</v>
      </c>
      <c r="E301" s="1" t="s">
        <v>1994</v>
      </c>
      <c r="F301" s="3"/>
      <c r="G301" s="3"/>
      <c r="H301" s="3"/>
      <c r="I301" s="3"/>
      <c r="J301" s="3"/>
      <c r="K301" s="3"/>
      <c r="L301" s="3"/>
      <c r="M301" s="3"/>
      <c r="N301" s="3"/>
      <c r="O301" s="3"/>
      <c r="P301" s="3"/>
      <c r="Q301" s="3"/>
      <c r="R301" s="3"/>
      <c r="S301" s="3"/>
      <c r="T301" s="3"/>
      <c r="U301" s="3"/>
      <c r="V301" s="3"/>
      <c r="W301" s="3"/>
      <c r="X301" s="3"/>
      <c r="Y301" s="3"/>
      <c r="Z301" s="3"/>
      <c r="AA301" s="3">
        <v>0.59208640569071302</v>
      </c>
      <c r="AB301" s="3"/>
      <c r="AC301" s="3"/>
      <c r="AD301" s="3"/>
      <c r="AE301" t="s">
        <v>5545</v>
      </c>
      <c r="AF301" t="s">
        <v>752</v>
      </c>
    </row>
    <row r="302" spans="1:32" ht="28.8" x14ac:dyDescent="0.3">
      <c r="A302" t="s">
        <v>1826</v>
      </c>
      <c r="B302" s="1" t="s">
        <v>1205</v>
      </c>
      <c r="C302" s="5" t="s">
        <v>2368</v>
      </c>
      <c r="D302" s="2" t="s">
        <v>3885</v>
      </c>
      <c r="E302" s="1" t="s">
        <v>1515</v>
      </c>
      <c r="F302" s="3"/>
      <c r="G302" s="3"/>
      <c r="H302" s="3"/>
      <c r="I302" s="3"/>
      <c r="J302" s="3"/>
      <c r="K302" s="3"/>
      <c r="L302" s="3"/>
      <c r="M302" s="3"/>
      <c r="N302" s="3"/>
      <c r="O302" s="3"/>
      <c r="P302" s="3"/>
      <c r="Q302" s="3"/>
      <c r="R302" s="3"/>
      <c r="S302" s="3"/>
      <c r="T302" s="3"/>
      <c r="U302" s="3"/>
      <c r="V302" s="3"/>
      <c r="W302" s="3"/>
      <c r="X302" s="3"/>
      <c r="Y302" s="3"/>
      <c r="Z302" s="3"/>
      <c r="AA302" s="3">
        <v>4.26686595837608</v>
      </c>
      <c r="AB302" s="3"/>
      <c r="AC302" s="3"/>
      <c r="AD302" s="3"/>
      <c r="AE302" t="s">
        <v>5545</v>
      </c>
      <c r="AF302" t="s">
        <v>752</v>
      </c>
    </row>
    <row r="303" spans="1:32" x14ac:dyDescent="0.3">
      <c r="A303" t="s">
        <v>1826</v>
      </c>
      <c r="B303" s="1" t="s">
        <v>1205</v>
      </c>
      <c r="C303" s="5" t="s">
        <v>2369</v>
      </c>
      <c r="D303" s="2" t="s">
        <v>3886</v>
      </c>
      <c r="E303" s="1" t="s">
        <v>960</v>
      </c>
      <c r="F303" s="3"/>
      <c r="G303" s="3"/>
      <c r="H303" s="3"/>
      <c r="I303" s="3"/>
      <c r="J303" s="3"/>
      <c r="K303" s="3">
        <v>2</v>
      </c>
      <c r="L303" s="3">
        <v>2</v>
      </c>
      <c r="M303" s="3">
        <v>2.5</v>
      </c>
      <c r="N303" s="3">
        <v>2.5</v>
      </c>
      <c r="O303" s="3">
        <v>2.5</v>
      </c>
      <c r="P303" s="3">
        <v>2.5</v>
      </c>
      <c r="Q303" s="3">
        <v>3</v>
      </c>
      <c r="R303" s="3">
        <v>3.5</v>
      </c>
      <c r="S303" s="3">
        <v>3.5</v>
      </c>
      <c r="T303" s="3">
        <v>3.5</v>
      </c>
      <c r="U303" s="3">
        <v>3.5</v>
      </c>
      <c r="V303" s="3">
        <v>4</v>
      </c>
      <c r="W303" s="3">
        <v>4</v>
      </c>
      <c r="X303" s="3">
        <v>4</v>
      </c>
      <c r="Y303" s="3">
        <v>4</v>
      </c>
      <c r="Z303" s="3">
        <v>4</v>
      </c>
      <c r="AA303" s="3">
        <v>4</v>
      </c>
      <c r="AB303" s="3">
        <v>4</v>
      </c>
      <c r="AC303" s="3">
        <v>4</v>
      </c>
      <c r="AD303" s="3">
        <v>4</v>
      </c>
      <c r="AE303" t="s">
        <v>5546</v>
      </c>
      <c r="AF303" t="s">
        <v>893</v>
      </c>
    </row>
    <row r="304" spans="1:32" x14ac:dyDescent="0.3">
      <c r="A304" t="s">
        <v>1826</v>
      </c>
      <c r="B304" s="1" t="s">
        <v>1205</v>
      </c>
      <c r="C304" s="5" t="s">
        <v>2370</v>
      </c>
      <c r="D304" s="2" t="s">
        <v>3887</v>
      </c>
      <c r="E304" s="1" t="s">
        <v>615</v>
      </c>
      <c r="F304" s="3"/>
      <c r="G304" s="3"/>
      <c r="H304" s="3"/>
      <c r="I304" s="3"/>
      <c r="J304" s="3"/>
      <c r="K304" s="3">
        <v>3</v>
      </c>
      <c r="L304" s="3">
        <v>3</v>
      </c>
      <c r="M304" s="3">
        <v>3</v>
      </c>
      <c r="N304" s="3">
        <v>3</v>
      </c>
      <c r="O304" s="3">
        <v>3</v>
      </c>
      <c r="P304" s="3">
        <v>3</v>
      </c>
      <c r="Q304" s="3">
        <v>3</v>
      </c>
      <c r="R304" s="3">
        <v>3</v>
      </c>
      <c r="S304" s="3">
        <v>3</v>
      </c>
      <c r="T304" s="3">
        <v>3</v>
      </c>
      <c r="U304" s="3">
        <v>3</v>
      </c>
      <c r="V304" s="3">
        <v>3</v>
      </c>
      <c r="W304" s="3">
        <v>3</v>
      </c>
      <c r="X304" s="3">
        <v>3.5</v>
      </c>
      <c r="Y304" s="3">
        <v>3</v>
      </c>
      <c r="Z304" s="3">
        <v>3.5</v>
      </c>
      <c r="AA304" s="3">
        <v>3.5</v>
      </c>
      <c r="AB304" s="3">
        <v>3.5</v>
      </c>
      <c r="AC304" s="3">
        <v>3.5</v>
      </c>
      <c r="AD304" s="3">
        <v>3.5</v>
      </c>
      <c r="AE304" t="s">
        <v>5547</v>
      </c>
      <c r="AF304" t="s">
        <v>893</v>
      </c>
    </row>
    <row r="305" spans="1:32" x14ac:dyDescent="0.3">
      <c r="A305" t="s">
        <v>1826</v>
      </c>
      <c r="B305" s="1" t="s">
        <v>1205</v>
      </c>
      <c r="C305" s="5" t="s">
        <v>2371</v>
      </c>
      <c r="D305" s="2" t="s">
        <v>3888</v>
      </c>
      <c r="E305" s="1" t="s">
        <v>854</v>
      </c>
      <c r="F305" s="3"/>
      <c r="G305" s="3"/>
      <c r="H305" s="3"/>
      <c r="I305" s="3"/>
      <c r="J305" s="3"/>
      <c r="K305" s="3">
        <v>1.5</v>
      </c>
      <c r="L305" s="3">
        <v>1</v>
      </c>
      <c r="M305" s="3">
        <v>1.5</v>
      </c>
      <c r="N305" s="3">
        <v>2</v>
      </c>
      <c r="O305" s="3">
        <v>2.5</v>
      </c>
      <c r="P305" s="3">
        <v>2</v>
      </c>
      <c r="Q305" s="3">
        <v>2</v>
      </c>
      <c r="R305" s="3">
        <v>2.5</v>
      </c>
      <c r="S305" s="3">
        <v>3</v>
      </c>
      <c r="T305" s="3">
        <v>3.5</v>
      </c>
      <c r="U305" s="3">
        <v>3.5</v>
      </c>
      <c r="V305" s="3">
        <v>3.5</v>
      </c>
      <c r="W305" s="3">
        <v>3.5</v>
      </c>
      <c r="X305" s="3">
        <v>3.5</v>
      </c>
      <c r="Y305" s="3">
        <v>3.5</v>
      </c>
      <c r="Z305" s="3">
        <v>4</v>
      </c>
      <c r="AA305" s="3">
        <v>4</v>
      </c>
      <c r="AB305" s="3">
        <v>4</v>
      </c>
      <c r="AC305" s="3">
        <v>4</v>
      </c>
      <c r="AD305" s="3">
        <v>4.5</v>
      </c>
      <c r="AE305" t="s">
        <v>5548</v>
      </c>
      <c r="AF305" t="s">
        <v>1417</v>
      </c>
    </row>
    <row r="306" spans="1:32" x14ac:dyDescent="0.3">
      <c r="A306" t="s">
        <v>1826</v>
      </c>
      <c r="B306" s="1" t="s">
        <v>1205</v>
      </c>
      <c r="C306" s="5" t="s">
        <v>2372</v>
      </c>
      <c r="D306" s="2" t="s">
        <v>3889</v>
      </c>
      <c r="E306" s="1" t="s">
        <v>945</v>
      </c>
      <c r="F306" s="3"/>
      <c r="G306" s="3"/>
      <c r="H306" s="3"/>
      <c r="I306" s="3"/>
      <c r="J306" s="3"/>
      <c r="K306" s="3">
        <v>2</v>
      </c>
      <c r="L306" s="3">
        <v>1.8333333333333299</v>
      </c>
      <c r="M306" s="3">
        <v>2.3333333333333299</v>
      </c>
      <c r="N306" s="3">
        <v>2.5</v>
      </c>
      <c r="O306" s="3">
        <v>2.8333333333333299</v>
      </c>
      <c r="P306" s="3">
        <v>2.6666666666666701</v>
      </c>
      <c r="Q306" s="3">
        <v>2.8333333333333299</v>
      </c>
      <c r="R306" s="3">
        <v>3.3333333333333299</v>
      </c>
      <c r="S306" s="3">
        <v>3.5</v>
      </c>
      <c r="T306" s="3">
        <v>3.6666699999999999</v>
      </c>
      <c r="U306" s="3">
        <v>3.6666699999999999</v>
      </c>
      <c r="V306" s="3">
        <v>3.6666666666666701</v>
      </c>
      <c r="W306" s="3">
        <v>3.6666666666666701</v>
      </c>
      <c r="X306" s="3">
        <v>3.6666666666666701</v>
      </c>
      <c r="Y306" s="3">
        <v>3.6666666666666701</v>
      </c>
      <c r="Z306" s="3">
        <v>3.8333333333333299</v>
      </c>
      <c r="AA306" s="3">
        <v>3.8333330000000001</v>
      </c>
      <c r="AB306" s="3">
        <v>3.8333330000000001</v>
      </c>
      <c r="AC306" s="3">
        <v>4</v>
      </c>
      <c r="AD306" s="3">
        <v>4.1666670000000003</v>
      </c>
      <c r="AE306" t="s">
        <v>5549</v>
      </c>
      <c r="AF306" t="s">
        <v>893</v>
      </c>
    </row>
    <row r="307" spans="1:32" x14ac:dyDescent="0.3">
      <c r="A307" t="s">
        <v>1826</v>
      </c>
      <c r="B307" s="1" t="s">
        <v>1205</v>
      </c>
      <c r="C307" s="5" t="s">
        <v>2373</v>
      </c>
      <c r="D307" s="2" t="s">
        <v>3890</v>
      </c>
      <c r="E307" s="1" t="s">
        <v>1632</v>
      </c>
      <c r="F307" s="3"/>
      <c r="G307" s="3"/>
      <c r="H307" s="3"/>
      <c r="I307" s="3"/>
      <c r="J307" s="3"/>
      <c r="K307" s="3">
        <v>4</v>
      </c>
      <c r="L307" s="3">
        <v>4</v>
      </c>
      <c r="M307" s="3">
        <v>4</v>
      </c>
      <c r="N307" s="3">
        <v>4</v>
      </c>
      <c r="O307" s="3">
        <v>4</v>
      </c>
      <c r="P307" s="3">
        <v>3.5</v>
      </c>
      <c r="Q307" s="3">
        <v>3.5</v>
      </c>
      <c r="R307" s="3">
        <v>3.5</v>
      </c>
      <c r="S307" s="3">
        <v>3.5</v>
      </c>
      <c r="T307" s="3">
        <v>3.5</v>
      </c>
      <c r="U307" s="3">
        <v>3.5</v>
      </c>
      <c r="V307" s="3">
        <v>3.5</v>
      </c>
      <c r="W307" s="3">
        <v>3.5</v>
      </c>
      <c r="X307" s="3">
        <v>3.5</v>
      </c>
      <c r="Y307" s="3">
        <v>3.5</v>
      </c>
      <c r="Z307" s="3">
        <v>3.5</v>
      </c>
      <c r="AA307" s="3">
        <v>3.5</v>
      </c>
      <c r="AB307" s="3">
        <v>3.5</v>
      </c>
      <c r="AC307" s="3">
        <v>3.5</v>
      </c>
      <c r="AD307" s="3">
        <v>4</v>
      </c>
      <c r="AE307" t="s">
        <v>5550</v>
      </c>
      <c r="AF307" t="s">
        <v>893</v>
      </c>
    </row>
    <row r="308" spans="1:32" x14ac:dyDescent="0.3">
      <c r="A308" t="s">
        <v>1826</v>
      </c>
      <c r="B308" s="1" t="s">
        <v>1205</v>
      </c>
      <c r="C308" s="5" t="s">
        <v>2374</v>
      </c>
      <c r="D308" s="2" t="s">
        <v>3891</v>
      </c>
      <c r="E308" s="1" t="s">
        <v>1899</v>
      </c>
      <c r="F308" s="3"/>
      <c r="G308" s="3"/>
      <c r="H308" s="3"/>
      <c r="I308" s="3"/>
      <c r="J308" s="3"/>
      <c r="K308" s="3">
        <v>1.5</v>
      </c>
      <c r="L308" s="3">
        <v>1.5</v>
      </c>
      <c r="M308" s="3">
        <v>1.5</v>
      </c>
      <c r="N308" s="3">
        <v>1.5</v>
      </c>
      <c r="O308" s="3">
        <v>2</v>
      </c>
      <c r="P308" s="3">
        <v>2</v>
      </c>
      <c r="Q308" s="3">
        <v>2.5</v>
      </c>
      <c r="R308" s="3">
        <v>2.5</v>
      </c>
      <c r="S308" s="3">
        <v>2.5</v>
      </c>
      <c r="T308" s="3">
        <v>2.5</v>
      </c>
      <c r="U308" s="3">
        <v>3</v>
      </c>
      <c r="V308" s="3">
        <v>3</v>
      </c>
      <c r="W308" s="3">
        <v>3</v>
      </c>
      <c r="X308" s="3">
        <v>3.5</v>
      </c>
      <c r="Y308" s="3">
        <v>3.5</v>
      </c>
      <c r="Z308" s="3">
        <v>3.5</v>
      </c>
      <c r="AA308" s="3">
        <v>4</v>
      </c>
      <c r="AB308" s="3">
        <v>4</v>
      </c>
      <c r="AC308" s="3">
        <v>4</v>
      </c>
      <c r="AD308" s="3">
        <v>4</v>
      </c>
      <c r="AE308" t="s">
        <v>5551</v>
      </c>
      <c r="AF308" t="s">
        <v>1490</v>
      </c>
    </row>
    <row r="309" spans="1:32" x14ac:dyDescent="0.3">
      <c r="A309" t="s">
        <v>1826</v>
      </c>
      <c r="B309" s="1" t="s">
        <v>1205</v>
      </c>
      <c r="C309" s="5" t="s">
        <v>2375</v>
      </c>
      <c r="D309" s="2" t="s">
        <v>3892</v>
      </c>
      <c r="E309" s="1" t="s">
        <v>2</v>
      </c>
      <c r="F309" s="3"/>
      <c r="G309" s="3"/>
      <c r="H309" s="3"/>
      <c r="I309" s="3"/>
      <c r="J309" s="3"/>
      <c r="K309" s="3">
        <v>3</v>
      </c>
      <c r="L309" s="3">
        <v>3</v>
      </c>
      <c r="M309" s="3">
        <v>3</v>
      </c>
      <c r="N309" s="3">
        <v>3</v>
      </c>
      <c r="O309" s="3">
        <v>3</v>
      </c>
      <c r="P309" s="3">
        <v>3</v>
      </c>
      <c r="Q309" s="3">
        <v>3</v>
      </c>
      <c r="R309" s="3">
        <v>3</v>
      </c>
      <c r="S309" s="3">
        <v>3</v>
      </c>
      <c r="T309" s="3">
        <v>3</v>
      </c>
      <c r="U309" s="3">
        <v>3</v>
      </c>
      <c r="V309" s="3">
        <v>3</v>
      </c>
      <c r="W309" s="3">
        <v>3</v>
      </c>
      <c r="X309" s="3">
        <v>3</v>
      </c>
      <c r="Y309" s="3">
        <v>3</v>
      </c>
      <c r="Z309" s="3">
        <v>3</v>
      </c>
      <c r="AA309" s="3">
        <v>3</v>
      </c>
      <c r="AB309" s="3">
        <v>3.5</v>
      </c>
      <c r="AC309" s="3">
        <v>3.5</v>
      </c>
      <c r="AD309" s="3">
        <v>3.5</v>
      </c>
      <c r="AE309" t="s">
        <v>5552</v>
      </c>
      <c r="AF309" t="s">
        <v>893</v>
      </c>
    </row>
    <row r="310" spans="1:32" x14ac:dyDescent="0.3">
      <c r="A310" t="s">
        <v>1826</v>
      </c>
      <c r="B310" s="1" t="s">
        <v>1205</v>
      </c>
      <c r="C310" s="5" t="s">
        <v>2376</v>
      </c>
      <c r="D310" s="2" t="s">
        <v>3893</v>
      </c>
      <c r="E310" s="1" t="s">
        <v>1185</v>
      </c>
      <c r="F310" s="3"/>
      <c r="G310" s="3"/>
      <c r="H310" s="3"/>
      <c r="I310" s="3"/>
      <c r="J310" s="3"/>
      <c r="K310" s="3">
        <v>2</v>
      </c>
      <c r="L310" s="3">
        <v>2</v>
      </c>
      <c r="M310" s="3">
        <v>2.5</v>
      </c>
      <c r="N310" s="3">
        <v>2.5</v>
      </c>
      <c r="O310" s="3">
        <v>2.5</v>
      </c>
      <c r="P310" s="3">
        <v>2.5</v>
      </c>
      <c r="Q310" s="3">
        <v>3</v>
      </c>
      <c r="R310" s="3">
        <v>3.5</v>
      </c>
      <c r="S310" s="3">
        <v>3.5</v>
      </c>
      <c r="T310" s="3">
        <v>3.5</v>
      </c>
      <c r="U310" s="3">
        <v>3.5</v>
      </c>
      <c r="V310" s="3">
        <v>3.5</v>
      </c>
      <c r="W310" s="3">
        <v>3.5</v>
      </c>
      <c r="X310" s="3">
        <v>3.5</v>
      </c>
      <c r="Y310" s="3">
        <v>3.5</v>
      </c>
      <c r="Z310" s="3">
        <v>3.5</v>
      </c>
      <c r="AA310" s="3">
        <v>3.5</v>
      </c>
      <c r="AB310" s="3">
        <v>3.5</v>
      </c>
      <c r="AC310" s="3">
        <v>4</v>
      </c>
      <c r="AD310" s="3">
        <v>4</v>
      </c>
      <c r="AE310" t="s">
        <v>5553</v>
      </c>
      <c r="AF310" t="s">
        <v>1417</v>
      </c>
    </row>
    <row r="311" spans="1:32" x14ac:dyDescent="0.3">
      <c r="A311" t="s">
        <v>1826</v>
      </c>
      <c r="B311" s="1" t="s">
        <v>1205</v>
      </c>
      <c r="C311" s="5" t="s">
        <v>2377</v>
      </c>
      <c r="D311" s="2" t="s">
        <v>3894</v>
      </c>
      <c r="E311" s="1" t="s">
        <v>177</v>
      </c>
      <c r="F311" s="3"/>
      <c r="G311" s="3"/>
      <c r="H311" s="3"/>
      <c r="I311" s="3"/>
      <c r="J311" s="3"/>
      <c r="K311" s="3">
        <v>2.5</v>
      </c>
      <c r="L311" s="3">
        <v>2.5</v>
      </c>
      <c r="M311" s="3">
        <v>2.5</v>
      </c>
      <c r="N311" s="3">
        <v>2.5</v>
      </c>
      <c r="O311" s="3">
        <v>2.5</v>
      </c>
      <c r="P311" s="3">
        <v>2.5</v>
      </c>
      <c r="Q311" s="3">
        <v>2.5</v>
      </c>
      <c r="R311" s="3">
        <v>2.5</v>
      </c>
      <c r="S311" s="3">
        <v>3</v>
      </c>
      <c r="T311" s="3">
        <v>3</v>
      </c>
      <c r="U311" s="3">
        <v>3</v>
      </c>
      <c r="V311" s="3">
        <v>3</v>
      </c>
      <c r="W311" s="3">
        <v>3</v>
      </c>
      <c r="X311" s="3">
        <v>3</v>
      </c>
      <c r="Y311" s="3">
        <v>3</v>
      </c>
      <c r="Z311" s="3">
        <v>3</v>
      </c>
      <c r="AA311" s="3">
        <v>3.5</v>
      </c>
      <c r="AB311" s="3">
        <v>3.5</v>
      </c>
      <c r="AC311" s="3">
        <v>3.5</v>
      </c>
      <c r="AD311" s="3">
        <v>3.5</v>
      </c>
      <c r="AE311" t="s">
        <v>5554</v>
      </c>
      <c r="AF311" t="s">
        <v>893</v>
      </c>
    </row>
    <row r="312" spans="1:32" x14ac:dyDescent="0.3">
      <c r="A312" t="s">
        <v>1826</v>
      </c>
      <c r="B312" s="1" t="s">
        <v>1205</v>
      </c>
      <c r="C312" s="5" t="s">
        <v>2378</v>
      </c>
      <c r="D312" s="2" t="s">
        <v>3895</v>
      </c>
      <c r="E312" s="1" t="s">
        <v>611</v>
      </c>
      <c r="F312" s="3"/>
      <c r="G312" s="3"/>
      <c r="H312" s="3"/>
      <c r="I312" s="3"/>
      <c r="J312" s="3"/>
      <c r="K312" s="3">
        <v>2.5</v>
      </c>
      <c r="L312" s="3">
        <v>2.5</v>
      </c>
      <c r="M312" s="3">
        <v>3</v>
      </c>
      <c r="N312" s="3">
        <v>3</v>
      </c>
      <c r="O312" s="3">
        <v>3.5</v>
      </c>
      <c r="P312" s="3">
        <v>3.5</v>
      </c>
      <c r="Q312" s="3">
        <v>3.5</v>
      </c>
      <c r="R312" s="3">
        <v>4</v>
      </c>
      <c r="S312" s="3">
        <v>4</v>
      </c>
      <c r="T312" s="3">
        <v>4</v>
      </c>
      <c r="U312" s="3">
        <v>4</v>
      </c>
      <c r="V312" s="3">
        <v>4</v>
      </c>
      <c r="W312" s="3">
        <v>4</v>
      </c>
      <c r="X312" s="3">
        <v>4</v>
      </c>
      <c r="Y312" s="3">
        <v>4</v>
      </c>
      <c r="Z312" s="3">
        <v>4</v>
      </c>
      <c r="AA312" s="3">
        <v>4</v>
      </c>
      <c r="AB312" s="3">
        <v>4</v>
      </c>
      <c r="AC312" s="3">
        <v>4</v>
      </c>
      <c r="AD312" s="3">
        <v>4</v>
      </c>
      <c r="AE312" t="s">
        <v>5555</v>
      </c>
      <c r="AF312" t="s">
        <v>1417</v>
      </c>
    </row>
    <row r="313" spans="1:32" ht="28.8" x14ac:dyDescent="0.3">
      <c r="A313" t="s">
        <v>1826</v>
      </c>
      <c r="B313" s="1" t="s">
        <v>1205</v>
      </c>
      <c r="C313" s="5" t="s">
        <v>2379</v>
      </c>
      <c r="D313" s="2" t="s">
        <v>3896</v>
      </c>
      <c r="E313" s="1" t="s">
        <v>954</v>
      </c>
      <c r="F313" s="3"/>
      <c r="G313" s="3"/>
      <c r="H313" s="3"/>
      <c r="I313" s="3"/>
      <c r="J313" s="3"/>
      <c r="K313" s="3">
        <v>2.2999999999999998</v>
      </c>
      <c r="L313" s="3">
        <v>2.2999999999999998</v>
      </c>
      <c r="M313" s="3">
        <v>2.2999999999999998</v>
      </c>
      <c r="N313" s="3">
        <v>2.2999999999999998</v>
      </c>
      <c r="O313" s="3">
        <v>2.4</v>
      </c>
      <c r="P313" s="3">
        <v>2.4</v>
      </c>
      <c r="Q313" s="3">
        <v>2.6</v>
      </c>
      <c r="R313" s="3">
        <v>2.8</v>
      </c>
      <c r="S313" s="3">
        <v>2.9</v>
      </c>
      <c r="T313" s="3">
        <v>2.9</v>
      </c>
      <c r="U313" s="3">
        <v>3</v>
      </c>
      <c r="V313" s="3">
        <v>3.2</v>
      </c>
      <c r="W313" s="3">
        <v>3.3</v>
      </c>
      <c r="X313" s="3">
        <v>3.4</v>
      </c>
      <c r="Y313" s="3">
        <v>3.5</v>
      </c>
      <c r="Z313" s="3">
        <v>3.5</v>
      </c>
      <c r="AA313" s="3">
        <v>3.6</v>
      </c>
      <c r="AB313" s="3">
        <v>3.7</v>
      </c>
      <c r="AC313" s="3">
        <v>3.7</v>
      </c>
      <c r="AD313" s="3">
        <v>3.8</v>
      </c>
      <c r="AE313" t="s">
        <v>5556</v>
      </c>
      <c r="AF313" t="s">
        <v>893</v>
      </c>
    </row>
    <row r="314" spans="1:32" ht="28.8" x14ac:dyDescent="0.3">
      <c r="A314" t="s">
        <v>1826</v>
      </c>
      <c r="B314" s="1" t="s">
        <v>1205</v>
      </c>
      <c r="C314" s="5" t="s">
        <v>2380</v>
      </c>
      <c r="D314" s="2" t="s">
        <v>3897</v>
      </c>
      <c r="E314" s="1" t="s">
        <v>1586</v>
      </c>
      <c r="F314" s="3"/>
      <c r="G314" s="3"/>
      <c r="H314" s="3"/>
      <c r="I314" s="3"/>
      <c r="J314" s="3"/>
      <c r="K314" s="3">
        <v>3</v>
      </c>
      <c r="L314" s="3">
        <v>3</v>
      </c>
      <c r="M314" s="3">
        <v>2.5</v>
      </c>
      <c r="N314" s="3">
        <v>2.5</v>
      </c>
      <c r="O314" s="3">
        <v>2.5</v>
      </c>
      <c r="P314" s="3">
        <v>2.5</v>
      </c>
      <c r="Q314" s="3">
        <v>2.5</v>
      </c>
      <c r="R314" s="3">
        <v>3</v>
      </c>
      <c r="S314" s="3">
        <v>3</v>
      </c>
      <c r="T314" s="3">
        <v>3</v>
      </c>
      <c r="U314" s="3">
        <v>3</v>
      </c>
      <c r="V314" s="3">
        <v>3</v>
      </c>
      <c r="W314" s="3">
        <v>3.5</v>
      </c>
      <c r="X314" s="3">
        <v>3.5</v>
      </c>
      <c r="Y314" s="3">
        <v>4</v>
      </c>
      <c r="Z314" s="3">
        <v>4</v>
      </c>
      <c r="AA314" s="3">
        <v>3.5</v>
      </c>
      <c r="AB314" s="3">
        <v>4</v>
      </c>
      <c r="AC314" s="3">
        <v>4</v>
      </c>
      <c r="AD314" s="3">
        <v>4</v>
      </c>
      <c r="AE314" t="s">
        <v>5557</v>
      </c>
      <c r="AF314" t="s">
        <v>893</v>
      </c>
    </row>
    <row r="315" spans="1:32" ht="28.8" x14ac:dyDescent="0.3">
      <c r="A315" t="s">
        <v>1826</v>
      </c>
      <c r="B315" s="1" t="s">
        <v>1205</v>
      </c>
      <c r="C315" s="5" t="s">
        <v>2381</v>
      </c>
      <c r="D315" s="2" t="s">
        <v>3898</v>
      </c>
      <c r="E315" s="1" t="s">
        <v>461</v>
      </c>
      <c r="F315" s="3"/>
      <c r="G315" s="3"/>
      <c r="H315" s="3"/>
      <c r="I315" s="3"/>
      <c r="J315" s="3"/>
      <c r="K315" s="3">
        <v>2</v>
      </c>
      <c r="L315" s="3">
        <v>2</v>
      </c>
      <c r="M315" s="3">
        <v>2</v>
      </c>
      <c r="N315" s="3">
        <v>2</v>
      </c>
      <c r="O315" s="3">
        <v>2</v>
      </c>
      <c r="P315" s="3">
        <v>2</v>
      </c>
      <c r="Q315" s="3">
        <v>2</v>
      </c>
      <c r="R315" s="3">
        <v>2.5</v>
      </c>
      <c r="S315" s="3">
        <v>3</v>
      </c>
      <c r="T315" s="3">
        <v>3</v>
      </c>
      <c r="U315" s="3">
        <v>3</v>
      </c>
      <c r="V315" s="3">
        <v>3</v>
      </c>
      <c r="W315" s="3">
        <v>3</v>
      </c>
      <c r="X315" s="3">
        <v>3.5</v>
      </c>
      <c r="Y315" s="3">
        <v>3.5</v>
      </c>
      <c r="Z315" s="3">
        <v>3.5</v>
      </c>
      <c r="AA315" s="3">
        <v>3.5</v>
      </c>
      <c r="AB315" s="3">
        <v>3.5</v>
      </c>
      <c r="AC315" s="3">
        <v>3.5</v>
      </c>
      <c r="AD315" s="3">
        <v>3.5</v>
      </c>
      <c r="AE315" t="s">
        <v>5558</v>
      </c>
      <c r="AF315" t="s">
        <v>893</v>
      </c>
    </row>
    <row r="316" spans="1:32" x14ac:dyDescent="0.3">
      <c r="A316" t="s">
        <v>1826</v>
      </c>
      <c r="B316" s="1" t="s">
        <v>1205</v>
      </c>
      <c r="C316" s="5" t="s">
        <v>2382</v>
      </c>
      <c r="D316" s="2" t="s">
        <v>3899</v>
      </c>
      <c r="E316" s="1" t="s">
        <v>938</v>
      </c>
      <c r="F316" s="3"/>
      <c r="G316" s="3"/>
      <c r="H316" s="3"/>
      <c r="I316" s="3"/>
      <c r="J316" s="3"/>
      <c r="K316" s="3">
        <v>2.5</v>
      </c>
      <c r="L316" s="3">
        <v>2.5</v>
      </c>
      <c r="M316" s="3">
        <v>2.4</v>
      </c>
      <c r="N316" s="3">
        <v>2.5</v>
      </c>
      <c r="O316" s="3">
        <v>2.6</v>
      </c>
      <c r="P316" s="3">
        <v>2.4</v>
      </c>
      <c r="Q316" s="3">
        <v>2.7</v>
      </c>
      <c r="R316" s="3">
        <v>2.8</v>
      </c>
      <c r="S316" s="3">
        <v>3</v>
      </c>
      <c r="T316" s="3">
        <v>3.1</v>
      </c>
      <c r="U316" s="3">
        <v>3.1</v>
      </c>
      <c r="V316" s="3">
        <v>3.2</v>
      </c>
      <c r="W316" s="3">
        <v>3.2</v>
      </c>
      <c r="X316" s="3">
        <v>3.3</v>
      </c>
      <c r="Y316" s="3">
        <v>3.5</v>
      </c>
      <c r="Z316" s="3">
        <v>3.5</v>
      </c>
      <c r="AA316" s="3">
        <v>3.5</v>
      </c>
      <c r="AB316" s="3">
        <v>3.6</v>
      </c>
      <c r="AC316" s="3">
        <v>3.7</v>
      </c>
      <c r="AD316" s="3">
        <v>3.8</v>
      </c>
      <c r="AE316" t="s">
        <v>5559</v>
      </c>
      <c r="AF316" t="s">
        <v>893</v>
      </c>
    </row>
    <row r="317" spans="1:32" x14ac:dyDescent="0.3">
      <c r="A317" t="s">
        <v>1826</v>
      </c>
      <c r="B317" s="1" t="s">
        <v>1205</v>
      </c>
      <c r="C317" s="5" t="s">
        <v>2383</v>
      </c>
      <c r="D317" s="2" t="s">
        <v>3900</v>
      </c>
      <c r="E317" s="1" t="s">
        <v>490</v>
      </c>
      <c r="F317" s="3"/>
      <c r="G317" s="3"/>
      <c r="H317" s="3"/>
      <c r="I317" s="3"/>
      <c r="J317" s="3"/>
      <c r="K317" s="3">
        <v>2.5</v>
      </c>
      <c r="L317" s="3">
        <v>2.5</v>
      </c>
      <c r="M317" s="3">
        <v>2</v>
      </c>
      <c r="N317" s="3">
        <v>2</v>
      </c>
      <c r="O317" s="3">
        <v>2.5</v>
      </c>
      <c r="P317" s="3">
        <v>2.5</v>
      </c>
      <c r="Q317" s="3">
        <v>3</v>
      </c>
      <c r="R317" s="3">
        <v>3</v>
      </c>
      <c r="S317" s="3">
        <v>3</v>
      </c>
      <c r="T317" s="3">
        <v>3</v>
      </c>
      <c r="U317" s="3">
        <v>3</v>
      </c>
      <c r="V317" s="3">
        <v>3.5</v>
      </c>
      <c r="W317" s="3">
        <v>3.5</v>
      </c>
      <c r="X317" s="3">
        <v>3.5</v>
      </c>
      <c r="Y317" s="3">
        <v>4</v>
      </c>
      <c r="Z317" s="3">
        <v>4</v>
      </c>
      <c r="AA317" s="3">
        <v>4</v>
      </c>
      <c r="AB317" s="3">
        <v>4</v>
      </c>
      <c r="AC317" s="3">
        <v>4</v>
      </c>
      <c r="AD317" s="3">
        <v>4</v>
      </c>
      <c r="AE317" t="s">
        <v>5560</v>
      </c>
      <c r="AF317" t="s">
        <v>893</v>
      </c>
    </row>
    <row r="318" spans="1:32" x14ac:dyDescent="0.3">
      <c r="A318" t="s">
        <v>1826</v>
      </c>
      <c r="B318" s="1" t="s">
        <v>1205</v>
      </c>
      <c r="C318" s="5" t="s">
        <v>2384</v>
      </c>
      <c r="D318" s="2" t="s">
        <v>3901</v>
      </c>
      <c r="E318" s="1" t="s">
        <v>1033</v>
      </c>
      <c r="F318" s="3"/>
      <c r="G318" s="3"/>
      <c r="H318" s="3"/>
      <c r="I318" s="3"/>
      <c r="J318" s="3"/>
      <c r="K318" s="3">
        <v>2</v>
      </c>
      <c r="L318" s="3">
        <v>2</v>
      </c>
      <c r="M318" s="3">
        <v>2</v>
      </c>
      <c r="N318" s="3">
        <v>2</v>
      </c>
      <c r="O318" s="3">
        <v>2</v>
      </c>
      <c r="P318" s="3">
        <v>2</v>
      </c>
      <c r="Q318" s="3">
        <v>2.5</v>
      </c>
      <c r="R318" s="3">
        <v>2.5</v>
      </c>
      <c r="S318" s="3">
        <v>2.5</v>
      </c>
      <c r="T318" s="3">
        <v>3</v>
      </c>
      <c r="U318" s="3">
        <v>3</v>
      </c>
      <c r="V318" s="3">
        <v>3</v>
      </c>
      <c r="W318" s="3">
        <v>3</v>
      </c>
      <c r="X318" s="3">
        <v>3</v>
      </c>
      <c r="Y318" s="3">
        <v>3</v>
      </c>
      <c r="Z318" s="3">
        <v>3</v>
      </c>
      <c r="AA318" s="3">
        <v>3</v>
      </c>
      <c r="AB318" s="3">
        <v>3.5</v>
      </c>
      <c r="AC318" s="3">
        <v>3.5</v>
      </c>
      <c r="AD318" s="3">
        <v>3.5</v>
      </c>
      <c r="AE318" t="s">
        <v>5561</v>
      </c>
      <c r="AF318" t="s">
        <v>893</v>
      </c>
    </row>
    <row r="319" spans="1:32" x14ac:dyDescent="0.3">
      <c r="A319" t="s">
        <v>1826</v>
      </c>
      <c r="B319" s="1" t="s">
        <v>1205</v>
      </c>
      <c r="C319" s="5" t="s">
        <v>2385</v>
      </c>
      <c r="D319" s="2" t="s">
        <v>3902</v>
      </c>
      <c r="E319" s="1" t="s">
        <v>60</v>
      </c>
      <c r="F319" s="3"/>
      <c r="G319" s="3"/>
      <c r="H319" s="3"/>
      <c r="I319" s="3"/>
      <c r="J319" s="3"/>
      <c r="K319" s="3">
        <v>2.5</v>
      </c>
      <c r="L319" s="3">
        <v>2.5</v>
      </c>
      <c r="M319" s="3">
        <v>2.5</v>
      </c>
      <c r="N319" s="3">
        <v>2.5</v>
      </c>
      <c r="O319" s="3">
        <v>2.5</v>
      </c>
      <c r="P319" s="3">
        <v>2.5</v>
      </c>
      <c r="Q319" s="3">
        <v>2.5</v>
      </c>
      <c r="R319" s="3">
        <v>2.5</v>
      </c>
      <c r="S319" s="3">
        <v>2.5</v>
      </c>
      <c r="T319" s="3">
        <v>2.5</v>
      </c>
      <c r="U319" s="3">
        <v>2.5</v>
      </c>
      <c r="V319" s="3">
        <v>3</v>
      </c>
      <c r="W319" s="3">
        <v>3</v>
      </c>
      <c r="X319" s="3">
        <v>3</v>
      </c>
      <c r="Y319" s="3">
        <v>3</v>
      </c>
      <c r="Z319" s="3">
        <v>3</v>
      </c>
      <c r="AA319" s="3">
        <v>3</v>
      </c>
      <c r="AB319" s="3">
        <v>3</v>
      </c>
      <c r="AC319" s="3">
        <v>3</v>
      </c>
      <c r="AD319" s="3">
        <v>3.5</v>
      </c>
      <c r="AE319" t="s">
        <v>5562</v>
      </c>
      <c r="AF319" t="s">
        <v>893</v>
      </c>
    </row>
    <row r="320" spans="1:32" x14ac:dyDescent="0.3">
      <c r="A320" t="s">
        <v>1826</v>
      </c>
      <c r="B320" s="1" t="s">
        <v>1205</v>
      </c>
      <c r="C320" s="5" t="s">
        <v>2386</v>
      </c>
      <c r="D320" s="2" t="s">
        <v>3903</v>
      </c>
      <c r="E320" s="1" t="s">
        <v>1059</v>
      </c>
      <c r="F320" s="3"/>
      <c r="G320" s="3"/>
      <c r="H320" s="3"/>
      <c r="I320" s="3"/>
      <c r="J320" s="3"/>
      <c r="K320" s="3">
        <v>3.1666666666666701</v>
      </c>
      <c r="L320" s="3">
        <v>3.1666666666666701</v>
      </c>
      <c r="M320" s="3">
        <v>3.1666666666666701</v>
      </c>
      <c r="N320" s="3">
        <v>3.3</v>
      </c>
      <c r="O320" s="3">
        <v>3.3333333333333299</v>
      </c>
      <c r="P320" s="3">
        <v>3.3333333333333299</v>
      </c>
      <c r="Q320" s="3">
        <v>3.3333333333333299</v>
      </c>
      <c r="R320" s="3">
        <v>3.3333333333333299</v>
      </c>
      <c r="S320" s="3">
        <v>3.3333333333333299</v>
      </c>
      <c r="T320" s="3">
        <v>3.3333300000000001</v>
      </c>
      <c r="U320" s="3">
        <v>3.3333300000000001</v>
      </c>
      <c r="V320" s="3">
        <v>3.3333333333333299</v>
      </c>
      <c r="W320" s="3">
        <v>3.3333333333333299</v>
      </c>
      <c r="X320" s="3">
        <v>3.5</v>
      </c>
      <c r="Y320" s="3">
        <v>3.3333333333333299</v>
      </c>
      <c r="Z320" s="3">
        <v>3.5</v>
      </c>
      <c r="AA320" s="3">
        <v>3.5</v>
      </c>
      <c r="AB320" s="3">
        <v>3.8333330000000001</v>
      </c>
      <c r="AC320" s="3">
        <v>3.8333330000000001</v>
      </c>
      <c r="AD320" s="3">
        <v>3.8333330000000001</v>
      </c>
      <c r="AE320" t="s">
        <v>5563</v>
      </c>
      <c r="AF320" t="s">
        <v>893</v>
      </c>
    </row>
    <row r="321" spans="1:32" x14ac:dyDescent="0.3">
      <c r="A321" t="s">
        <v>1826</v>
      </c>
      <c r="B321" s="1" t="s">
        <v>1205</v>
      </c>
      <c r="C321" s="5" t="s">
        <v>2387</v>
      </c>
      <c r="D321" s="2" t="s">
        <v>3904</v>
      </c>
      <c r="E321" s="1" t="s">
        <v>1230</v>
      </c>
      <c r="F321" s="3"/>
      <c r="G321" s="3"/>
      <c r="H321" s="3"/>
      <c r="I321" s="3"/>
      <c r="J321" s="3"/>
      <c r="K321" s="3">
        <v>3.5</v>
      </c>
      <c r="L321" s="3">
        <v>3.5</v>
      </c>
      <c r="M321" s="3">
        <v>3.5</v>
      </c>
      <c r="N321" s="3">
        <v>4</v>
      </c>
      <c r="O321" s="3">
        <v>4</v>
      </c>
      <c r="P321" s="3">
        <v>4</v>
      </c>
      <c r="Q321" s="3">
        <v>4</v>
      </c>
      <c r="R321" s="3">
        <v>4</v>
      </c>
      <c r="S321" s="3">
        <v>4</v>
      </c>
      <c r="T321" s="3">
        <v>4</v>
      </c>
      <c r="U321" s="3">
        <v>4</v>
      </c>
      <c r="V321" s="3">
        <v>4</v>
      </c>
      <c r="W321" s="3">
        <v>4</v>
      </c>
      <c r="X321" s="3">
        <v>4</v>
      </c>
      <c r="Y321" s="3">
        <v>4</v>
      </c>
      <c r="Z321" s="3">
        <v>4</v>
      </c>
      <c r="AA321" s="3">
        <v>4</v>
      </c>
      <c r="AB321" s="3">
        <v>4.5</v>
      </c>
      <c r="AC321" s="3">
        <v>4.5</v>
      </c>
      <c r="AD321" s="3">
        <v>4.5</v>
      </c>
      <c r="AE321" t="s">
        <v>5564</v>
      </c>
      <c r="AF321" t="s">
        <v>1490</v>
      </c>
    </row>
    <row r="322" spans="1:32" ht="28.8" x14ac:dyDescent="0.3">
      <c r="A322" t="s">
        <v>1826</v>
      </c>
      <c r="B322" s="1" t="s">
        <v>1205</v>
      </c>
      <c r="C322" s="5" t="s">
        <v>2388</v>
      </c>
      <c r="D322" s="2" t="s">
        <v>3905</v>
      </c>
      <c r="E322" s="1" t="s">
        <v>1416</v>
      </c>
      <c r="F322" s="3"/>
      <c r="G322" s="3"/>
      <c r="H322" s="3"/>
      <c r="I322" s="3"/>
      <c r="J322" s="3"/>
      <c r="K322" s="3">
        <v>2</v>
      </c>
      <c r="L322" s="3">
        <v>2</v>
      </c>
      <c r="M322" s="3">
        <v>2</v>
      </c>
      <c r="N322" s="3">
        <v>2.5</v>
      </c>
      <c r="O322" s="3">
        <v>2.5</v>
      </c>
      <c r="P322" s="3">
        <v>2</v>
      </c>
      <c r="Q322" s="3">
        <v>2.5</v>
      </c>
      <c r="R322" s="3">
        <v>2.5</v>
      </c>
      <c r="S322" s="3">
        <v>3</v>
      </c>
      <c r="T322" s="3">
        <v>3</v>
      </c>
      <c r="U322" s="3">
        <v>3</v>
      </c>
      <c r="V322" s="3">
        <v>3</v>
      </c>
      <c r="W322" s="3">
        <v>3</v>
      </c>
      <c r="X322" s="3">
        <v>3</v>
      </c>
      <c r="Y322" s="3">
        <v>3.5</v>
      </c>
      <c r="Z322" s="3">
        <v>3.5</v>
      </c>
      <c r="AA322" s="3">
        <v>3.5</v>
      </c>
      <c r="AB322" s="3">
        <v>3.5</v>
      </c>
      <c r="AC322" s="3">
        <v>4</v>
      </c>
      <c r="AD322" s="3">
        <v>4</v>
      </c>
      <c r="AE322" t="s">
        <v>5565</v>
      </c>
      <c r="AF322" t="s">
        <v>893</v>
      </c>
    </row>
    <row r="323" spans="1:32" x14ac:dyDescent="0.3">
      <c r="A323" t="s">
        <v>1826</v>
      </c>
      <c r="B323" s="1" t="s">
        <v>1205</v>
      </c>
      <c r="C323" s="5" t="s">
        <v>2389</v>
      </c>
      <c r="D323" s="2" t="s">
        <v>3906</v>
      </c>
      <c r="E323" s="1" t="s">
        <v>561</v>
      </c>
      <c r="F323" s="3">
        <v>71.680000000000007</v>
      </c>
      <c r="G323" s="3">
        <v>67.510000000000005</v>
      </c>
      <c r="H323" s="3">
        <v>67.38</v>
      </c>
      <c r="I323" s="3">
        <v>66.760000000000005</v>
      </c>
      <c r="J323" s="3">
        <v>67.930000000000007</v>
      </c>
      <c r="K323" s="3">
        <v>70.989999999999995</v>
      </c>
      <c r="L323" s="3">
        <v>73.53</v>
      </c>
      <c r="M323" s="3">
        <v>70.56</v>
      </c>
      <c r="N323" s="3">
        <v>74.37</v>
      </c>
      <c r="O323" s="3">
        <v>69.34</v>
      </c>
      <c r="P323" s="3">
        <v>73.510000000000005</v>
      </c>
      <c r="Q323" s="3">
        <v>76.14</v>
      </c>
      <c r="R323" s="3">
        <v>83.12</v>
      </c>
      <c r="S323" s="3">
        <v>85.71</v>
      </c>
      <c r="T323" s="3">
        <v>94.35</v>
      </c>
      <c r="U323" s="3">
        <v>104.58</v>
      </c>
      <c r="V323" s="3">
        <v>101.08</v>
      </c>
      <c r="W323" s="3">
        <v>111.1</v>
      </c>
      <c r="X323" s="3">
        <v>116.99</v>
      </c>
      <c r="Y323" s="3">
        <v>121.5</v>
      </c>
      <c r="Z323" s="3">
        <v>125.74</v>
      </c>
      <c r="AA323" s="3">
        <v>129.93</v>
      </c>
      <c r="AB323" s="3">
        <v>133.26</v>
      </c>
      <c r="AC323" s="3"/>
      <c r="AD323" s="3"/>
      <c r="AE323" t="s">
        <v>5566</v>
      </c>
      <c r="AF323" t="s">
        <v>230</v>
      </c>
    </row>
    <row r="324" spans="1:32" x14ac:dyDescent="0.3">
      <c r="A324" t="s">
        <v>1826</v>
      </c>
      <c r="B324" s="1" t="s">
        <v>1205</v>
      </c>
      <c r="C324" s="5" t="s">
        <v>2390</v>
      </c>
      <c r="D324" s="2" t="s">
        <v>3907</v>
      </c>
      <c r="E324" s="1" t="s">
        <v>1019</v>
      </c>
      <c r="F324" s="3"/>
      <c r="G324" s="3"/>
      <c r="H324" s="3"/>
      <c r="I324" s="3"/>
      <c r="J324" s="3"/>
      <c r="K324" s="3">
        <v>0.16512285665297219</v>
      </c>
      <c r="L324" s="3">
        <v>1.8962180704556317</v>
      </c>
      <c r="M324" s="3">
        <v>-0.48408867967027785</v>
      </c>
      <c r="N324" s="3">
        <v>1.3304425566433573</v>
      </c>
      <c r="O324" s="3">
        <v>4.7927175669835309</v>
      </c>
      <c r="P324" s="3">
        <v>1.3309527010822282</v>
      </c>
      <c r="Q324" s="3">
        <v>7.2661276177217138</v>
      </c>
      <c r="R324" s="3">
        <v>-0.88295857482346518</v>
      </c>
      <c r="S324" s="3">
        <v>-1.4801227777138344</v>
      </c>
      <c r="T324" s="3">
        <v>1.0456241367280636</v>
      </c>
      <c r="U324" s="3">
        <v>-0.43953482350604334</v>
      </c>
      <c r="V324" s="3">
        <v>-0.85579863084998387</v>
      </c>
      <c r="W324" s="3">
        <v>-1.9978001530464307</v>
      </c>
      <c r="X324" s="3">
        <v>-3.9036308672318527</v>
      </c>
      <c r="Y324" s="3">
        <v>-2.2337905902484807</v>
      </c>
      <c r="Z324" s="3">
        <v>-3.1324353675517691</v>
      </c>
      <c r="AA324" s="3">
        <v>-3.9482531147695186</v>
      </c>
      <c r="AB324" s="3">
        <v>-7.6052068037839105</v>
      </c>
      <c r="AC324" s="3"/>
      <c r="AD324" s="3"/>
      <c r="AE324" t="s">
        <v>5567</v>
      </c>
      <c r="AF324" t="s">
        <v>613</v>
      </c>
    </row>
    <row r="325" spans="1:32" x14ac:dyDescent="0.3">
      <c r="A325" t="s">
        <v>1826</v>
      </c>
      <c r="B325" s="1" t="s">
        <v>1205</v>
      </c>
      <c r="C325" s="5" t="s">
        <v>2391</v>
      </c>
      <c r="D325" s="2" t="s">
        <v>3908</v>
      </c>
      <c r="E325" s="1" t="s">
        <v>1062</v>
      </c>
      <c r="F325" s="3"/>
      <c r="G325" s="3"/>
      <c r="H325" s="3"/>
      <c r="I325" s="3"/>
      <c r="J325" s="3"/>
      <c r="K325" s="3">
        <v>39690446.8140347</v>
      </c>
      <c r="L325" s="3">
        <v>479390726.76661199</v>
      </c>
      <c r="M325" s="3">
        <v>-139224344.56784001</v>
      </c>
      <c r="N325" s="3">
        <v>453391411.41666102</v>
      </c>
      <c r="O325" s="3">
        <v>1624099251.5334101</v>
      </c>
      <c r="P325" s="3">
        <v>464985734.719055</v>
      </c>
      <c r="Q325" s="3">
        <v>2666211854.5072899</v>
      </c>
      <c r="R325" s="3">
        <v>-320534296.11348599</v>
      </c>
      <c r="S325" s="3">
        <v>-632903985.21177602</v>
      </c>
      <c r="T325" s="3">
        <v>510714255.800385</v>
      </c>
      <c r="U325" s="3">
        <v>-201372902.11001399</v>
      </c>
      <c r="V325" s="3">
        <v>-414272956.17826998</v>
      </c>
      <c r="W325" s="3">
        <v>-1049091688.73414</v>
      </c>
      <c r="X325" s="3">
        <v>-2284501507.1500902</v>
      </c>
      <c r="Y325" s="3">
        <v>-1348827419.86918</v>
      </c>
      <c r="Z325" s="3">
        <v>-1974306752.6854601</v>
      </c>
      <c r="AA325" s="3">
        <v>-2874116508.89644</v>
      </c>
      <c r="AB325" s="3">
        <v>-5393827498.9511204</v>
      </c>
      <c r="AC325" s="3"/>
      <c r="AD325" s="3"/>
      <c r="AE325" t="s">
        <v>5568</v>
      </c>
      <c r="AF325" t="s">
        <v>613</v>
      </c>
    </row>
    <row r="326" spans="1:32" ht="28.8" x14ac:dyDescent="0.3">
      <c r="A326" t="s">
        <v>1826</v>
      </c>
      <c r="B326" s="1" t="s">
        <v>1205</v>
      </c>
      <c r="C326" s="5" t="s">
        <v>2392</v>
      </c>
      <c r="D326" s="2" t="s">
        <v>3909</v>
      </c>
      <c r="E326" s="1" t="s">
        <v>473</v>
      </c>
      <c r="F326" s="3"/>
      <c r="G326" s="3"/>
      <c r="H326" s="3"/>
      <c r="I326" s="3"/>
      <c r="J326" s="3"/>
      <c r="K326" s="3"/>
      <c r="L326" s="3">
        <v>98.873077392578097</v>
      </c>
      <c r="M326" s="3">
        <v>97.328201293945298</v>
      </c>
      <c r="N326" s="3">
        <v>95.120506286621094</v>
      </c>
      <c r="O326" s="3">
        <v>93.418281555175795</v>
      </c>
      <c r="P326" s="3">
        <v>94.133903503417997</v>
      </c>
      <c r="Q326" s="3">
        <v>98.28662109375</v>
      </c>
      <c r="R326" s="3">
        <v>93.481613159179702</v>
      </c>
      <c r="S326" s="3">
        <v>92.019996643066406</v>
      </c>
      <c r="T326" s="3">
        <v>93.927833557128906</v>
      </c>
      <c r="U326" s="3">
        <v>96.434120178222699</v>
      </c>
      <c r="V326" s="3">
        <v>99.182868957519503</v>
      </c>
      <c r="W326" s="3">
        <v>99.216712951660199</v>
      </c>
      <c r="X326" s="3">
        <v>98.973480224609403</v>
      </c>
      <c r="Y326" s="3">
        <v>98.984970092773395</v>
      </c>
      <c r="Z326" s="3">
        <v>98.692909240722699</v>
      </c>
      <c r="AA326" s="3">
        <v>99.692832946777301</v>
      </c>
      <c r="AB326" s="3">
        <v>97.13134765625</v>
      </c>
      <c r="AC326" s="3">
        <v>93.208343505859403</v>
      </c>
      <c r="AD326" s="3"/>
      <c r="AE326" t="s">
        <v>5569</v>
      </c>
      <c r="AF326" t="s">
        <v>159</v>
      </c>
    </row>
    <row r="327" spans="1:32" ht="28.8" x14ac:dyDescent="0.3">
      <c r="A327" t="s">
        <v>1826</v>
      </c>
      <c r="B327" s="1" t="s">
        <v>1205</v>
      </c>
      <c r="C327" s="5" t="s">
        <v>2393</v>
      </c>
      <c r="D327" s="2" t="s">
        <v>3910</v>
      </c>
      <c r="E327" s="1" t="s">
        <v>486</v>
      </c>
      <c r="F327" s="3"/>
      <c r="G327" s="3"/>
      <c r="H327" s="3"/>
      <c r="I327" s="3"/>
      <c r="J327" s="3"/>
      <c r="K327" s="3"/>
      <c r="L327" s="3">
        <v>94.703552246093807</v>
      </c>
      <c r="M327" s="3">
        <v>94.497276306152301</v>
      </c>
      <c r="N327" s="3">
        <v>92.859420776367202</v>
      </c>
      <c r="O327" s="3">
        <v>87.182830810546903</v>
      </c>
      <c r="P327" s="3">
        <v>90.092201232910199</v>
      </c>
      <c r="Q327" s="3">
        <v>91.680877685546903</v>
      </c>
      <c r="R327" s="3">
        <v>85.192169189453097</v>
      </c>
      <c r="S327" s="3">
        <v>89.140937805175795</v>
      </c>
      <c r="T327" s="3">
        <v>91.394378662109403</v>
      </c>
      <c r="U327" s="3">
        <v>92.175796508789105</v>
      </c>
      <c r="V327" s="3">
        <v>96.165847778320298</v>
      </c>
      <c r="W327" s="3">
        <v>91.707550048828097</v>
      </c>
      <c r="X327" s="3">
        <v>90.402107238769503</v>
      </c>
      <c r="Y327" s="3">
        <v>95.140678405761705</v>
      </c>
      <c r="Z327" s="3">
        <v>94.550132751464801</v>
      </c>
      <c r="AA327" s="3">
        <v>93.395980834960895</v>
      </c>
      <c r="AB327" s="3">
        <v>92.032981872558594</v>
      </c>
      <c r="AC327" s="3">
        <v>92.221618652343807</v>
      </c>
      <c r="AD327" s="3"/>
      <c r="AE327" t="s">
        <v>5569</v>
      </c>
      <c r="AF327" t="s">
        <v>755</v>
      </c>
    </row>
    <row r="328" spans="1:32" ht="28.8" x14ac:dyDescent="0.3">
      <c r="A328" t="s">
        <v>1826</v>
      </c>
      <c r="B328" s="1" t="s">
        <v>1205</v>
      </c>
      <c r="C328" s="5" t="s">
        <v>2394</v>
      </c>
      <c r="D328" s="2" t="s">
        <v>3911</v>
      </c>
      <c r="E328" s="1" t="s">
        <v>688</v>
      </c>
      <c r="F328" s="3"/>
      <c r="G328" s="3"/>
      <c r="H328" s="3"/>
      <c r="I328" s="3"/>
      <c r="J328" s="3"/>
      <c r="K328" s="3"/>
      <c r="L328" s="3">
        <v>95.418663024902301</v>
      </c>
      <c r="M328" s="3">
        <v>94.204551696777301</v>
      </c>
      <c r="N328" s="3">
        <v>93.743232727050795</v>
      </c>
      <c r="O328" s="3">
        <v>94.510139465332003</v>
      </c>
      <c r="P328" s="3">
        <v>95.784111022949205</v>
      </c>
      <c r="Q328" s="3">
        <v>83.338462829589801</v>
      </c>
      <c r="R328" s="3">
        <v>74.314361572265597</v>
      </c>
      <c r="S328" s="3">
        <v>82.991180419921903</v>
      </c>
      <c r="T328" s="3">
        <v>92.442886352539105</v>
      </c>
      <c r="U328" s="3">
        <v>90.571647644042997</v>
      </c>
      <c r="V328" s="3">
        <v>73.881210327148395</v>
      </c>
      <c r="W328" s="3">
        <v>82.457237243652301</v>
      </c>
      <c r="X328" s="3">
        <v>82.075912475585895</v>
      </c>
      <c r="Y328" s="3">
        <v>89.337631225585895</v>
      </c>
      <c r="Z328" s="3">
        <v>71.007598876953097</v>
      </c>
      <c r="AA328" s="3">
        <v>86.085639953613295</v>
      </c>
      <c r="AB328" s="3">
        <v>77.545021057128906</v>
      </c>
      <c r="AC328" s="3">
        <v>83.514312744140597</v>
      </c>
      <c r="AD328" s="3"/>
      <c r="AE328" t="s">
        <v>5569</v>
      </c>
      <c r="AF328" t="s">
        <v>720</v>
      </c>
    </row>
    <row r="329" spans="1:32" x14ac:dyDescent="0.3">
      <c r="A329" t="s">
        <v>1826</v>
      </c>
      <c r="B329" s="1" t="s">
        <v>1205</v>
      </c>
      <c r="C329" s="5" t="s">
        <v>2395</v>
      </c>
      <c r="D329" s="2" t="s">
        <v>3912</v>
      </c>
      <c r="E329" s="1" t="s">
        <v>1721</v>
      </c>
      <c r="F329" s="3"/>
      <c r="G329" s="3"/>
      <c r="H329" s="3"/>
      <c r="I329" s="3"/>
      <c r="J329" s="3"/>
      <c r="K329" s="3"/>
      <c r="L329" s="3">
        <v>96.928627014160199</v>
      </c>
      <c r="M329" s="3">
        <v>95.843421936035199</v>
      </c>
      <c r="N329" s="3">
        <v>94.142372131347699</v>
      </c>
      <c r="O329" s="3">
        <v>91.407241821289105</v>
      </c>
      <c r="P329" s="3">
        <v>93.019180297851605</v>
      </c>
      <c r="Q329" s="3">
        <v>93.3094482421875</v>
      </c>
      <c r="R329" s="3">
        <v>87.043289184570298</v>
      </c>
      <c r="S329" s="3">
        <v>89.399627685546903</v>
      </c>
      <c r="T329" s="3">
        <v>92.887046813964801</v>
      </c>
      <c r="U329" s="3">
        <v>94.109176635742202</v>
      </c>
      <c r="V329" s="3">
        <v>93.420066833496094</v>
      </c>
      <c r="W329" s="3">
        <v>93.534698486328097</v>
      </c>
      <c r="X329" s="3">
        <v>94.615318298339801</v>
      </c>
      <c r="Y329" s="3">
        <v>95.984840393066406</v>
      </c>
      <c r="Z329" s="3">
        <v>91.626388549804702</v>
      </c>
      <c r="AA329" s="3">
        <v>95.201461791992202</v>
      </c>
      <c r="AB329" s="3">
        <v>91.706329345703097</v>
      </c>
      <c r="AC329" s="3">
        <v>91.385650634765597</v>
      </c>
      <c r="AD329" s="3"/>
      <c r="AE329" t="s">
        <v>5569</v>
      </c>
      <c r="AF329" t="s">
        <v>124</v>
      </c>
    </row>
    <row r="330" spans="1:32" x14ac:dyDescent="0.3">
      <c r="A330" t="s">
        <v>1826</v>
      </c>
      <c r="B330" s="1" t="s">
        <v>1205</v>
      </c>
      <c r="C330" s="5" t="s">
        <v>2396</v>
      </c>
      <c r="D330" s="2" t="s">
        <v>3913</v>
      </c>
      <c r="E330" s="1" t="s">
        <v>865</v>
      </c>
      <c r="F330" s="3">
        <v>4.0022087099999997</v>
      </c>
      <c r="G330" s="3">
        <v>3.9851453299999999</v>
      </c>
      <c r="H330" s="3">
        <v>3.9237444400000001</v>
      </c>
      <c r="I330" s="3">
        <v>3.9514770499999998</v>
      </c>
      <c r="J330" s="3">
        <v>4.0214872399999999</v>
      </c>
      <c r="K330" s="3">
        <v>3.9663908499999998</v>
      </c>
      <c r="L330" s="3">
        <v>3.9286146199999998</v>
      </c>
      <c r="M330" s="3">
        <v>4.1937966299999996</v>
      </c>
      <c r="N330" s="3">
        <v>4.1387105000000002</v>
      </c>
      <c r="O330" s="3">
        <v>4.63971424</v>
      </c>
      <c r="P330" s="3">
        <v>4.5749483099999999</v>
      </c>
      <c r="Q330" s="3">
        <v>4.3970069900000004</v>
      </c>
      <c r="R330" s="3">
        <v>4.4273714999999996</v>
      </c>
      <c r="S330" s="3">
        <v>3.7177379099999999</v>
      </c>
      <c r="T330" s="3">
        <v>3.7310183000000001</v>
      </c>
      <c r="U330" s="3">
        <v>3.2198831999999999</v>
      </c>
      <c r="V330" s="3">
        <v>3.32101274</v>
      </c>
      <c r="W330" s="3">
        <v>3.2469303599999999</v>
      </c>
      <c r="X330" s="3">
        <v>3.0916779000000001</v>
      </c>
      <c r="Y330" s="3">
        <v>3.1891684499999999</v>
      </c>
      <c r="Z330" s="3">
        <v>3.6232788600000001</v>
      </c>
      <c r="AA330" s="3">
        <v>3.7620766200000002</v>
      </c>
      <c r="AB330" s="3">
        <v>3.6424129000000001</v>
      </c>
      <c r="AC330" s="3"/>
      <c r="AD330" s="3"/>
      <c r="AE330" t="s">
        <v>5570</v>
      </c>
      <c r="AF330" t="s">
        <v>560</v>
      </c>
    </row>
    <row r="331" spans="1:32" x14ac:dyDescent="0.3">
      <c r="A331" t="s">
        <v>1826</v>
      </c>
      <c r="B331" s="1" t="s">
        <v>1205</v>
      </c>
      <c r="C331" s="5" t="s">
        <v>2397</v>
      </c>
      <c r="D331" s="2" t="s">
        <v>3914</v>
      </c>
      <c r="E331" s="1" t="s">
        <v>520</v>
      </c>
      <c r="F331" s="3">
        <v>33.581657409999998</v>
      </c>
      <c r="G331" s="3">
        <v>33.945526119999997</v>
      </c>
      <c r="H331" s="3">
        <v>36.067153930000003</v>
      </c>
      <c r="I331" s="3">
        <v>43.812313080000003</v>
      </c>
      <c r="J331" s="3">
        <v>47.047008509999998</v>
      </c>
      <c r="K331" s="3">
        <v>46.694362640000001</v>
      </c>
      <c r="L331" s="3">
        <v>47.089042659999997</v>
      </c>
      <c r="M331" s="3">
        <v>56.150836939999998</v>
      </c>
      <c r="N331" s="3">
        <v>64.676788329999994</v>
      </c>
      <c r="O331" s="3">
        <v>71.064804080000002</v>
      </c>
      <c r="P331" s="3">
        <v>70.046051030000001</v>
      </c>
      <c r="Q331" s="3">
        <v>67.976181030000006</v>
      </c>
      <c r="R331" s="3">
        <v>69.86203003</v>
      </c>
      <c r="S331" s="3">
        <v>67.131492609999995</v>
      </c>
      <c r="T331" s="3">
        <v>74.358154299999995</v>
      </c>
      <c r="U331" s="3">
        <v>58.431819920000002</v>
      </c>
      <c r="V331" s="3">
        <v>61.85705566</v>
      </c>
      <c r="W331" s="3">
        <v>63.779430390000002</v>
      </c>
      <c r="X331" s="3">
        <v>65.879524230000001</v>
      </c>
      <c r="Y331" s="3">
        <v>68.304710389999997</v>
      </c>
      <c r="Z331" s="3">
        <v>78.97766876</v>
      </c>
      <c r="AA331" s="3">
        <v>92.395889280000006</v>
      </c>
      <c r="AB331" s="3">
        <v>86.152130130000003</v>
      </c>
      <c r="AC331" s="3"/>
      <c r="AD331" s="3"/>
      <c r="AE331" t="s">
        <v>5571</v>
      </c>
      <c r="AF331" t="s">
        <v>560</v>
      </c>
    </row>
    <row r="332" spans="1:32" x14ac:dyDescent="0.3">
      <c r="A332" t="s">
        <v>1826</v>
      </c>
      <c r="B332" s="1" t="s">
        <v>1205</v>
      </c>
      <c r="C332" s="5" t="s">
        <v>2398</v>
      </c>
      <c r="D332" s="2" t="s">
        <v>3915</v>
      </c>
      <c r="E332" s="1" t="s">
        <v>980</v>
      </c>
      <c r="F332" s="3">
        <v>109.09451284492501</v>
      </c>
      <c r="G332" s="3">
        <v>108.802928993354</v>
      </c>
      <c r="H332" s="3">
        <v>106.33146863578</v>
      </c>
      <c r="I332" s="3">
        <v>106.609710346784</v>
      </c>
      <c r="J332" s="3">
        <v>109.644112822423</v>
      </c>
      <c r="K332" s="3">
        <v>110.776245108605</v>
      </c>
      <c r="L332" s="3">
        <v>112.573547899513</v>
      </c>
      <c r="M332" s="3">
        <v>122.524304158578</v>
      </c>
      <c r="N332" s="3">
        <v>127.194295252565</v>
      </c>
      <c r="O332" s="3">
        <v>146.54419087276</v>
      </c>
      <c r="P332" s="3">
        <v>151.49775848909201</v>
      </c>
      <c r="Q332" s="3">
        <v>135.214240722147</v>
      </c>
      <c r="R332" s="3">
        <v>147.564065616531</v>
      </c>
      <c r="S332" s="3">
        <v>134.104527299192</v>
      </c>
      <c r="T332" s="3">
        <v>148.93308512702501</v>
      </c>
      <c r="U332" s="3">
        <v>137.83041504908201</v>
      </c>
      <c r="V332" s="3">
        <v>145.22688169671099</v>
      </c>
      <c r="W332" s="3">
        <v>145.94915165886599</v>
      </c>
      <c r="X332" s="3">
        <v>145.23366261118201</v>
      </c>
      <c r="Y332" s="3">
        <v>159.52195161954299</v>
      </c>
      <c r="Z332" s="3">
        <v>180.792440781621</v>
      </c>
      <c r="AA332" s="3">
        <v>207.40969408466501</v>
      </c>
      <c r="AB332" s="3">
        <v>226.62163712127901</v>
      </c>
      <c r="AC332" s="3"/>
      <c r="AD332" s="3"/>
      <c r="AE332" t="s">
        <v>5572</v>
      </c>
      <c r="AF332" t="s">
        <v>1734</v>
      </c>
    </row>
    <row r="333" spans="1:32" x14ac:dyDescent="0.3">
      <c r="A333" t="s">
        <v>1826</v>
      </c>
      <c r="B333" s="1" t="s">
        <v>1205</v>
      </c>
      <c r="C333" s="5" t="s">
        <v>2399</v>
      </c>
      <c r="D333" s="2" t="s">
        <v>3916</v>
      </c>
      <c r="E333" s="1" t="s">
        <v>1326</v>
      </c>
      <c r="F333" s="3"/>
      <c r="G333" s="3">
        <v>30.278511200068138</v>
      </c>
      <c r="H333" s="3">
        <v>29.849307450804822</v>
      </c>
      <c r="I333" s="3">
        <v>29.30846147382573</v>
      </c>
      <c r="J333" s="3">
        <v>29.700338327694535</v>
      </c>
      <c r="K333" s="3">
        <v>27.74936061381074</v>
      </c>
      <c r="L333" s="3">
        <v>29.948546549980211</v>
      </c>
      <c r="M333" s="3">
        <v>32.679471461653726</v>
      </c>
      <c r="N333" s="3">
        <v>30.538698477045457</v>
      </c>
      <c r="O333" s="3">
        <v>30.82052630320992</v>
      </c>
      <c r="P333" s="3">
        <v>37.075635202029929</v>
      </c>
      <c r="Q333" s="3">
        <v>30.490738972694292</v>
      </c>
      <c r="R333" s="3">
        <v>34.071221351163231</v>
      </c>
      <c r="S333" s="3">
        <v>33.487977633635026</v>
      </c>
      <c r="T333" s="3">
        <v>34.438528502214673</v>
      </c>
      <c r="U333" s="3">
        <v>14.540723185768856</v>
      </c>
      <c r="V333" s="3">
        <v>13.632149681211603</v>
      </c>
      <c r="W333" s="3">
        <v>13.544708994309332</v>
      </c>
      <c r="X333" s="3">
        <v>13.836908087277527</v>
      </c>
      <c r="Y333" s="3">
        <v>13.096518405414132</v>
      </c>
      <c r="Z333" s="3">
        <v>11.897447603419879</v>
      </c>
      <c r="AA333" s="3">
        <v>13.336675438251982</v>
      </c>
      <c r="AB333" s="3">
        <v>13.797771245523011</v>
      </c>
      <c r="AC333" s="3">
        <v>11.842186033952526</v>
      </c>
      <c r="AD333" s="3"/>
      <c r="AE333" t="s">
        <v>5573</v>
      </c>
      <c r="AF333" t="s">
        <v>115</v>
      </c>
    </row>
    <row r="334" spans="1:32" x14ac:dyDescent="0.3">
      <c r="A334" t="s">
        <v>1826</v>
      </c>
      <c r="B334" s="1" t="s">
        <v>1205</v>
      </c>
      <c r="C334" s="5" t="s">
        <v>2400</v>
      </c>
      <c r="D334" s="2" t="s">
        <v>3917</v>
      </c>
      <c r="E334" s="1" t="s">
        <v>99</v>
      </c>
      <c r="F334" s="3"/>
      <c r="G334" s="3">
        <v>355500000000</v>
      </c>
      <c r="H334" s="3">
        <v>375900000000</v>
      </c>
      <c r="I334" s="3">
        <v>348800000000</v>
      </c>
      <c r="J334" s="3">
        <v>368700000000</v>
      </c>
      <c r="K334" s="3">
        <v>347200000000</v>
      </c>
      <c r="L334" s="3">
        <v>408600000000</v>
      </c>
      <c r="M334" s="3">
        <v>479800000000</v>
      </c>
      <c r="N334" s="3">
        <v>498700000000</v>
      </c>
      <c r="O334" s="3">
        <v>515800000000</v>
      </c>
      <c r="P334" s="3">
        <v>654600000000</v>
      </c>
      <c r="Q334" s="3">
        <v>399200000000</v>
      </c>
      <c r="R334" s="3">
        <v>670600000000</v>
      </c>
      <c r="S334" s="3">
        <v>752217000000</v>
      </c>
      <c r="T334" s="3">
        <v>840278649888.30005</v>
      </c>
      <c r="U334" s="3">
        <v>440162231667</v>
      </c>
      <c r="V334" s="3">
        <v>448171027566</v>
      </c>
      <c r="W334" s="3">
        <v>485538680272</v>
      </c>
      <c r="X334" s="3">
        <v>524717640889</v>
      </c>
      <c r="Y334" s="3">
        <v>540511126267</v>
      </c>
      <c r="Z334" s="3">
        <v>508731155194</v>
      </c>
      <c r="AA334" s="3">
        <v>666996047648</v>
      </c>
      <c r="AB334" s="3">
        <v>721391532673</v>
      </c>
      <c r="AC334" s="3">
        <v>756488280683</v>
      </c>
      <c r="AD334" s="3"/>
      <c r="AE334" t="s">
        <v>5574</v>
      </c>
      <c r="AF334" t="s">
        <v>115</v>
      </c>
    </row>
    <row r="335" spans="1:32" x14ac:dyDescent="0.3">
      <c r="A335" t="s">
        <v>1826</v>
      </c>
      <c r="B335" s="1" t="s">
        <v>1205</v>
      </c>
      <c r="C335" s="5" t="s">
        <v>2401</v>
      </c>
      <c r="D335" s="2" t="s">
        <v>3918</v>
      </c>
      <c r="E335" s="1" t="s">
        <v>119</v>
      </c>
      <c r="F335" s="3">
        <v>13.478</v>
      </c>
      <c r="G335" s="3">
        <v>13.36</v>
      </c>
      <c r="H335" s="3">
        <v>13.183</v>
      </c>
      <c r="I335" s="3">
        <v>13.092000000000001</v>
      </c>
      <c r="J335" s="3">
        <v>12.706</v>
      </c>
      <c r="K335" s="3">
        <v>12.343999999999999</v>
      </c>
      <c r="L335" s="3">
        <v>11.996</v>
      </c>
      <c r="M335" s="3">
        <v>11.611000000000001</v>
      </c>
      <c r="N335" s="3">
        <v>11.163</v>
      </c>
      <c r="O335" s="3">
        <v>10.994999999999999</v>
      </c>
      <c r="P335" s="3">
        <v>10.851000000000001</v>
      </c>
      <c r="Q335" s="3">
        <v>10.647</v>
      </c>
      <c r="R335" s="3">
        <v>10.481999999999999</v>
      </c>
      <c r="S335" s="3">
        <v>10.366</v>
      </c>
      <c r="T335" s="3">
        <v>10.119999999999999</v>
      </c>
      <c r="U335" s="3">
        <v>9.798</v>
      </c>
      <c r="V335" s="3">
        <v>9.4369999999999994</v>
      </c>
      <c r="W335" s="3">
        <v>9.1029999999999998</v>
      </c>
      <c r="X335" s="3">
        <v>8.7759999999999998</v>
      </c>
      <c r="Y335" s="3">
        <v>8.4920000000000009</v>
      </c>
      <c r="Z335" s="3">
        <v>8.4930000000000003</v>
      </c>
      <c r="AA335" s="3">
        <v>8.3780000000000001</v>
      </c>
      <c r="AB335" s="3">
        <v>7.8159999999999998</v>
      </c>
      <c r="AC335" s="3">
        <v>7.66</v>
      </c>
      <c r="AD335" s="3"/>
      <c r="AE335" t="s">
        <v>5575</v>
      </c>
      <c r="AF335" t="s">
        <v>1841</v>
      </c>
    </row>
    <row r="336" spans="1:32" x14ac:dyDescent="0.3">
      <c r="A336" t="s">
        <v>1826</v>
      </c>
      <c r="B336" s="1" t="s">
        <v>1205</v>
      </c>
      <c r="C336" s="5" t="s">
        <v>2402</v>
      </c>
      <c r="D336" s="2" t="s">
        <v>3919</v>
      </c>
      <c r="E336" s="1" t="s">
        <v>963</v>
      </c>
      <c r="F336" s="3"/>
      <c r="G336" s="3"/>
      <c r="H336" s="3"/>
      <c r="I336" s="3"/>
      <c r="J336" s="3"/>
      <c r="K336" s="3">
        <v>1.3486194625524976</v>
      </c>
      <c r="L336" s="3">
        <v>0.80870941648868377</v>
      </c>
      <c r="M336" s="3">
        <v>2.0703271015106086</v>
      </c>
      <c r="N336" s="3">
        <v>7.005885198788385</v>
      </c>
      <c r="O336" s="3">
        <v>7.2991655225428458</v>
      </c>
      <c r="P336" s="3">
        <v>3.9650785150254713</v>
      </c>
      <c r="Q336" s="3">
        <v>3.1246668740574215</v>
      </c>
      <c r="R336" s="3">
        <v>2.4480774583926901</v>
      </c>
      <c r="S336" s="3">
        <v>4.0168470225224624</v>
      </c>
      <c r="T336" s="3">
        <v>4.2551686683102661</v>
      </c>
      <c r="U336" s="3">
        <v>3.5584537870149937</v>
      </c>
      <c r="V336" s="3">
        <v>9.1493184392151274</v>
      </c>
      <c r="W336" s="3">
        <v>14.192777832714324</v>
      </c>
      <c r="X336" s="3">
        <v>9.4487190234309839</v>
      </c>
      <c r="Y336" s="3">
        <v>18.577701118035382</v>
      </c>
      <c r="Z336" s="3">
        <v>15.163972919352812</v>
      </c>
      <c r="AA336" s="3">
        <v>8.8927164670575287</v>
      </c>
      <c r="AB336" s="3">
        <v>10.401814335879523</v>
      </c>
      <c r="AC336" s="3">
        <v>17.788156228970802</v>
      </c>
      <c r="AD336" s="3"/>
      <c r="AE336" t="s">
        <v>5576</v>
      </c>
      <c r="AF336" t="s">
        <v>252</v>
      </c>
    </row>
    <row r="337" spans="1:32" x14ac:dyDescent="0.3">
      <c r="A337" t="s">
        <v>1826</v>
      </c>
      <c r="B337" s="1" t="s">
        <v>1205</v>
      </c>
      <c r="C337" s="5" t="s">
        <v>2403</v>
      </c>
      <c r="D337" s="2" t="s">
        <v>3920</v>
      </c>
      <c r="E337" s="1" t="s">
        <v>1291</v>
      </c>
      <c r="F337" s="3">
        <v>670723390</v>
      </c>
      <c r="G337" s="3">
        <v>303050976.89999998</v>
      </c>
      <c r="H337" s="3">
        <v>505107324.19999999</v>
      </c>
      <c r="I337" s="3">
        <v>300696357</v>
      </c>
      <c r="J337" s="3">
        <v>94891764.900000006</v>
      </c>
      <c r="K337" s="3">
        <v>23533584.699999999</v>
      </c>
      <c r="L337" s="3">
        <v>16299161.4</v>
      </c>
      <c r="M337" s="3">
        <v>153057506.40000001</v>
      </c>
      <c r="N337" s="3">
        <v>769533754.79999995</v>
      </c>
      <c r="O337" s="3">
        <v>773820091.29999995</v>
      </c>
      <c r="P337" s="3">
        <v>496704984</v>
      </c>
      <c r="Q337" s="3">
        <v>414642186.39999998</v>
      </c>
      <c r="R337" s="3">
        <v>299555640.69999999</v>
      </c>
      <c r="S337" s="3">
        <v>529421936.5</v>
      </c>
      <c r="T337" s="3">
        <v>593766451.29999995</v>
      </c>
      <c r="U337" s="3">
        <v>398074927</v>
      </c>
      <c r="V337" s="3">
        <v>1040551275</v>
      </c>
      <c r="W337" s="3">
        <v>1747026137</v>
      </c>
      <c r="X337" s="3">
        <v>1108625399.5999999</v>
      </c>
      <c r="Y337" s="3">
        <v>2463260794.1999998</v>
      </c>
      <c r="Z337" s="3">
        <v>1897276845.9000001</v>
      </c>
      <c r="AA337" s="3">
        <v>1285984902.9000001</v>
      </c>
      <c r="AB337" s="3">
        <v>1652352171.4000001</v>
      </c>
      <c r="AC337" s="3">
        <v>2774238388.8000002</v>
      </c>
      <c r="AD337" s="3"/>
      <c r="AE337" t="s">
        <v>5577</v>
      </c>
      <c r="AF337" t="s">
        <v>1991</v>
      </c>
    </row>
    <row r="338" spans="1:32" x14ac:dyDescent="0.3">
      <c r="A338" t="s">
        <v>1826</v>
      </c>
      <c r="B338" s="1" t="s">
        <v>1205</v>
      </c>
      <c r="C338" s="5" t="s">
        <v>2404</v>
      </c>
      <c r="D338" s="2" t="s">
        <v>3921</v>
      </c>
      <c r="E338" s="1" t="s">
        <v>829</v>
      </c>
      <c r="F338" s="3">
        <v>1022458712.8</v>
      </c>
      <c r="G338" s="3">
        <v>619331606.29999995</v>
      </c>
      <c r="H338" s="3">
        <v>830946007.89999998</v>
      </c>
      <c r="I338" s="3">
        <v>570907057.79999995</v>
      </c>
      <c r="J338" s="3">
        <v>391871484.39999998</v>
      </c>
      <c r="K338" s="3">
        <v>307109438.60000002</v>
      </c>
      <c r="L338" s="3">
        <v>270053013.39999998</v>
      </c>
      <c r="M338" s="3">
        <v>431263472.69999999</v>
      </c>
      <c r="N338" s="3">
        <v>1048013371.2</v>
      </c>
      <c r="O338" s="3">
        <v>1133085395.5</v>
      </c>
      <c r="P338" s="3">
        <v>751408112.10000002</v>
      </c>
      <c r="Q338" s="3">
        <v>730991382.29999995</v>
      </c>
      <c r="R338" s="3">
        <v>721335887.70000005</v>
      </c>
      <c r="S338" s="3">
        <v>1049782217.9</v>
      </c>
      <c r="T338" s="3">
        <v>1009370882.5</v>
      </c>
      <c r="U338" s="3">
        <v>809279473.79999995</v>
      </c>
      <c r="V338" s="3">
        <v>1566964733.3</v>
      </c>
      <c r="W338" s="3">
        <v>2248507535.8000002</v>
      </c>
      <c r="X338" s="3">
        <v>1654523784</v>
      </c>
      <c r="Y338" s="3">
        <v>3002566073.0999999</v>
      </c>
      <c r="Z338" s="3">
        <v>2453462695</v>
      </c>
      <c r="AA338" s="3">
        <v>1731354994.0999999</v>
      </c>
      <c r="AB338" s="3">
        <v>2104854236.0999999</v>
      </c>
      <c r="AC338" s="3">
        <v>3553321727.1999998</v>
      </c>
      <c r="AD338" s="3"/>
      <c r="AE338" t="s">
        <v>5578</v>
      </c>
      <c r="AF338" t="s">
        <v>252</v>
      </c>
    </row>
    <row r="339" spans="1:32" x14ac:dyDescent="0.3">
      <c r="A339" t="s">
        <v>1826</v>
      </c>
      <c r="B339" s="1" t="s">
        <v>1205</v>
      </c>
      <c r="C339" s="5" t="s">
        <v>2405</v>
      </c>
      <c r="D339" s="2" t="s">
        <v>3922</v>
      </c>
      <c r="E339" s="1" t="s">
        <v>714</v>
      </c>
      <c r="F339" s="3">
        <v>710.20797700000003</v>
      </c>
      <c r="G339" s="3">
        <v>732.397693</v>
      </c>
      <c r="H339" s="3">
        <v>693.71322699999996</v>
      </c>
      <c r="I339" s="3">
        <v>579.897426</v>
      </c>
      <c r="J339" s="3">
        <v>527.338032</v>
      </c>
      <c r="K339" s="3">
        <v>527.25836300000003</v>
      </c>
      <c r="L339" s="3">
        <v>522.42562499999997</v>
      </c>
      <c r="M339" s="3">
        <v>478.63371799999999</v>
      </c>
      <c r="N339" s="3">
        <v>446.00004100000001</v>
      </c>
      <c r="O339" s="3">
        <v>470.29342300000002</v>
      </c>
      <c r="P339" s="3">
        <v>494.794262</v>
      </c>
      <c r="Q339" s="3">
        <v>471.248626</v>
      </c>
      <c r="R339" s="3">
        <v>510.55633799999998</v>
      </c>
      <c r="S339" s="3">
        <v>493.89962400000002</v>
      </c>
      <c r="T339" s="3">
        <v>493.75733000000002</v>
      </c>
      <c r="U339" s="3">
        <v>591.21169799999996</v>
      </c>
      <c r="V339" s="3">
        <v>592.60561499999994</v>
      </c>
      <c r="W339" s="3">
        <v>580.65674999999999</v>
      </c>
      <c r="X339" s="3">
        <v>555.44645800000001</v>
      </c>
      <c r="Y339" s="3">
        <v>585.91101300000003</v>
      </c>
      <c r="Z339" s="3">
        <v>575.586005</v>
      </c>
      <c r="AA339" s="3">
        <v>554.53067503310001</v>
      </c>
      <c r="AB339" s="3">
        <v>623.75970091119996</v>
      </c>
      <c r="AC339" s="3">
        <v>606.56975016590002</v>
      </c>
      <c r="AD339" s="3">
        <v>606.34529760910004</v>
      </c>
      <c r="AE339" t="s">
        <v>5579</v>
      </c>
      <c r="AF339" t="s">
        <v>1225</v>
      </c>
    </row>
    <row r="340" spans="1:32" ht="28.8" x14ac:dyDescent="0.3">
      <c r="A340" t="s">
        <v>1826</v>
      </c>
      <c r="B340" s="1" t="s">
        <v>1205</v>
      </c>
      <c r="C340" s="5" t="s">
        <v>2406</v>
      </c>
      <c r="D340" s="2" t="s">
        <v>3923</v>
      </c>
      <c r="E340" s="1" t="s">
        <v>1709</v>
      </c>
      <c r="F340" s="3"/>
      <c r="G340" s="3"/>
      <c r="H340" s="3"/>
      <c r="I340" s="3"/>
      <c r="J340" s="3"/>
      <c r="K340" s="3"/>
      <c r="L340" s="3"/>
      <c r="M340" s="3"/>
      <c r="N340" s="3"/>
      <c r="O340" s="3"/>
      <c r="P340" s="3"/>
      <c r="Q340" s="3"/>
      <c r="R340" s="3">
        <v>27.5</v>
      </c>
      <c r="S340" s="3"/>
      <c r="T340" s="3"/>
      <c r="U340" s="3"/>
      <c r="V340" s="3"/>
      <c r="W340" s="3"/>
      <c r="X340" s="3"/>
      <c r="Y340" s="3"/>
      <c r="Z340" s="3"/>
      <c r="AA340" s="3">
        <v>41.4</v>
      </c>
      <c r="AB340" s="3"/>
      <c r="AC340" s="3"/>
      <c r="AD340" s="3"/>
      <c r="AE340" t="s">
        <v>5580</v>
      </c>
      <c r="AF340" t="s">
        <v>740</v>
      </c>
    </row>
    <row r="341" spans="1:32" x14ac:dyDescent="0.3">
      <c r="A341" t="s">
        <v>1826</v>
      </c>
      <c r="B341" s="1" t="s">
        <v>1205</v>
      </c>
      <c r="C341" s="5" t="s">
        <v>2407</v>
      </c>
      <c r="D341" s="2" t="s">
        <v>3924</v>
      </c>
      <c r="E341" s="1" t="s">
        <v>529</v>
      </c>
      <c r="F341" s="3"/>
      <c r="G341" s="3"/>
      <c r="H341" s="3"/>
      <c r="I341" s="3"/>
      <c r="J341" s="3"/>
      <c r="K341" s="3">
        <v>7.6074999999999999</v>
      </c>
      <c r="L341" s="3">
        <v>7.8216666666666699</v>
      </c>
      <c r="M341" s="3">
        <v>7.8133333333333299</v>
      </c>
      <c r="N341" s="3">
        <v>8.1241666666666692</v>
      </c>
      <c r="O341" s="3">
        <v>8.5791666666666693</v>
      </c>
      <c r="P341" s="3">
        <v>8.3866666666666703</v>
      </c>
      <c r="Q341" s="3">
        <v>8.5008333333333308</v>
      </c>
      <c r="R341" s="3">
        <v>7.9924999999999997</v>
      </c>
      <c r="S341" s="3">
        <v>7.6541666666666703</v>
      </c>
      <c r="T341" s="3">
        <v>7.2583333333333302</v>
      </c>
      <c r="U341" s="3">
        <v>6.9983333333333304</v>
      </c>
      <c r="V341" s="3">
        <v>6.9249999999999998</v>
      </c>
      <c r="W341" s="3">
        <v>6.49</v>
      </c>
      <c r="X341" s="3"/>
      <c r="Y341" s="3"/>
      <c r="Z341" s="3"/>
      <c r="AA341" s="3"/>
      <c r="AB341" s="3"/>
      <c r="AC341" s="3"/>
      <c r="AD341" s="3"/>
      <c r="AE341" t="s">
        <v>5581</v>
      </c>
      <c r="AF341" t="s">
        <v>1714</v>
      </c>
    </row>
    <row r="342" spans="1:32" x14ac:dyDescent="0.3">
      <c r="A342" t="s">
        <v>1826</v>
      </c>
      <c r="B342" s="1" t="s">
        <v>1205</v>
      </c>
      <c r="C342" s="5" t="s">
        <v>2408</v>
      </c>
      <c r="D342" s="2" t="s">
        <v>3925</v>
      </c>
      <c r="E342" s="1" t="s">
        <v>266</v>
      </c>
      <c r="F342" s="3"/>
      <c r="G342" s="3"/>
      <c r="H342" s="3"/>
      <c r="I342" s="3"/>
      <c r="J342" s="3">
        <v>75.030547828175202</v>
      </c>
      <c r="K342" s="3">
        <v>77.381847481264799</v>
      </c>
      <c r="L342" s="3">
        <v>69.875142144162794</v>
      </c>
      <c r="M342" s="3">
        <v>71.116164814532695</v>
      </c>
      <c r="N342" s="3">
        <v>78.344349623189402</v>
      </c>
      <c r="O342" s="3">
        <v>99.711730966492894</v>
      </c>
      <c r="P342" s="3">
        <v>124.416383086577</v>
      </c>
      <c r="Q342" s="3">
        <v>210.380968932233</v>
      </c>
      <c r="R342" s="3">
        <v>177.53757828454101</v>
      </c>
      <c r="S342" s="3">
        <v>182.013007864743</v>
      </c>
      <c r="T342" s="3">
        <v>199.41377950632301</v>
      </c>
      <c r="U342" s="3">
        <v>189.068332243605</v>
      </c>
      <c r="V342" s="3">
        <v>211.77690295046099</v>
      </c>
      <c r="W342" s="3">
        <v>262.49110305192698</v>
      </c>
      <c r="X342" s="3">
        <v>259.303153266658</v>
      </c>
      <c r="Y342" s="3">
        <v>261.22138450365401</v>
      </c>
      <c r="Z342" s="3">
        <v>238.88193247384501</v>
      </c>
      <c r="AA342" s="3">
        <v>343.30825346981902</v>
      </c>
      <c r="AB342" s="3">
        <v>278.04842767307002</v>
      </c>
      <c r="AC342" s="3"/>
      <c r="AD342" s="3"/>
      <c r="AE342" t="s">
        <v>5582</v>
      </c>
      <c r="AF342" t="s">
        <v>285</v>
      </c>
    </row>
    <row r="343" spans="1:32" x14ac:dyDescent="0.3">
      <c r="A343" t="s">
        <v>1826</v>
      </c>
      <c r="B343" s="1" t="s">
        <v>1205</v>
      </c>
      <c r="C343" s="5" t="s">
        <v>2409</v>
      </c>
      <c r="D343" s="2" t="s">
        <v>3926</v>
      </c>
      <c r="E343" s="1" t="s">
        <v>1506</v>
      </c>
      <c r="F343" s="3"/>
      <c r="G343" s="3"/>
      <c r="H343" s="3"/>
      <c r="I343" s="3"/>
      <c r="J343" s="3"/>
      <c r="K343" s="3"/>
      <c r="L343" s="3"/>
      <c r="M343" s="3"/>
      <c r="N343" s="3"/>
      <c r="O343" s="3"/>
      <c r="P343" s="3"/>
      <c r="Q343" s="3">
        <v>4.9000000000000004</v>
      </c>
      <c r="R343" s="3"/>
      <c r="S343" s="3"/>
      <c r="T343" s="3"/>
      <c r="U343" s="3"/>
      <c r="V343" s="3"/>
      <c r="W343" s="3"/>
      <c r="X343" s="3"/>
      <c r="Y343" s="3"/>
      <c r="Z343" s="3"/>
      <c r="AA343" s="3"/>
      <c r="AB343" s="3"/>
      <c r="AC343" s="3"/>
      <c r="AD343" s="3">
        <v>5</v>
      </c>
      <c r="AE343" t="s">
        <v>5583</v>
      </c>
      <c r="AF343" t="s">
        <v>1623</v>
      </c>
    </row>
    <row r="344" spans="1:32" ht="28.8" x14ac:dyDescent="0.3">
      <c r="A344" t="s">
        <v>1826</v>
      </c>
      <c r="B344" s="1" t="s">
        <v>1205</v>
      </c>
      <c r="C344" s="5" t="s">
        <v>2410</v>
      </c>
      <c r="D344" s="2" t="s">
        <v>3927</v>
      </c>
      <c r="E344" s="1" t="s">
        <v>302</v>
      </c>
      <c r="F344" s="3">
        <v>34</v>
      </c>
      <c r="G344" s="3"/>
      <c r="H344" s="3"/>
      <c r="I344" s="3"/>
      <c r="J344" s="3"/>
      <c r="K344" s="3"/>
      <c r="L344" s="3">
        <v>45</v>
      </c>
      <c r="M344" s="3"/>
      <c r="N344" s="3"/>
      <c r="O344" s="3"/>
      <c r="P344" s="3"/>
      <c r="Q344" s="3"/>
      <c r="R344" s="3">
        <v>36.299999999999997</v>
      </c>
      <c r="S344" s="3"/>
      <c r="T344" s="3"/>
      <c r="U344" s="3"/>
      <c r="V344" s="3">
        <v>43</v>
      </c>
      <c r="W344" s="3"/>
      <c r="X344" s="3"/>
      <c r="Y344" s="3"/>
      <c r="Z344" s="3"/>
      <c r="AA344" s="3"/>
      <c r="AB344" s="3"/>
      <c r="AC344" s="3"/>
      <c r="AD344" s="3"/>
      <c r="AE344" t="s">
        <v>5584</v>
      </c>
      <c r="AF344" t="s">
        <v>1176</v>
      </c>
    </row>
    <row r="345" spans="1:32" x14ac:dyDescent="0.3">
      <c r="A345" t="s">
        <v>1826</v>
      </c>
      <c r="B345" s="1" t="s">
        <v>1205</v>
      </c>
      <c r="C345" s="5" t="s">
        <v>2411</v>
      </c>
      <c r="D345" s="2" t="s">
        <v>3928</v>
      </c>
      <c r="E345" s="1" t="s">
        <v>1087</v>
      </c>
      <c r="F345" s="3">
        <v>16.100000000000001</v>
      </c>
      <c r="G345" s="3"/>
      <c r="H345" s="3"/>
      <c r="I345" s="3"/>
      <c r="J345" s="3"/>
      <c r="K345" s="3"/>
      <c r="L345" s="3">
        <v>10.199999999999999</v>
      </c>
      <c r="M345" s="3"/>
      <c r="N345" s="3"/>
      <c r="O345" s="3"/>
      <c r="P345" s="3"/>
      <c r="Q345" s="3"/>
      <c r="R345" s="3">
        <v>17.2</v>
      </c>
      <c r="S345" s="3"/>
      <c r="T345" s="3"/>
      <c r="U345" s="3"/>
      <c r="V345" s="3">
        <v>16.5</v>
      </c>
      <c r="W345" s="3"/>
      <c r="X345" s="3"/>
      <c r="Y345" s="3"/>
      <c r="Z345" s="3"/>
      <c r="AA345" s="3"/>
      <c r="AB345" s="3"/>
      <c r="AC345" s="3"/>
      <c r="AD345" s="3"/>
      <c r="AE345" t="s">
        <v>5585</v>
      </c>
      <c r="AF345" t="s">
        <v>1535</v>
      </c>
    </row>
    <row r="346" spans="1:32" ht="28.8" x14ac:dyDescent="0.3">
      <c r="A346" t="s">
        <v>1826</v>
      </c>
      <c r="B346" s="1" t="s">
        <v>1205</v>
      </c>
      <c r="C346" s="5" t="s">
        <v>2412</v>
      </c>
      <c r="D346" s="2" t="s">
        <v>3929</v>
      </c>
      <c r="E346" s="1" t="s">
        <v>1662</v>
      </c>
      <c r="F346" s="3"/>
      <c r="G346" s="3"/>
      <c r="H346" s="3"/>
      <c r="I346" s="3"/>
      <c r="J346" s="3"/>
      <c r="K346" s="3"/>
      <c r="L346" s="3"/>
      <c r="M346" s="3"/>
      <c r="N346" s="3"/>
      <c r="O346" s="3"/>
      <c r="P346" s="3"/>
      <c r="Q346" s="3">
        <v>2.5</v>
      </c>
      <c r="R346" s="3"/>
      <c r="S346" s="3"/>
      <c r="T346" s="3"/>
      <c r="U346" s="3"/>
      <c r="V346" s="3"/>
      <c r="W346" s="3"/>
      <c r="X346" s="3"/>
      <c r="Y346" s="3"/>
      <c r="Z346" s="3"/>
      <c r="AA346" s="3"/>
      <c r="AB346" s="3"/>
      <c r="AC346" s="3"/>
      <c r="AD346" s="3"/>
      <c r="AE346" t="s">
        <v>5586</v>
      </c>
      <c r="AF346" t="s">
        <v>1448</v>
      </c>
    </row>
    <row r="347" spans="1:32" x14ac:dyDescent="0.3">
      <c r="A347" t="s">
        <v>1826</v>
      </c>
      <c r="B347" s="1" t="s">
        <v>1205</v>
      </c>
      <c r="C347" s="5" t="s">
        <v>2413</v>
      </c>
      <c r="D347" s="2" t="s">
        <v>3930</v>
      </c>
      <c r="E347" s="1" t="s">
        <v>1666</v>
      </c>
      <c r="F347" s="3"/>
      <c r="G347" s="3"/>
      <c r="H347" s="3"/>
      <c r="I347" s="3"/>
      <c r="J347" s="3"/>
      <c r="K347" s="3"/>
      <c r="L347" s="3"/>
      <c r="M347" s="3"/>
      <c r="N347" s="3"/>
      <c r="O347" s="3"/>
      <c r="P347" s="3"/>
      <c r="Q347" s="3"/>
      <c r="R347" s="3"/>
      <c r="S347" s="3"/>
      <c r="T347" s="3"/>
      <c r="U347" s="3">
        <v>0</v>
      </c>
      <c r="V347" s="3">
        <v>0</v>
      </c>
      <c r="W347" s="3">
        <v>99.999023440000002</v>
      </c>
      <c r="X347" s="3">
        <v>100</v>
      </c>
      <c r="Y347" s="3">
        <v>-100</v>
      </c>
      <c r="Z347" s="3">
        <v>99.999023440000002</v>
      </c>
      <c r="AA347" s="3">
        <v>100</v>
      </c>
      <c r="AB347" s="3">
        <v>-100</v>
      </c>
      <c r="AC347" s="3">
        <v>-100</v>
      </c>
      <c r="AD347" s="3">
        <v>-528200</v>
      </c>
      <c r="AE347" t="s">
        <v>5587</v>
      </c>
      <c r="AF347" t="s">
        <v>718</v>
      </c>
    </row>
    <row r="348" spans="1:32" x14ac:dyDescent="0.3">
      <c r="A348" t="s">
        <v>1826</v>
      </c>
      <c r="B348" s="1" t="s">
        <v>1205</v>
      </c>
      <c r="C348" s="5" t="s">
        <v>2414</v>
      </c>
      <c r="D348" s="2" t="s">
        <v>3931</v>
      </c>
      <c r="E348" s="1" t="s">
        <v>1492</v>
      </c>
      <c r="F348" s="3">
        <v>-300</v>
      </c>
      <c r="G348" s="3">
        <v>-100</v>
      </c>
      <c r="H348" s="3">
        <v>100</v>
      </c>
      <c r="I348" s="3">
        <v>-400</v>
      </c>
      <c r="J348" s="3">
        <v>-600</v>
      </c>
      <c r="K348" s="3">
        <v>-500</v>
      </c>
      <c r="L348" s="3">
        <v>200</v>
      </c>
      <c r="M348" s="3">
        <v>600</v>
      </c>
      <c r="N348" s="3">
        <v>200</v>
      </c>
      <c r="O348" s="3">
        <v>100</v>
      </c>
      <c r="P348" s="3">
        <v>-300</v>
      </c>
      <c r="Q348" s="3">
        <v>200</v>
      </c>
      <c r="R348" s="3">
        <v>700</v>
      </c>
      <c r="S348" s="3">
        <v>400</v>
      </c>
      <c r="T348" s="3">
        <v>100</v>
      </c>
      <c r="U348" s="3">
        <v>367000000</v>
      </c>
      <c r="V348" s="3">
        <v>-289000000</v>
      </c>
      <c r="W348" s="3">
        <v>-353000000</v>
      </c>
      <c r="X348" s="3">
        <v>0</v>
      </c>
      <c r="Y348" s="3">
        <v>-56000000</v>
      </c>
      <c r="Z348" s="3">
        <v>0</v>
      </c>
      <c r="AA348" s="3">
        <v>0</v>
      </c>
      <c r="AB348" s="3">
        <v>0</v>
      </c>
      <c r="AC348" s="3">
        <v>0</v>
      </c>
      <c r="AD348" s="3">
        <v>24500</v>
      </c>
      <c r="AE348" t="s">
        <v>5588</v>
      </c>
      <c r="AF348" t="s">
        <v>718</v>
      </c>
    </row>
    <row r="349" spans="1:32" x14ac:dyDescent="0.3">
      <c r="A349" t="s">
        <v>1826</v>
      </c>
      <c r="B349" s="1" t="s">
        <v>1205</v>
      </c>
      <c r="C349" s="5" t="s">
        <v>2415</v>
      </c>
      <c r="D349" s="2" t="s">
        <v>3932</v>
      </c>
      <c r="E349" s="1" t="s">
        <v>1708</v>
      </c>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t="s">
        <v>5589</v>
      </c>
      <c r="AF349" t="s">
        <v>1714</v>
      </c>
    </row>
    <row r="350" spans="1:32" x14ac:dyDescent="0.3">
      <c r="A350" t="s">
        <v>1826</v>
      </c>
      <c r="B350" s="1" t="s">
        <v>1205</v>
      </c>
      <c r="C350" s="5" t="s">
        <v>2416</v>
      </c>
      <c r="D350" s="2" t="s">
        <v>3933</v>
      </c>
      <c r="E350" s="1" t="s">
        <v>1313</v>
      </c>
      <c r="F350" s="3">
        <v>9.7619748715727539</v>
      </c>
      <c r="G350" s="3">
        <v>9.444312816170557</v>
      </c>
      <c r="H350" s="3">
        <v>9.641545204666782</v>
      </c>
      <c r="I350" s="3">
        <v>9.0256564857585229</v>
      </c>
      <c r="J350" s="3">
        <v>9.4830301198371671</v>
      </c>
      <c r="K350" s="3">
        <v>8.8546354663954645</v>
      </c>
      <c r="L350" s="3">
        <v>10.149368807963977</v>
      </c>
      <c r="M350" s="3">
        <v>12.155208374595389</v>
      </c>
      <c r="N350" s="3">
        <v>12.032312209459402</v>
      </c>
      <c r="O350" s="3">
        <v>12.699282868800962</v>
      </c>
      <c r="P350" s="3">
        <v>13.087871959380495</v>
      </c>
      <c r="Q350" s="3">
        <v>13.168148828706006</v>
      </c>
      <c r="R350" s="3">
        <v>13.683455540714325</v>
      </c>
      <c r="S350" s="3">
        <v>14.317568604292195</v>
      </c>
      <c r="T350" s="3">
        <v>14.6906998099912</v>
      </c>
      <c r="U350" s="3">
        <v>16.74171162918006</v>
      </c>
      <c r="V350" s="3">
        <v>17.669430799874338</v>
      </c>
      <c r="W350" s="3">
        <v>19.250513481787554</v>
      </c>
      <c r="X350" s="3">
        <v>19.274827827380602</v>
      </c>
      <c r="Y350" s="3">
        <v>19.047672198888701</v>
      </c>
      <c r="Z350" s="3">
        <v>20.573802494308527</v>
      </c>
      <c r="AA350" s="3">
        <v>20.996303820512765</v>
      </c>
      <c r="AB350" s="3">
        <v>20.853947282039748</v>
      </c>
      <c r="AC350" s="3">
        <v>22.22337629885628</v>
      </c>
      <c r="AD350" s="3">
        <v>22.667994435526229</v>
      </c>
      <c r="AE350" t="s">
        <v>5590</v>
      </c>
      <c r="AF350" t="s">
        <v>1714</v>
      </c>
    </row>
    <row r="351" spans="1:32" x14ac:dyDescent="0.3">
      <c r="A351" t="s">
        <v>1826</v>
      </c>
      <c r="B351" s="1" t="s">
        <v>1205</v>
      </c>
      <c r="C351" s="5" t="s">
        <v>2417</v>
      </c>
      <c r="D351" s="2" t="s">
        <v>3934</v>
      </c>
      <c r="E351" s="1" t="s">
        <v>1502</v>
      </c>
      <c r="F351" s="3">
        <v>9.650217080209174</v>
      </c>
      <c r="G351" s="3">
        <v>9.444312816170557</v>
      </c>
      <c r="H351" s="3">
        <v>9.641545204666782</v>
      </c>
      <c r="I351" s="3">
        <v>9.0256564857585229</v>
      </c>
      <c r="J351" s="3">
        <v>9.4265731599468694</v>
      </c>
      <c r="K351" s="3">
        <v>8.7975988284419255</v>
      </c>
      <c r="L351" s="3">
        <v>10.094669945715831</v>
      </c>
      <c r="M351" s="3">
        <v>12.09778626671593</v>
      </c>
      <c r="N351" s="3">
        <v>11.974664450289522</v>
      </c>
      <c r="O351" s="3">
        <v>12.640673285314913</v>
      </c>
      <c r="P351" s="3">
        <v>13.040498329235259</v>
      </c>
      <c r="Q351" s="3">
        <v>13.127023122056652</v>
      </c>
      <c r="R351" s="3">
        <v>13.627907142642993</v>
      </c>
      <c r="S351" s="3">
        <v>14.264608290058463</v>
      </c>
      <c r="T351" s="3">
        <v>14.621456227823328</v>
      </c>
      <c r="U351" s="3">
        <v>16.648878587159331</v>
      </c>
      <c r="V351" s="3">
        <v>17.569470868117083</v>
      </c>
      <c r="W351" s="3">
        <v>19.218283300538243</v>
      </c>
      <c r="X351" s="3">
        <v>19.245948983795444</v>
      </c>
      <c r="Y351" s="3">
        <v>19.021539414211304</v>
      </c>
      <c r="Z351" s="3">
        <v>20.547145028867398</v>
      </c>
      <c r="AA351" s="3">
        <v>20.976653150050637</v>
      </c>
      <c r="AB351" s="3">
        <v>20.836281725544094</v>
      </c>
      <c r="AC351" s="3">
        <v>22.206361452244767</v>
      </c>
      <c r="AD351" s="3">
        <v>22.652053816443644</v>
      </c>
      <c r="AE351" t="s">
        <v>5591</v>
      </c>
      <c r="AF351" t="s">
        <v>1714</v>
      </c>
    </row>
    <row r="352" spans="1:32" ht="28.8" x14ac:dyDescent="0.3">
      <c r="A352" t="s">
        <v>1826</v>
      </c>
      <c r="B352" s="1" t="s">
        <v>1205</v>
      </c>
      <c r="C352" s="5" t="s">
        <v>2418</v>
      </c>
      <c r="D352" s="2" t="s">
        <v>3935</v>
      </c>
      <c r="E352" s="1" t="s">
        <v>1048</v>
      </c>
      <c r="F352" s="3">
        <v>14.66436768</v>
      </c>
      <c r="G352" s="3">
        <v>12.79208946</v>
      </c>
      <c r="H352" s="3">
        <v>13.84633636</v>
      </c>
      <c r="I352" s="3">
        <v>13.045564649999999</v>
      </c>
      <c r="J352" s="3">
        <v>13.92349815</v>
      </c>
      <c r="K352" s="3">
        <v>13.339336400000001</v>
      </c>
      <c r="L352" s="3">
        <v>14.19835758</v>
      </c>
      <c r="M352" s="3">
        <v>16.206346509999999</v>
      </c>
      <c r="N352" s="3">
        <v>16.419532780000001</v>
      </c>
      <c r="O352" s="3">
        <v>18.049510959999999</v>
      </c>
      <c r="P352" s="3">
        <v>18.360277180000001</v>
      </c>
      <c r="Q352" s="3">
        <v>13.187049869999999</v>
      </c>
      <c r="R352" s="3">
        <v>16.851377490000001</v>
      </c>
      <c r="S352" s="3">
        <v>19.577178960000001</v>
      </c>
      <c r="T352" s="3">
        <v>20.841577529999999</v>
      </c>
      <c r="U352" s="3">
        <v>24.98393059</v>
      </c>
      <c r="V352" s="3">
        <v>25.68556023</v>
      </c>
      <c r="W352" s="3">
        <v>28.724674220000001</v>
      </c>
      <c r="X352" s="3">
        <v>29.065963750000002</v>
      </c>
      <c r="Y352" s="3">
        <v>30.20500565</v>
      </c>
      <c r="Z352" s="3">
        <v>36.757610319999998</v>
      </c>
      <c r="AA352" s="3">
        <v>42.266845699999998</v>
      </c>
      <c r="AB352" s="3">
        <v>36.751941680000002</v>
      </c>
      <c r="AC352" s="3"/>
      <c r="AD352" s="3"/>
      <c r="AE352" t="s">
        <v>5592</v>
      </c>
      <c r="AF352" t="s">
        <v>560</v>
      </c>
    </row>
    <row r="353" spans="1:32" x14ac:dyDescent="0.3">
      <c r="A353" t="s">
        <v>1826</v>
      </c>
      <c r="B353" s="1" t="s">
        <v>1205</v>
      </c>
      <c r="C353" s="5" t="s">
        <v>2419</v>
      </c>
      <c r="D353" s="2" t="s">
        <v>3936</v>
      </c>
      <c r="E353" s="1" t="s">
        <v>1570</v>
      </c>
      <c r="F353" s="3">
        <v>0.58689862000000004</v>
      </c>
      <c r="G353" s="3">
        <v>0.50978332999999998</v>
      </c>
      <c r="H353" s="3">
        <v>0.54329485</v>
      </c>
      <c r="I353" s="3">
        <v>0.51549250000000002</v>
      </c>
      <c r="J353" s="3">
        <v>0.55993170000000003</v>
      </c>
      <c r="K353" s="3">
        <v>0.52909022999999999</v>
      </c>
      <c r="L353" s="3">
        <v>0.55779880000000004</v>
      </c>
      <c r="M353" s="3">
        <v>0.67966126999999998</v>
      </c>
      <c r="N353" s="3">
        <v>0.67955697000000004</v>
      </c>
      <c r="O353" s="3">
        <v>0.83744567999999997</v>
      </c>
      <c r="P353" s="3">
        <v>0.83997321000000003</v>
      </c>
      <c r="Q353" s="3">
        <v>0.57983552999999999</v>
      </c>
      <c r="R353" s="3">
        <v>0.74607307</v>
      </c>
      <c r="S353" s="3">
        <v>0.72782820000000004</v>
      </c>
      <c r="T353" s="3">
        <v>0.77760309000000005</v>
      </c>
      <c r="U353" s="3">
        <v>0.80445330999999998</v>
      </c>
      <c r="V353" s="3">
        <v>0.85302078999999997</v>
      </c>
      <c r="W353" s="3">
        <v>0.93267012000000005</v>
      </c>
      <c r="X353" s="3">
        <v>0.89862597</v>
      </c>
      <c r="Y353" s="3">
        <v>0.96328849000000005</v>
      </c>
      <c r="Z353" s="3">
        <v>1.33183074</v>
      </c>
      <c r="AA353" s="3">
        <v>1.5901111400000001</v>
      </c>
      <c r="AB353" s="3">
        <v>1.3386573799999999</v>
      </c>
      <c r="AC353" s="3"/>
      <c r="AD353" s="3"/>
      <c r="AE353" t="s">
        <v>5593</v>
      </c>
      <c r="AF353" t="s">
        <v>560</v>
      </c>
    </row>
    <row r="354" spans="1:32" ht="28.8" x14ac:dyDescent="0.3">
      <c r="A354" t="s">
        <v>1826</v>
      </c>
      <c r="B354" s="1" t="s">
        <v>1205</v>
      </c>
      <c r="C354" s="5" t="s">
        <v>2420</v>
      </c>
      <c r="D354" s="2" t="s">
        <v>3937</v>
      </c>
      <c r="E354" s="1" t="s">
        <v>308</v>
      </c>
      <c r="F354" s="3">
        <v>4.5575985899999996</v>
      </c>
      <c r="G354" s="3">
        <v>4.4565472599999998</v>
      </c>
      <c r="H354" s="3">
        <v>4.1479587599999999</v>
      </c>
      <c r="I354" s="3">
        <v>4.0670871699999998</v>
      </c>
      <c r="J354" s="3">
        <v>4.1451525699999996</v>
      </c>
      <c r="K354" s="3">
        <v>3.89134884</v>
      </c>
      <c r="L354" s="3">
        <v>3.8571844099999999</v>
      </c>
      <c r="M354" s="3">
        <v>4.5792217300000004</v>
      </c>
      <c r="N354" s="3">
        <v>4.6578812599999999</v>
      </c>
      <c r="O354" s="3">
        <v>5.8213243500000003</v>
      </c>
      <c r="P354" s="3">
        <v>5.8067884400000001</v>
      </c>
      <c r="Q354" s="3">
        <v>4.3936924900000003</v>
      </c>
      <c r="R354" s="3">
        <v>4.6220030799999998</v>
      </c>
      <c r="S354" s="3">
        <v>4.5898828500000004</v>
      </c>
      <c r="T354" s="3">
        <v>5.1112542200000002</v>
      </c>
      <c r="U354" s="3">
        <v>4.8747077000000001</v>
      </c>
      <c r="V354" s="3">
        <v>4.8519926099999999</v>
      </c>
      <c r="W354" s="3">
        <v>5.1502876300000002</v>
      </c>
      <c r="X354" s="3">
        <v>5.1172766699999999</v>
      </c>
      <c r="Y354" s="3">
        <v>5.60127592</v>
      </c>
      <c r="Z354" s="3">
        <v>6.53835297</v>
      </c>
      <c r="AA354" s="3">
        <v>7.7738952599999998</v>
      </c>
      <c r="AB354" s="3">
        <v>6.2102079400000001</v>
      </c>
      <c r="AC354" s="3"/>
      <c r="AD354" s="3"/>
      <c r="AE354" t="s">
        <v>5594</v>
      </c>
      <c r="AF354" t="s">
        <v>560</v>
      </c>
    </row>
    <row r="355" spans="1:32" x14ac:dyDescent="0.3">
      <c r="A355" t="s">
        <v>1826</v>
      </c>
      <c r="B355" s="1" t="s">
        <v>1205</v>
      </c>
      <c r="C355" s="5" t="s">
        <v>2421</v>
      </c>
      <c r="D355" s="2" t="s">
        <v>3938</v>
      </c>
      <c r="E355" s="1" t="s">
        <v>1209</v>
      </c>
      <c r="F355" s="3">
        <v>4.9245374200000001</v>
      </c>
      <c r="G355" s="3">
        <v>4.3423423400000001</v>
      </c>
      <c r="H355" s="3">
        <v>4.9939796000000003</v>
      </c>
      <c r="I355" s="3">
        <v>5.7155638199999999</v>
      </c>
      <c r="J355" s="3">
        <v>6.5505892100000001</v>
      </c>
      <c r="K355" s="3">
        <v>6.22871796</v>
      </c>
      <c r="L355" s="3">
        <v>6.6858707199999996</v>
      </c>
      <c r="M355" s="3">
        <v>9.0999999000000003</v>
      </c>
      <c r="N355" s="3">
        <v>10.61962714</v>
      </c>
      <c r="O355" s="3">
        <v>12.826849940000001</v>
      </c>
      <c r="P355" s="3">
        <v>12.86064945</v>
      </c>
      <c r="Q355" s="3">
        <v>8.9640536399999995</v>
      </c>
      <c r="R355" s="3">
        <v>11.772714909999999</v>
      </c>
      <c r="S355" s="3">
        <v>13.142452459999999</v>
      </c>
      <c r="T355" s="3">
        <v>15.49741397</v>
      </c>
      <c r="U355" s="3">
        <v>14.59856364</v>
      </c>
      <c r="V355" s="3">
        <v>15.888330590000001</v>
      </c>
      <c r="W355" s="3">
        <v>18.32043315</v>
      </c>
      <c r="X355" s="3">
        <v>19.148517099999999</v>
      </c>
      <c r="Y355" s="3">
        <v>20.63144067</v>
      </c>
      <c r="Z355" s="3">
        <v>29.03030455</v>
      </c>
      <c r="AA355" s="3">
        <v>39.052831349999998</v>
      </c>
      <c r="AB355" s="3">
        <v>31.662581679999999</v>
      </c>
      <c r="AC355" s="3"/>
      <c r="AD355" s="3"/>
      <c r="AE355" t="s">
        <v>5595</v>
      </c>
      <c r="AF355" t="s">
        <v>560</v>
      </c>
    </row>
    <row r="356" spans="1:32" ht="28.8" x14ac:dyDescent="0.3">
      <c r="A356" t="s">
        <v>1826</v>
      </c>
      <c r="B356" s="1" t="s">
        <v>1205</v>
      </c>
      <c r="C356" s="5" t="s">
        <v>2422</v>
      </c>
      <c r="D356" s="2" t="s">
        <v>3939</v>
      </c>
      <c r="E356" s="1" t="s">
        <v>1696</v>
      </c>
      <c r="F356" s="3">
        <v>15.998020395111601</v>
      </c>
      <c r="G356" s="3">
        <v>13.9181680857257</v>
      </c>
      <c r="H356" s="3">
        <v>14.723012750670801</v>
      </c>
      <c r="I356" s="3">
        <v>13.907838230385099</v>
      </c>
      <c r="J356" s="3">
        <v>15.2662958618653</v>
      </c>
      <c r="K356" s="3">
        <v>14.7768158076939</v>
      </c>
      <c r="L356" s="3">
        <v>15.983595117408401</v>
      </c>
      <c r="M356" s="3">
        <v>19.856714938658101</v>
      </c>
      <c r="N356" s="3">
        <v>20.8847089757442</v>
      </c>
      <c r="O356" s="3">
        <v>26.450508880325501</v>
      </c>
      <c r="P356" s="3">
        <v>27.815408313817102</v>
      </c>
      <c r="Q356" s="3">
        <v>17.830769306745101</v>
      </c>
      <c r="R356" s="3">
        <v>24.866577684728501</v>
      </c>
      <c r="S356" s="3">
        <v>26.253883347978999</v>
      </c>
      <c r="T356" s="3">
        <v>31.040006696971901</v>
      </c>
      <c r="U356" s="3">
        <v>34.435453411768798</v>
      </c>
      <c r="V356" s="3">
        <v>37.302337656811901</v>
      </c>
      <c r="W356" s="3">
        <v>41.9234183069699</v>
      </c>
      <c r="X356" s="3">
        <v>42.213562952737</v>
      </c>
      <c r="Y356" s="3">
        <v>48.183614872029999</v>
      </c>
      <c r="Z356" s="3">
        <v>66.454982749162198</v>
      </c>
      <c r="AA356" s="3">
        <v>87.6655390648706</v>
      </c>
      <c r="AB356" s="3">
        <v>83.287849070904599</v>
      </c>
      <c r="AC356" s="3"/>
      <c r="AD356" s="3"/>
      <c r="AE356" t="s">
        <v>5596</v>
      </c>
      <c r="AF356" t="s">
        <v>1734</v>
      </c>
    </row>
    <row r="357" spans="1:32" x14ac:dyDescent="0.3">
      <c r="A357" t="s">
        <v>1826</v>
      </c>
      <c r="B357" s="1" t="s">
        <v>1205</v>
      </c>
      <c r="C357" s="5" t="s">
        <v>2423</v>
      </c>
      <c r="D357" s="2" t="s">
        <v>3940</v>
      </c>
      <c r="E357" s="1" t="s">
        <v>268</v>
      </c>
      <c r="F357" s="3">
        <v>83.542320250000003</v>
      </c>
      <c r="G357" s="3">
        <v>85.401290889999999</v>
      </c>
      <c r="H357" s="3">
        <v>84.126213070000006</v>
      </c>
      <c r="I357" s="3">
        <v>81.981170649999996</v>
      </c>
      <c r="J357" s="3">
        <v>82.877746579999993</v>
      </c>
      <c r="K357" s="3">
        <v>82.694702149999998</v>
      </c>
      <c r="L357" s="3">
        <v>81.989593510000006</v>
      </c>
      <c r="M357" s="3">
        <v>74.505073550000006</v>
      </c>
      <c r="N357" s="3">
        <v>70.818672179999993</v>
      </c>
      <c r="O357" s="3">
        <v>72.021217350000001</v>
      </c>
      <c r="P357" s="3">
        <v>71.439567569999994</v>
      </c>
      <c r="Q357" s="3">
        <v>74.621932979999997</v>
      </c>
      <c r="R357" s="3">
        <v>67.496124269999996</v>
      </c>
      <c r="S357" s="3">
        <v>71.712783810000005</v>
      </c>
      <c r="T357" s="3">
        <v>65.686721800000001</v>
      </c>
      <c r="U357" s="3">
        <v>61.933788300000003</v>
      </c>
      <c r="V357" s="3">
        <v>59.384056090000001</v>
      </c>
      <c r="W357" s="3">
        <v>58.24119949</v>
      </c>
      <c r="X357" s="3">
        <v>58.656677250000001</v>
      </c>
      <c r="Y357" s="3">
        <v>56.796142580000001</v>
      </c>
      <c r="Z357" s="3">
        <v>49.698349</v>
      </c>
      <c r="AA357" s="3">
        <v>44.383049010000001</v>
      </c>
      <c r="AB357" s="3">
        <v>45.235527040000001</v>
      </c>
      <c r="AC357" s="3"/>
      <c r="AD357" s="3"/>
      <c r="AE357" t="s">
        <v>5597</v>
      </c>
      <c r="AF357" t="s">
        <v>560</v>
      </c>
    </row>
    <row r="358" spans="1:32" x14ac:dyDescent="0.3">
      <c r="A358" t="s">
        <v>1826</v>
      </c>
      <c r="B358" s="1" t="s">
        <v>1205</v>
      </c>
      <c r="C358" s="5" t="s">
        <v>2424</v>
      </c>
      <c r="D358" s="2" t="s">
        <v>3941</v>
      </c>
      <c r="E358" s="1" t="s">
        <v>431</v>
      </c>
      <c r="F358" s="3">
        <v>28.054893839999998</v>
      </c>
      <c r="G358" s="3">
        <v>28.989919159999999</v>
      </c>
      <c r="H358" s="3">
        <v>30.341931809999998</v>
      </c>
      <c r="I358" s="3">
        <v>35.917848480000004</v>
      </c>
      <c r="J358" s="3">
        <v>38.991499240000003</v>
      </c>
      <c r="K358" s="3">
        <v>38.613762909999998</v>
      </c>
      <c r="L358" s="3">
        <v>38.60811357</v>
      </c>
      <c r="M358" s="3">
        <v>41.835225379999997</v>
      </c>
      <c r="N358" s="3">
        <v>45.803245220000001</v>
      </c>
      <c r="O358" s="3">
        <v>51.181741100000004</v>
      </c>
      <c r="P358" s="3">
        <v>50.040598299999999</v>
      </c>
      <c r="Q358" s="3">
        <v>50.725142669999997</v>
      </c>
      <c r="R358" s="3">
        <v>47.15416467</v>
      </c>
      <c r="S358" s="3">
        <v>48.14186471</v>
      </c>
      <c r="T358" s="3">
        <v>48.843438829999997</v>
      </c>
      <c r="U358" s="3">
        <v>36.189035850000003</v>
      </c>
      <c r="V358" s="3">
        <v>36.73322555</v>
      </c>
      <c r="W358" s="3">
        <v>37.14590424</v>
      </c>
      <c r="X358" s="3">
        <v>38.642735309999999</v>
      </c>
      <c r="Y358" s="3">
        <v>38.794440180000002</v>
      </c>
      <c r="Z358" s="3">
        <v>39.25060079</v>
      </c>
      <c r="AA358" s="3">
        <v>41.008115250000003</v>
      </c>
      <c r="AB358" s="3">
        <v>38.971373790000001</v>
      </c>
      <c r="AC358" s="3"/>
      <c r="AD358" s="3"/>
      <c r="AE358" t="s">
        <v>5598</v>
      </c>
      <c r="AF358" t="s">
        <v>560</v>
      </c>
    </row>
    <row r="359" spans="1:32" x14ac:dyDescent="0.3">
      <c r="A359" t="s">
        <v>1826</v>
      </c>
      <c r="B359" s="1" t="s">
        <v>1205</v>
      </c>
      <c r="C359" s="5" t="s">
        <v>2425</v>
      </c>
      <c r="D359" s="2" t="s">
        <v>3942</v>
      </c>
      <c r="E359" s="1" t="s">
        <v>895</v>
      </c>
      <c r="F359" s="3">
        <v>91.140086053517507</v>
      </c>
      <c r="G359" s="3">
        <v>92.9191059864431</v>
      </c>
      <c r="H359" s="3">
        <v>89.452637905363403</v>
      </c>
      <c r="I359" s="3">
        <v>87.399886059503203</v>
      </c>
      <c r="J359" s="3">
        <v>90.870568195005205</v>
      </c>
      <c r="K359" s="3">
        <v>91.606084163832094</v>
      </c>
      <c r="L359" s="3">
        <v>92.298592286762997</v>
      </c>
      <c r="M359" s="3">
        <v>91.286830112064706</v>
      </c>
      <c r="N359" s="3">
        <v>90.077310016968397</v>
      </c>
      <c r="O359" s="3">
        <v>105.54291222405701</v>
      </c>
      <c r="P359" s="3">
        <v>108.229345556488</v>
      </c>
      <c r="Q359" s="3">
        <v>100.899476153763</v>
      </c>
      <c r="R359" s="3">
        <v>99.600024939078594</v>
      </c>
      <c r="S359" s="3">
        <v>96.170094895993202</v>
      </c>
      <c r="T359" s="3">
        <v>97.829268227356295</v>
      </c>
      <c r="U359" s="3">
        <v>85.363593902293204</v>
      </c>
      <c r="V359" s="3">
        <v>86.241608263581796</v>
      </c>
      <c r="W359" s="3">
        <v>85.002536208841605</v>
      </c>
      <c r="X359" s="3">
        <v>85.189235852488807</v>
      </c>
      <c r="Y359" s="3">
        <v>90.602318790071095</v>
      </c>
      <c r="Z359" s="3">
        <v>89.850865796869201</v>
      </c>
      <c r="AA359" s="3">
        <v>92.054747499101495</v>
      </c>
      <c r="AB359" s="3">
        <v>102.51349467160099</v>
      </c>
      <c r="AC359" s="3"/>
      <c r="AD359" s="3"/>
      <c r="AE359" t="s">
        <v>5599</v>
      </c>
      <c r="AF359" t="s">
        <v>1734</v>
      </c>
    </row>
    <row r="360" spans="1:32" x14ac:dyDescent="0.3">
      <c r="A360" t="s">
        <v>1826</v>
      </c>
      <c r="B360" s="1" t="s">
        <v>1205</v>
      </c>
      <c r="C360" s="5" t="s">
        <v>2426</v>
      </c>
      <c r="D360" s="2" t="s">
        <v>3943</v>
      </c>
      <c r="E360" s="1" t="s">
        <v>1000</v>
      </c>
      <c r="F360" s="3"/>
      <c r="G360" s="3"/>
      <c r="H360" s="3"/>
      <c r="I360" s="3"/>
      <c r="J360" s="3"/>
      <c r="K360" s="3"/>
      <c r="L360" s="3"/>
      <c r="M360" s="3"/>
      <c r="N360" s="3"/>
      <c r="O360" s="3">
        <v>7.5740363912106903E-4</v>
      </c>
      <c r="P360" s="3"/>
      <c r="Q360" s="3"/>
      <c r="R360" s="3"/>
      <c r="S360" s="3"/>
      <c r="T360" s="3"/>
      <c r="U360" s="3"/>
      <c r="V360" s="3"/>
      <c r="W360" s="3"/>
      <c r="X360" s="3"/>
      <c r="Y360" s="3"/>
      <c r="Z360" s="3"/>
      <c r="AA360" s="3"/>
      <c r="AB360" s="3"/>
      <c r="AC360" s="3"/>
      <c r="AD360" s="3"/>
      <c r="AE360" t="s">
        <v>5600</v>
      </c>
      <c r="AF360" t="s">
        <v>1519</v>
      </c>
    </row>
    <row r="361" spans="1:32" x14ac:dyDescent="0.3">
      <c r="A361" t="s">
        <v>1826</v>
      </c>
      <c r="B361" s="1" t="s">
        <v>1205</v>
      </c>
      <c r="C361" s="5" t="s">
        <v>2427</v>
      </c>
      <c r="D361" s="2" t="s">
        <v>3944</v>
      </c>
      <c r="E361" s="1" t="s">
        <v>175</v>
      </c>
      <c r="F361" s="3"/>
      <c r="G361" s="3"/>
      <c r="H361" s="3"/>
      <c r="I361" s="3"/>
      <c r="J361" s="3"/>
      <c r="K361" s="3"/>
      <c r="L361" s="3"/>
      <c r="M361" s="3"/>
      <c r="N361" s="3"/>
      <c r="O361" s="3"/>
      <c r="P361" s="3"/>
      <c r="Q361" s="3"/>
      <c r="R361" s="3">
        <v>3.6138329505920401</v>
      </c>
      <c r="S361" s="3">
        <v>1.21178722381592</v>
      </c>
      <c r="T361" s="3"/>
      <c r="U361" s="3"/>
      <c r="V361" s="3">
        <v>1.3965100049972501</v>
      </c>
      <c r="W361" s="3"/>
      <c r="X361" s="3"/>
      <c r="Y361" s="3">
        <v>2.6541903018951398</v>
      </c>
      <c r="Z361" s="3"/>
      <c r="AA361" s="3">
        <v>3.0799999237060498</v>
      </c>
      <c r="AB361" s="3">
        <v>3.0649061203002899</v>
      </c>
      <c r="AC361" s="3"/>
      <c r="AD361" s="3"/>
      <c r="AE361" t="s">
        <v>5601</v>
      </c>
      <c r="AF361" t="s">
        <v>986</v>
      </c>
    </row>
    <row r="362" spans="1:32" ht="28.8" x14ac:dyDescent="0.3">
      <c r="A362" t="s">
        <v>1826</v>
      </c>
      <c r="B362" s="1" t="s">
        <v>1205</v>
      </c>
      <c r="C362" s="5" t="s">
        <v>2428</v>
      </c>
      <c r="D362" s="2" t="s">
        <v>3945</v>
      </c>
      <c r="E362" s="1" t="s">
        <v>352</v>
      </c>
      <c r="F362" s="3"/>
      <c r="G362" s="3"/>
      <c r="H362" s="3"/>
      <c r="I362" s="3"/>
      <c r="J362" s="3"/>
      <c r="K362" s="3"/>
      <c r="L362" s="3"/>
      <c r="M362" s="3"/>
      <c r="N362" s="3"/>
      <c r="O362" s="3"/>
      <c r="P362" s="3"/>
      <c r="Q362" s="3"/>
      <c r="R362" s="3">
        <v>8.6756877899169904</v>
      </c>
      <c r="S362" s="3">
        <v>3.8978054523468</v>
      </c>
      <c r="T362" s="3"/>
      <c r="U362" s="3"/>
      <c r="V362" s="3">
        <v>5.5237898826599103</v>
      </c>
      <c r="W362" s="3"/>
      <c r="X362" s="3"/>
      <c r="Y362" s="3">
        <v>7.6157579421997097</v>
      </c>
      <c r="Z362" s="3"/>
      <c r="AA362" s="3">
        <v>6.6900000572204599</v>
      </c>
      <c r="AB362" s="3">
        <v>6.7027444839477504</v>
      </c>
      <c r="AC362" s="3"/>
      <c r="AD362" s="3"/>
      <c r="AE362" t="s">
        <v>5601</v>
      </c>
      <c r="AF362" t="s">
        <v>986</v>
      </c>
    </row>
    <row r="363" spans="1:32" x14ac:dyDescent="0.3">
      <c r="A363" t="s">
        <v>1826</v>
      </c>
      <c r="B363" s="1" t="s">
        <v>1205</v>
      </c>
      <c r="C363" s="5" t="s">
        <v>2429</v>
      </c>
      <c r="D363" s="2" t="s">
        <v>3946</v>
      </c>
      <c r="E363" s="1" t="s">
        <v>353</v>
      </c>
      <c r="F363" s="3"/>
      <c r="G363" s="3"/>
      <c r="H363" s="3"/>
      <c r="I363" s="3"/>
      <c r="J363" s="3"/>
      <c r="K363" s="3"/>
      <c r="L363" s="3"/>
      <c r="M363" s="3"/>
      <c r="N363" s="3"/>
      <c r="O363" s="3"/>
      <c r="P363" s="3"/>
      <c r="Q363" s="3"/>
      <c r="R363" s="3">
        <v>6.2484974861145002</v>
      </c>
      <c r="S363" s="3">
        <v>2.5987460613250701</v>
      </c>
      <c r="T363" s="3"/>
      <c r="U363" s="3"/>
      <c r="V363" s="3">
        <v>3.4545800685882599</v>
      </c>
      <c r="W363" s="3"/>
      <c r="X363" s="3"/>
      <c r="Y363" s="3">
        <v>5.2261252403259304</v>
      </c>
      <c r="Z363" s="3"/>
      <c r="AA363" s="3">
        <v>4.9800000190734899</v>
      </c>
      <c r="AB363" s="3">
        <v>4.76513671875</v>
      </c>
      <c r="AC363" s="3"/>
      <c r="AD363" s="3"/>
      <c r="AE363" t="s">
        <v>5601</v>
      </c>
      <c r="AF363" t="s">
        <v>102</v>
      </c>
    </row>
    <row r="364" spans="1:32" ht="28.8" x14ac:dyDescent="0.3">
      <c r="A364" t="s">
        <v>1826</v>
      </c>
      <c r="B364" s="1" t="s">
        <v>1205</v>
      </c>
      <c r="C364" s="5" t="s">
        <v>2430</v>
      </c>
      <c r="D364" s="2" t="s">
        <v>3947</v>
      </c>
      <c r="E364" s="1" t="s">
        <v>887</v>
      </c>
      <c r="F364" s="3"/>
      <c r="G364" s="3"/>
      <c r="H364" s="3"/>
      <c r="I364" s="3"/>
      <c r="J364" s="3"/>
      <c r="K364" s="3"/>
      <c r="L364" s="3"/>
      <c r="M364" s="3"/>
      <c r="N364" s="3"/>
      <c r="O364" s="3"/>
      <c r="P364" s="3"/>
      <c r="Q364" s="3"/>
      <c r="R364" s="3">
        <v>17.236125946044901</v>
      </c>
      <c r="S364" s="3">
        <v>11.3944902420044</v>
      </c>
      <c r="T364" s="3">
        <v>20.0200004577637</v>
      </c>
      <c r="U364" s="3"/>
      <c r="V364" s="3">
        <v>11.843359947204601</v>
      </c>
      <c r="W364" s="3"/>
      <c r="X364" s="3"/>
      <c r="Y364" s="3">
        <v>9.0958404541015607</v>
      </c>
      <c r="Z364" s="3"/>
      <c r="AA364" s="3">
        <v>20.0100002288818</v>
      </c>
      <c r="AB364" s="3">
        <v>17.930662155151399</v>
      </c>
      <c r="AC364" s="3"/>
      <c r="AD364" s="3"/>
      <c r="AE364" t="s">
        <v>5602</v>
      </c>
      <c r="AF364" t="s">
        <v>317</v>
      </c>
    </row>
    <row r="365" spans="1:32" ht="28.8" x14ac:dyDescent="0.3">
      <c r="A365" t="s">
        <v>1826</v>
      </c>
      <c r="B365" s="1" t="s">
        <v>1205</v>
      </c>
      <c r="C365" s="5" t="s">
        <v>2431</v>
      </c>
      <c r="D365" s="2" t="s">
        <v>3948</v>
      </c>
      <c r="E365" s="1" t="s">
        <v>1647</v>
      </c>
      <c r="F365" s="3"/>
      <c r="G365" s="3"/>
      <c r="H365" s="3"/>
      <c r="I365" s="3"/>
      <c r="J365" s="3"/>
      <c r="K365" s="3"/>
      <c r="L365" s="3"/>
      <c r="M365" s="3"/>
      <c r="N365" s="3"/>
      <c r="O365" s="3"/>
      <c r="P365" s="3"/>
      <c r="Q365" s="3"/>
      <c r="R365" s="3">
        <v>32.836601257324197</v>
      </c>
      <c r="S365" s="3">
        <v>24.7101745605469</v>
      </c>
      <c r="T365" s="3">
        <v>29.159999847412099</v>
      </c>
      <c r="U365" s="3"/>
      <c r="V365" s="3">
        <v>27.1644496917725</v>
      </c>
      <c r="W365" s="3"/>
      <c r="X365" s="3"/>
      <c r="Y365" s="3">
        <v>20.4180507659912</v>
      </c>
      <c r="Z365" s="3"/>
      <c r="AA365" s="3">
        <v>32.680000305175803</v>
      </c>
      <c r="AB365" s="3">
        <v>33.932693481445298</v>
      </c>
      <c r="AC365" s="3"/>
      <c r="AD365" s="3"/>
      <c r="AE365" t="s">
        <v>5602</v>
      </c>
      <c r="AF365" t="s">
        <v>317</v>
      </c>
    </row>
    <row r="366" spans="1:32" ht="28.8" x14ac:dyDescent="0.3">
      <c r="A366" t="s">
        <v>1826</v>
      </c>
      <c r="B366" s="1" t="s">
        <v>1205</v>
      </c>
      <c r="C366" s="5" t="s">
        <v>2432</v>
      </c>
      <c r="D366" s="2" t="s">
        <v>3949</v>
      </c>
      <c r="E366" s="1" t="s">
        <v>1143</v>
      </c>
      <c r="F366" s="3"/>
      <c r="G366" s="3"/>
      <c r="H366" s="3"/>
      <c r="I366" s="3"/>
      <c r="J366" s="3"/>
      <c r="K366" s="3"/>
      <c r="L366" s="3"/>
      <c r="M366" s="3"/>
      <c r="N366" s="3"/>
      <c r="O366" s="3"/>
      <c r="P366" s="3"/>
      <c r="Q366" s="3"/>
      <c r="R366" s="3">
        <v>25.271284103393601</v>
      </c>
      <c r="S366" s="3">
        <v>18.270208358764599</v>
      </c>
      <c r="T366" s="3">
        <v>24.7399997711182</v>
      </c>
      <c r="U366" s="3"/>
      <c r="V366" s="3">
        <v>19.483249664306602</v>
      </c>
      <c r="W366" s="3"/>
      <c r="X366" s="3"/>
      <c r="Y366" s="3">
        <v>14.9650325775146</v>
      </c>
      <c r="Z366" s="3"/>
      <c r="AA366" s="3">
        <v>26.670000076293899</v>
      </c>
      <c r="AB366" s="3">
        <v>25.409593582153299</v>
      </c>
      <c r="AC366" s="3"/>
      <c r="AD366" s="3"/>
      <c r="AE366" t="s">
        <v>5602</v>
      </c>
      <c r="AF366" t="s">
        <v>317</v>
      </c>
    </row>
    <row r="367" spans="1:32" ht="28.8" x14ac:dyDescent="0.3">
      <c r="A367" t="s">
        <v>1826</v>
      </c>
      <c r="B367" s="1" t="s">
        <v>1205</v>
      </c>
      <c r="C367" s="5" t="s">
        <v>2433</v>
      </c>
      <c r="D367" s="2" t="s">
        <v>3950</v>
      </c>
      <c r="E367" s="1" t="s">
        <v>1827</v>
      </c>
      <c r="F367" s="3"/>
      <c r="G367" s="3"/>
      <c r="H367" s="3"/>
      <c r="I367" s="3"/>
      <c r="J367" s="3"/>
      <c r="K367" s="3"/>
      <c r="L367" s="3"/>
      <c r="M367" s="3"/>
      <c r="N367" s="3"/>
      <c r="O367" s="3"/>
      <c r="P367" s="3"/>
      <c r="Q367" s="3"/>
      <c r="R367" s="3">
        <v>3.6138329505920401</v>
      </c>
      <c r="S367" s="3">
        <v>1.21178722381592</v>
      </c>
      <c r="T367" s="3">
        <v>4.4099998474121103</v>
      </c>
      <c r="U367" s="3"/>
      <c r="V367" s="3"/>
      <c r="W367" s="3"/>
      <c r="X367" s="3"/>
      <c r="Y367" s="3">
        <v>2.8682167530059801</v>
      </c>
      <c r="Z367" s="3"/>
      <c r="AA367" s="3">
        <v>6.7600002288818404</v>
      </c>
      <c r="AB367" s="3">
        <v>4.9164905548095703</v>
      </c>
      <c r="AC367" s="3"/>
      <c r="AD367" s="3"/>
      <c r="AE367" t="s">
        <v>5603</v>
      </c>
      <c r="AF367" t="s">
        <v>1924</v>
      </c>
    </row>
    <row r="368" spans="1:32" ht="28.8" x14ac:dyDescent="0.3">
      <c r="A368" t="s">
        <v>1826</v>
      </c>
      <c r="B368" s="1" t="s">
        <v>1205</v>
      </c>
      <c r="C368" s="5" t="s">
        <v>2434</v>
      </c>
      <c r="D368" s="2" t="s">
        <v>3951</v>
      </c>
      <c r="E368" s="1" t="s">
        <v>2029</v>
      </c>
      <c r="F368" s="3"/>
      <c r="G368" s="3"/>
      <c r="H368" s="3"/>
      <c r="I368" s="3"/>
      <c r="J368" s="3"/>
      <c r="K368" s="3"/>
      <c r="L368" s="3"/>
      <c r="M368" s="3"/>
      <c r="N368" s="3"/>
      <c r="O368" s="3"/>
      <c r="P368" s="3"/>
      <c r="Q368" s="3"/>
      <c r="R368" s="3">
        <v>8.6756877899169904</v>
      </c>
      <c r="S368" s="3">
        <v>3.8978054523468</v>
      </c>
      <c r="T368" s="3">
        <v>7.4400000572204599</v>
      </c>
      <c r="U368" s="3"/>
      <c r="V368" s="3"/>
      <c r="W368" s="3"/>
      <c r="X368" s="3"/>
      <c r="Y368" s="3">
        <v>7.9471530914306596</v>
      </c>
      <c r="Z368" s="3"/>
      <c r="AA368" s="3">
        <v>12.3900003433228</v>
      </c>
      <c r="AB368" s="3">
        <v>10.1925811767578</v>
      </c>
      <c r="AC368" s="3"/>
      <c r="AD368" s="3"/>
      <c r="AE368" t="s">
        <v>5603</v>
      </c>
      <c r="AF368" t="s">
        <v>1924</v>
      </c>
    </row>
    <row r="369" spans="1:32" ht="28.8" x14ac:dyDescent="0.3">
      <c r="A369" t="s">
        <v>1826</v>
      </c>
      <c r="B369" s="1" t="s">
        <v>1205</v>
      </c>
      <c r="C369" s="5" t="s">
        <v>2435</v>
      </c>
      <c r="D369" s="2" t="s">
        <v>3952</v>
      </c>
      <c r="E369" s="1" t="s">
        <v>670</v>
      </c>
      <c r="F369" s="3"/>
      <c r="G369" s="3"/>
      <c r="H369" s="3"/>
      <c r="I369" s="3"/>
      <c r="J369" s="3"/>
      <c r="K369" s="3"/>
      <c r="L369" s="3"/>
      <c r="M369" s="3"/>
      <c r="N369" s="3"/>
      <c r="O369" s="3"/>
      <c r="P369" s="3"/>
      <c r="Q369" s="3"/>
      <c r="R369" s="3">
        <v>6.2484974861145002</v>
      </c>
      <c r="S369" s="3">
        <v>2.5987460613250701</v>
      </c>
      <c r="T369" s="3">
        <v>5.9699997901916504</v>
      </c>
      <c r="U369" s="3"/>
      <c r="V369" s="3"/>
      <c r="W369" s="3"/>
      <c r="X369" s="3"/>
      <c r="Y369" s="3">
        <v>5.5009880065918004</v>
      </c>
      <c r="Z369" s="3"/>
      <c r="AA369" s="3">
        <v>9.7100000381469709</v>
      </c>
      <c r="AB369" s="3">
        <v>7.3823971748352104</v>
      </c>
      <c r="AC369" s="3"/>
      <c r="AD369" s="3"/>
      <c r="AE369" t="s">
        <v>5603</v>
      </c>
      <c r="AF369" t="s">
        <v>802</v>
      </c>
    </row>
    <row r="370" spans="1:32" ht="28.8" x14ac:dyDescent="0.3">
      <c r="A370" t="s">
        <v>1826</v>
      </c>
      <c r="B370" s="1" t="s">
        <v>1205</v>
      </c>
      <c r="C370" s="5" t="s">
        <v>2436</v>
      </c>
      <c r="D370" s="2" t="s">
        <v>3953</v>
      </c>
      <c r="E370" s="1" t="s">
        <v>1302</v>
      </c>
      <c r="F370" s="3"/>
      <c r="G370" s="3"/>
      <c r="H370" s="3"/>
      <c r="I370" s="3"/>
      <c r="J370" s="3"/>
      <c r="K370" s="3"/>
      <c r="L370" s="3"/>
      <c r="M370" s="3"/>
      <c r="N370" s="3"/>
      <c r="O370" s="3"/>
      <c r="P370" s="3"/>
      <c r="Q370" s="3"/>
      <c r="R370" s="3">
        <v>40.101970672607401</v>
      </c>
      <c r="S370" s="3">
        <v>25.326633453369102</v>
      </c>
      <c r="T370" s="3">
        <v>29.4899997711182</v>
      </c>
      <c r="U370" s="3"/>
      <c r="V370" s="3">
        <v>25.040969848632798</v>
      </c>
      <c r="W370" s="3"/>
      <c r="X370" s="3"/>
      <c r="Y370" s="3">
        <v>18.611789703369102</v>
      </c>
      <c r="Z370" s="3"/>
      <c r="AA370" s="3">
        <v>25.780000686645501</v>
      </c>
      <c r="AB370" s="3">
        <v>36.850296020507798</v>
      </c>
      <c r="AC370" s="3"/>
      <c r="AD370" s="3"/>
      <c r="AE370" t="s">
        <v>5604</v>
      </c>
      <c r="AF370" t="s">
        <v>651</v>
      </c>
    </row>
    <row r="371" spans="1:32" ht="28.8" x14ac:dyDescent="0.3">
      <c r="A371" t="s">
        <v>1826</v>
      </c>
      <c r="B371" s="1" t="s">
        <v>1205</v>
      </c>
      <c r="C371" s="5" t="s">
        <v>2437</v>
      </c>
      <c r="D371" s="2" t="s">
        <v>3954</v>
      </c>
      <c r="E371" s="1" t="s">
        <v>1485</v>
      </c>
      <c r="F371" s="3"/>
      <c r="G371" s="3"/>
      <c r="H371" s="3"/>
      <c r="I371" s="3"/>
      <c r="J371" s="3"/>
      <c r="K371" s="3"/>
      <c r="L371" s="3"/>
      <c r="M371" s="3"/>
      <c r="N371" s="3"/>
      <c r="O371" s="3"/>
      <c r="P371" s="3"/>
      <c r="Q371" s="3"/>
      <c r="R371" s="3">
        <v>56.915016174316399</v>
      </c>
      <c r="S371" s="3">
        <v>43.898670196533203</v>
      </c>
      <c r="T371" s="3">
        <v>41.490001678466797</v>
      </c>
      <c r="U371" s="3"/>
      <c r="V371" s="3">
        <v>43.571910858154297</v>
      </c>
      <c r="W371" s="3"/>
      <c r="X371" s="3"/>
      <c r="Y371" s="3">
        <v>35.449470520019503</v>
      </c>
      <c r="Z371" s="3"/>
      <c r="AA371" s="3">
        <v>38.990001678466797</v>
      </c>
      <c r="AB371" s="3">
        <v>53.101020812988303</v>
      </c>
      <c r="AC371" s="3"/>
      <c r="AD371" s="3"/>
      <c r="AE371" t="s">
        <v>5604</v>
      </c>
      <c r="AF371" t="s">
        <v>651</v>
      </c>
    </row>
    <row r="372" spans="1:32" ht="28.8" x14ac:dyDescent="0.3">
      <c r="A372" t="s">
        <v>1826</v>
      </c>
      <c r="B372" s="1" t="s">
        <v>1205</v>
      </c>
      <c r="C372" s="5" t="s">
        <v>2438</v>
      </c>
      <c r="D372" s="2" t="s">
        <v>3955</v>
      </c>
      <c r="E372" s="1" t="s">
        <v>1169</v>
      </c>
      <c r="F372" s="3"/>
      <c r="G372" s="3"/>
      <c r="H372" s="3"/>
      <c r="I372" s="3"/>
      <c r="J372" s="3"/>
      <c r="K372" s="3"/>
      <c r="L372" s="3"/>
      <c r="M372" s="3"/>
      <c r="N372" s="3"/>
      <c r="O372" s="3"/>
      <c r="P372" s="3"/>
      <c r="Q372" s="3"/>
      <c r="R372" s="3">
        <v>48.758514404296903</v>
      </c>
      <c r="S372" s="3">
        <v>34.916542053222699</v>
      </c>
      <c r="T372" s="3">
        <v>35.689998626708999</v>
      </c>
      <c r="U372" s="3"/>
      <c r="V372" s="3">
        <v>34.281459808349602</v>
      </c>
      <c r="W372" s="3"/>
      <c r="X372" s="3"/>
      <c r="Y372" s="3">
        <v>27.340274810791001</v>
      </c>
      <c r="Z372" s="3"/>
      <c r="AA372" s="3">
        <v>32.720001220703097</v>
      </c>
      <c r="AB372" s="3">
        <v>44.445461273193402</v>
      </c>
      <c r="AC372" s="3"/>
      <c r="AD372" s="3"/>
      <c r="AE372" t="s">
        <v>5604</v>
      </c>
      <c r="AF372" t="s">
        <v>397</v>
      </c>
    </row>
    <row r="373" spans="1:32" ht="28.8" x14ac:dyDescent="0.3">
      <c r="A373" t="s">
        <v>1826</v>
      </c>
      <c r="B373" s="1" t="s">
        <v>1205</v>
      </c>
      <c r="C373" s="5" t="s">
        <v>2439</v>
      </c>
      <c r="D373" s="2" t="s">
        <v>3956</v>
      </c>
      <c r="E373" s="1" t="s">
        <v>972</v>
      </c>
      <c r="F373" s="3"/>
      <c r="G373" s="3"/>
      <c r="H373" s="3"/>
      <c r="I373" s="3"/>
      <c r="J373" s="3"/>
      <c r="K373" s="3"/>
      <c r="L373" s="3"/>
      <c r="M373" s="3"/>
      <c r="N373" s="3"/>
      <c r="O373" s="3"/>
      <c r="P373" s="3"/>
      <c r="Q373" s="3"/>
      <c r="R373" s="3">
        <v>3.6138329505920401</v>
      </c>
      <c r="S373" s="3">
        <v>1.21178722381592</v>
      </c>
      <c r="T373" s="3"/>
      <c r="U373" s="3"/>
      <c r="V373" s="3"/>
      <c r="W373" s="3"/>
      <c r="X373" s="3"/>
      <c r="Y373" s="3">
        <v>2.6541903018951398</v>
      </c>
      <c r="Z373" s="3"/>
      <c r="AA373" s="3">
        <v>5.4699997901916504</v>
      </c>
      <c r="AB373" s="3">
        <v>4.4734020233154297</v>
      </c>
      <c r="AC373" s="3"/>
      <c r="AD373" s="3"/>
      <c r="AE373" t="s">
        <v>5605</v>
      </c>
      <c r="AF373" t="s">
        <v>990</v>
      </c>
    </row>
    <row r="374" spans="1:32" ht="28.8" x14ac:dyDescent="0.3">
      <c r="A374" t="s">
        <v>1826</v>
      </c>
      <c r="B374" s="1" t="s">
        <v>1205</v>
      </c>
      <c r="C374" s="5" t="s">
        <v>2440</v>
      </c>
      <c r="D374" s="2" t="s">
        <v>3957</v>
      </c>
      <c r="E374" s="1" t="s">
        <v>1149</v>
      </c>
      <c r="F374" s="3"/>
      <c r="G374" s="3"/>
      <c r="H374" s="3"/>
      <c r="I374" s="3"/>
      <c r="J374" s="3"/>
      <c r="K374" s="3"/>
      <c r="L374" s="3"/>
      <c r="M374" s="3"/>
      <c r="N374" s="3"/>
      <c r="O374" s="3"/>
      <c r="P374" s="3"/>
      <c r="Q374" s="3"/>
      <c r="R374" s="3">
        <v>8.6756877899169904</v>
      </c>
      <c r="S374" s="3">
        <v>3.8978054523468</v>
      </c>
      <c r="T374" s="3"/>
      <c r="U374" s="3"/>
      <c r="V374" s="3"/>
      <c r="W374" s="3"/>
      <c r="X374" s="3"/>
      <c r="Y374" s="3">
        <v>7.6157579421997097</v>
      </c>
      <c r="Z374" s="3"/>
      <c r="AA374" s="3">
        <v>9.9499998092651403</v>
      </c>
      <c r="AB374" s="3">
        <v>9.1655788421630895</v>
      </c>
      <c r="AC374" s="3"/>
      <c r="AD374" s="3"/>
      <c r="AE374" t="s">
        <v>5605</v>
      </c>
      <c r="AF374" t="s">
        <v>1064</v>
      </c>
    </row>
    <row r="375" spans="1:32" ht="28.8" x14ac:dyDescent="0.3">
      <c r="A375" t="s">
        <v>1826</v>
      </c>
      <c r="B375" s="1" t="s">
        <v>1205</v>
      </c>
      <c r="C375" s="5" t="s">
        <v>2441</v>
      </c>
      <c r="D375" s="2" t="s">
        <v>3958</v>
      </c>
      <c r="E375" s="1" t="s">
        <v>588</v>
      </c>
      <c r="F375" s="3"/>
      <c r="G375" s="3"/>
      <c r="H375" s="3"/>
      <c r="I375" s="3"/>
      <c r="J375" s="3"/>
      <c r="K375" s="3"/>
      <c r="L375" s="3"/>
      <c r="M375" s="3"/>
      <c r="N375" s="3"/>
      <c r="O375" s="3"/>
      <c r="P375" s="3"/>
      <c r="Q375" s="3"/>
      <c r="R375" s="3">
        <v>6.2484974861145002</v>
      </c>
      <c r="S375" s="3">
        <v>2.5987460613250701</v>
      </c>
      <c r="T375" s="3"/>
      <c r="U375" s="3"/>
      <c r="V375" s="3"/>
      <c r="W375" s="3"/>
      <c r="X375" s="3"/>
      <c r="Y375" s="3">
        <v>5.2261252403259304</v>
      </c>
      <c r="Z375" s="3"/>
      <c r="AA375" s="3">
        <v>7.8299999237060502</v>
      </c>
      <c r="AB375" s="3">
        <v>6.66640281677246</v>
      </c>
      <c r="AC375" s="3"/>
      <c r="AD375" s="3"/>
      <c r="AE375" t="s">
        <v>5605</v>
      </c>
      <c r="AF375" t="s">
        <v>990</v>
      </c>
    </row>
    <row r="376" spans="1:32" ht="28.8" x14ac:dyDescent="0.3">
      <c r="A376" t="s">
        <v>1826</v>
      </c>
      <c r="B376" s="1" t="s">
        <v>1205</v>
      </c>
      <c r="C376" s="5" t="s">
        <v>2442</v>
      </c>
      <c r="D376" s="2" t="s">
        <v>3959</v>
      </c>
      <c r="E376" s="1" t="s">
        <v>1393</v>
      </c>
      <c r="F376" s="3"/>
      <c r="G376" s="3"/>
      <c r="H376" s="3"/>
      <c r="I376" s="3"/>
      <c r="J376" s="3"/>
      <c r="K376" s="3"/>
      <c r="L376" s="3"/>
      <c r="M376" s="3"/>
      <c r="N376" s="3"/>
      <c r="O376" s="3"/>
      <c r="P376" s="3"/>
      <c r="Q376" s="3"/>
      <c r="R376" s="3">
        <v>7.8123083114623997</v>
      </c>
      <c r="S376" s="3">
        <v>6.0535144805908203</v>
      </c>
      <c r="T376" s="3">
        <v>11.9799995422363</v>
      </c>
      <c r="U376" s="3"/>
      <c r="V376" s="3">
        <v>6.23216009140015</v>
      </c>
      <c r="W376" s="3"/>
      <c r="X376" s="3"/>
      <c r="Y376" s="3">
        <v>4.9264178276062003</v>
      </c>
      <c r="Z376" s="3"/>
      <c r="AA376" s="3">
        <v>11.7299995422363</v>
      </c>
      <c r="AB376" s="3">
        <v>9.2725286483764595</v>
      </c>
      <c r="AC376" s="3"/>
      <c r="AD376" s="3"/>
      <c r="AE376" t="s">
        <v>5606</v>
      </c>
      <c r="AF376" t="s">
        <v>1258</v>
      </c>
    </row>
    <row r="377" spans="1:32" ht="28.8" x14ac:dyDescent="0.3">
      <c r="A377" t="s">
        <v>1826</v>
      </c>
      <c r="B377" s="1" t="s">
        <v>1205</v>
      </c>
      <c r="C377" s="5" t="s">
        <v>2443</v>
      </c>
      <c r="D377" s="2" t="s">
        <v>3960</v>
      </c>
      <c r="E377" s="1" t="s">
        <v>114</v>
      </c>
      <c r="F377" s="3"/>
      <c r="G377" s="3"/>
      <c r="H377" s="3"/>
      <c r="I377" s="3"/>
      <c r="J377" s="3"/>
      <c r="K377" s="3"/>
      <c r="L377" s="3"/>
      <c r="M377" s="3"/>
      <c r="N377" s="3"/>
      <c r="O377" s="3"/>
      <c r="P377" s="3"/>
      <c r="Q377" s="3"/>
      <c r="R377" s="3">
        <v>18.869119644165</v>
      </c>
      <c r="S377" s="3">
        <v>13.678165435791</v>
      </c>
      <c r="T377" s="3">
        <v>16.2299995422363</v>
      </c>
      <c r="U377" s="3"/>
      <c r="V377" s="3">
        <v>16.100049972534201</v>
      </c>
      <c r="W377" s="3"/>
      <c r="X377" s="3"/>
      <c r="Y377" s="3">
        <v>13.166501998901399</v>
      </c>
      <c r="Z377" s="3"/>
      <c r="AA377" s="3">
        <v>21.389999389648398</v>
      </c>
      <c r="AB377" s="3">
        <v>19.5633430480957</v>
      </c>
      <c r="AC377" s="3"/>
      <c r="AD377" s="3"/>
      <c r="AE377" t="s">
        <v>5606</v>
      </c>
      <c r="AF377" t="s">
        <v>1066</v>
      </c>
    </row>
    <row r="378" spans="1:32" ht="28.8" x14ac:dyDescent="0.3">
      <c r="A378" t="s">
        <v>1826</v>
      </c>
      <c r="B378" s="1" t="s">
        <v>1205</v>
      </c>
      <c r="C378" s="5" t="s">
        <v>2444</v>
      </c>
      <c r="D378" s="2" t="s">
        <v>3961</v>
      </c>
      <c r="E378" s="1" t="s">
        <v>897</v>
      </c>
      <c r="F378" s="3"/>
      <c r="G378" s="3"/>
      <c r="H378" s="3"/>
      <c r="I378" s="3"/>
      <c r="J378" s="3"/>
      <c r="K378" s="3"/>
      <c r="L378" s="3"/>
      <c r="M378" s="3"/>
      <c r="N378" s="3"/>
      <c r="O378" s="3"/>
      <c r="P378" s="3"/>
      <c r="Q378" s="3"/>
      <c r="R378" s="3">
        <v>13.5190649032593</v>
      </c>
      <c r="S378" s="3">
        <v>9.9905967712402308</v>
      </c>
      <c r="T378" s="3">
        <v>14.180000305175801</v>
      </c>
      <c r="U378" s="3"/>
      <c r="V378" s="3">
        <v>11.1527996063232</v>
      </c>
      <c r="W378" s="3"/>
      <c r="X378" s="3"/>
      <c r="Y378" s="3">
        <v>9.1978416442871094</v>
      </c>
      <c r="Z378" s="3"/>
      <c r="AA378" s="3">
        <v>16.809999465942401</v>
      </c>
      <c r="AB378" s="3">
        <v>14.082186698913601</v>
      </c>
      <c r="AC378" s="3"/>
      <c r="AD378" s="3"/>
      <c r="AE378" t="s">
        <v>5606</v>
      </c>
      <c r="AF378" t="s">
        <v>1066</v>
      </c>
    </row>
    <row r="379" spans="1:32" x14ac:dyDescent="0.3">
      <c r="A379" t="s">
        <v>1826</v>
      </c>
      <c r="B379" s="1" t="s">
        <v>1205</v>
      </c>
      <c r="C379" s="5" t="s">
        <v>2445</v>
      </c>
      <c r="D379" s="2" t="s">
        <v>3962</v>
      </c>
      <c r="E379" s="1" t="s">
        <v>707</v>
      </c>
      <c r="F379" s="3"/>
      <c r="G379" s="3"/>
      <c r="H379" s="3"/>
      <c r="I379" s="3"/>
      <c r="J379" s="3"/>
      <c r="K379" s="3"/>
      <c r="L379" s="3"/>
      <c r="M379" s="3"/>
      <c r="N379" s="3"/>
      <c r="O379" s="3"/>
      <c r="P379" s="3"/>
      <c r="Q379" s="3"/>
      <c r="R379" s="3">
        <v>0.89787620306015004</v>
      </c>
      <c r="S379" s="3">
        <v>0.31098139286041299</v>
      </c>
      <c r="T379" s="3"/>
      <c r="U379" s="3"/>
      <c r="V379" s="3"/>
      <c r="W379" s="3"/>
      <c r="X379" s="3"/>
      <c r="Y379" s="3">
        <v>0.81349134445190396</v>
      </c>
      <c r="Z379" s="3"/>
      <c r="AA379" s="3">
        <v>2.4300000667571999</v>
      </c>
      <c r="AB379" s="3">
        <v>1.72691762447357</v>
      </c>
      <c r="AC379" s="3"/>
      <c r="AD379" s="3"/>
      <c r="AE379" t="s">
        <v>5607</v>
      </c>
      <c r="AF379" t="s">
        <v>1946</v>
      </c>
    </row>
    <row r="380" spans="1:32" x14ac:dyDescent="0.3">
      <c r="A380" t="s">
        <v>1826</v>
      </c>
      <c r="B380" s="1" t="s">
        <v>1205</v>
      </c>
      <c r="C380" s="5" t="s">
        <v>2446</v>
      </c>
      <c r="D380" s="2" t="s">
        <v>3963</v>
      </c>
      <c r="E380" s="1" t="s">
        <v>910</v>
      </c>
      <c r="F380" s="3"/>
      <c r="G380" s="3"/>
      <c r="H380" s="3"/>
      <c r="I380" s="3"/>
      <c r="J380" s="3"/>
      <c r="K380" s="3"/>
      <c r="L380" s="3"/>
      <c r="M380" s="3"/>
      <c r="N380" s="3"/>
      <c r="O380" s="3"/>
      <c r="P380" s="3"/>
      <c r="Q380" s="3"/>
      <c r="R380" s="3">
        <v>3.3092169761657702</v>
      </c>
      <c r="S380" s="3">
        <v>1.3741010427475</v>
      </c>
      <c r="T380" s="3"/>
      <c r="U380" s="3"/>
      <c r="V380" s="3"/>
      <c r="W380" s="3"/>
      <c r="X380" s="3"/>
      <c r="Y380" s="3">
        <v>3.5305216312408398</v>
      </c>
      <c r="Z380" s="3"/>
      <c r="AA380" s="3">
        <v>5.3400001525878897</v>
      </c>
      <c r="AB380" s="3">
        <v>2.7859141826629599</v>
      </c>
      <c r="AC380" s="3"/>
      <c r="AD380" s="3"/>
      <c r="AE380" t="s">
        <v>5607</v>
      </c>
      <c r="AF380" t="s">
        <v>1657</v>
      </c>
    </row>
    <row r="381" spans="1:32" x14ac:dyDescent="0.3">
      <c r="A381" t="s">
        <v>1826</v>
      </c>
      <c r="B381" s="1" t="s">
        <v>1205</v>
      </c>
      <c r="C381" s="5" t="s">
        <v>2447</v>
      </c>
      <c r="D381" s="2" t="s">
        <v>3964</v>
      </c>
      <c r="E381" s="1" t="s">
        <v>492</v>
      </c>
      <c r="F381" s="3"/>
      <c r="G381" s="3"/>
      <c r="H381" s="3"/>
      <c r="I381" s="3"/>
      <c r="J381" s="3"/>
      <c r="K381" s="3"/>
      <c r="L381" s="3"/>
      <c r="M381" s="3"/>
      <c r="N381" s="3"/>
      <c r="O381" s="3"/>
      <c r="P381" s="3"/>
      <c r="Q381" s="3"/>
      <c r="R381" s="3">
        <v>2.1742846965789799</v>
      </c>
      <c r="S381" s="3">
        <v>0.85993641614913896</v>
      </c>
      <c r="T381" s="3"/>
      <c r="U381" s="3"/>
      <c r="V381" s="3"/>
      <c r="W381" s="3"/>
      <c r="X381" s="3"/>
      <c r="Y381" s="3">
        <v>2.2218987941741899</v>
      </c>
      <c r="Z381" s="3"/>
      <c r="AA381" s="3">
        <v>3.96000003814697</v>
      </c>
      <c r="AB381" s="3">
        <v>2.2218649387359601</v>
      </c>
      <c r="AC381" s="3"/>
      <c r="AD381" s="3"/>
      <c r="AE381" t="s">
        <v>5607</v>
      </c>
      <c r="AF381" t="s">
        <v>1657</v>
      </c>
    </row>
    <row r="382" spans="1:32" x14ac:dyDescent="0.3">
      <c r="A382" t="s">
        <v>1826</v>
      </c>
      <c r="B382" s="1" t="s">
        <v>1205</v>
      </c>
      <c r="C382" s="5" t="s">
        <v>2448</v>
      </c>
      <c r="D382" s="2" t="s">
        <v>3965</v>
      </c>
      <c r="E382" s="1" t="s">
        <v>1945</v>
      </c>
      <c r="F382" s="3"/>
      <c r="G382" s="3"/>
      <c r="H382" s="3"/>
      <c r="I382" s="3"/>
      <c r="J382" s="3"/>
      <c r="K382" s="3"/>
      <c r="L382" s="3"/>
      <c r="M382" s="3"/>
      <c r="N382" s="3"/>
      <c r="O382" s="3"/>
      <c r="P382" s="3"/>
      <c r="Q382" s="3"/>
      <c r="R382" s="3">
        <v>0</v>
      </c>
      <c r="S382" s="3">
        <v>6.3957758247852298E-2</v>
      </c>
      <c r="T382" s="3"/>
      <c r="U382" s="3"/>
      <c r="V382" s="3"/>
      <c r="W382" s="3"/>
      <c r="X382" s="3"/>
      <c r="Y382" s="3">
        <v>9.7352512180805206E-2</v>
      </c>
      <c r="Z382" s="3"/>
      <c r="AA382" s="3">
        <v>0.479999989271164</v>
      </c>
      <c r="AB382" s="3">
        <v>0.194327741861343</v>
      </c>
      <c r="AC382" s="3"/>
      <c r="AD382" s="3"/>
      <c r="AE382" t="s">
        <v>5608</v>
      </c>
      <c r="AF382" t="s">
        <v>1289</v>
      </c>
    </row>
    <row r="383" spans="1:32" x14ac:dyDescent="0.3">
      <c r="A383" t="s">
        <v>1826</v>
      </c>
      <c r="B383" s="1" t="s">
        <v>1205</v>
      </c>
      <c r="C383" s="5" t="s">
        <v>2449</v>
      </c>
      <c r="D383" s="2" t="s">
        <v>3966</v>
      </c>
      <c r="E383" s="1" t="s">
        <v>64</v>
      </c>
      <c r="F383" s="3"/>
      <c r="G383" s="3"/>
      <c r="H383" s="3"/>
      <c r="I383" s="3"/>
      <c r="J383" s="3"/>
      <c r="K383" s="3"/>
      <c r="L383" s="3"/>
      <c r="M383" s="3"/>
      <c r="N383" s="3"/>
      <c r="O383" s="3"/>
      <c r="P383" s="3"/>
      <c r="Q383" s="3"/>
      <c r="R383" s="3">
        <v>0.25135713815689098</v>
      </c>
      <c r="S383" s="3">
        <v>0.340193420648575</v>
      </c>
      <c r="T383" s="3"/>
      <c r="U383" s="3"/>
      <c r="V383" s="3"/>
      <c r="W383" s="3"/>
      <c r="X383" s="3"/>
      <c r="Y383" s="3">
        <v>0.49790933728218101</v>
      </c>
      <c r="Z383" s="3"/>
      <c r="AA383" s="3">
        <v>1.1900000572204601</v>
      </c>
      <c r="AB383" s="3">
        <v>0.34410905838012701</v>
      </c>
      <c r="AC383" s="3"/>
      <c r="AD383" s="3"/>
      <c r="AE383" t="s">
        <v>5608</v>
      </c>
      <c r="AF383" t="s">
        <v>1203</v>
      </c>
    </row>
    <row r="384" spans="1:32" x14ac:dyDescent="0.3">
      <c r="A384" t="s">
        <v>1826</v>
      </c>
      <c r="B384" s="1" t="s">
        <v>1205</v>
      </c>
      <c r="C384" s="5" t="s">
        <v>2450</v>
      </c>
      <c r="D384" s="2" t="s">
        <v>3967</v>
      </c>
      <c r="E384" s="1" t="s">
        <v>1943</v>
      </c>
      <c r="F384" s="3"/>
      <c r="G384" s="3"/>
      <c r="H384" s="3"/>
      <c r="I384" s="3"/>
      <c r="J384" s="3"/>
      <c r="K384" s="3"/>
      <c r="L384" s="3"/>
      <c r="M384" s="3"/>
      <c r="N384" s="3"/>
      <c r="O384" s="3"/>
      <c r="P384" s="3"/>
      <c r="Q384" s="3"/>
      <c r="R384" s="3">
        <v>0.169547364115715</v>
      </c>
      <c r="S384" s="3">
        <v>0.20659546554088601</v>
      </c>
      <c r="T384" s="3"/>
      <c r="U384" s="3"/>
      <c r="V384" s="3"/>
      <c r="W384" s="3"/>
      <c r="X384" s="3"/>
      <c r="Y384" s="3">
        <v>0.30498543381691001</v>
      </c>
      <c r="Z384" s="3"/>
      <c r="AA384" s="3">
        <v>0.85000002384185802</v>
      </c>
      <c r="AB384" s="3">
        <v>0.26433160901069602</v>
      </c>
      <c r="AC384" s="3"/>
      <c r="AD384" s="3"/>
      <c r="AE384" t="s">
        <v>5608</v>
      </c>
      <c r="AF384" t="s">
        <v>1289</v>
      </c>
    </row>
    <row r="385" spans="1:32" x14ac:dyDescent="0.3">
      <c r="A385" t="s">
        <v>1826</v>
      </c>
      <c r="B385" s="1" t="s">
        <v>1205</v>
      </c>
      <c r="C385" s="5" t="s">
        <v>2451</v>
      </c>
      <c r="D385" s="2" t="s">
        <v>3968</v>
      </c>
      <c r="E385" s="1" t="s">
        <v>1311</v>
      </c>
      <c r="F385" s="3">
        <v>161.7605148854704</v>
      </c>
      <c r="G385" s="3">
        <v>168.93199279846931</v>
      </c>
      <c r="H385" s="3">
        <v>163.17541501849581</v>
      </c>
      <c r="I385" s="3">
        <v>160.46604064867807</v>
      </c>
      <c r="J385" s="3">
        <v>159.02015820362337</v>
      </c>
      <c r="K385" s="3">
        <v>157.01256170254834</v>
      </c>
      <c r="L385" s="3">
        <v>165.86522807782933</v>
      </c>
      <c r="M385" s="3">
        <v>170.56133270453404</v>
      </c>
      <c r="N385" s="3">
        <v>178.29886245232794</v>
      </c>
      <c r="O385" s="3">
        <v>182.8353018509915</v>
      </c>
      <c r="P385" s="3">
        <v>196.32636245048207</v>
      </c>
      <c r="Q385" s="3">
        <v>180.1844922112958</v>
      </c>
      <c r="R385" s="3">
        <v>215.57860761361087</v>
      </c>
      <c r="S385" s="3">
        <v>215.12315800795955</v>
      </c>
      <c r="T385" s="3">
        <v>253.67553301114938</v>
      </c>
      <c r="U385" s="3">
        <v>242.37174637022662</v>
      </c>
      <c r="V385" s="3">
        <v>239.67459047254064</v>
      </c>
      <c r="W385" s="3">
        <v>272.61805955492633</v>
      </c>
      <c r="X385" s="3">
        <v>259.75659270716073</v>
      </c>
      <c r="Y385" s="3">
        <v>278.82798888192457</v>
      </c>
      <c r="Z385" s="3">
        <v>290.017976203655</v>
      </c>
      <c r="AA385" s="3">
        <v>308.09991020162931</v>
      </c>
      <c r="AB385" s="3">
        <v>323.70453537065072</v>
      </c>
      <c r="AC385" s="3"/>
      <c r="AD385" s="3"/>
      <c r="AE385" t="s">
        <v>5609</v>
      </c>
      <c r="AF385" t="s">
        <v>479</v>
      </c>
    </row>
    <row r="386" spans="1:32" x14ac:dyDescent="0.3">
      <c r="A386" t="s">
        <v>1826</v>
      </c>
      <c r="B386" s="1" t="s">
        <v>1205</v>
      </c>
      <c r="C386" s="5" t="s">
        <v>2452</v>
      </c>
      <c r="D386" s="2" t="s">
        <v>3969</v>
      </c>
      <c r="E386" s="1" t="s">
        <v>1332</v>
      </c>
      <c r="F386" s="3">
        <v>14.5625</v>
      </c>
      <c r="G386" s="3">
        <v>13.469805527123849</v>
      </c>
      <c r="H386" s="3">
        <v>12.939176426142804</v>
      </c>
      <c r="I386" s="3">
        <v>13.583644584234323</v>
      </c>
      <c r="J386" s="3">
        <v>17.876588021778584</v>
      </c>
      <c r="K386" s="3">
        <v>19.926069353986975</v>
      </c>
      <c r="L386" s="3">
        <v>20.901856763925728</v>
      </c>
      <c r="M386" s="3">
        <v>22.589238145977625</v>
      </c>
      <c r="N386" s="3">
        <v>23.53448275862069</v>
      </c>
      <c r="O386" s="3">
        <v>23.249872253449158</v>
      </c>
      <c r="P386" s="3">
        <v>20.184409052808046</v>
      </c>
      <c r="Q386" s="3">
        <v>22.380718150516479</v>
      </c>
      <c r="R386" s="3">
        <v>19.469783352337515</v>
      </c>
      <c r="S386" s="3">
        <v>21.96078431372549</v>
      </c>
      <c r="T386" s="3">
        <v>14.325368090755491</v>
      </c>
      <c r="U386" s="3">
        <v>20.018365472910926</v>
      </c>
      <c r="V386" s="3">
        <v>21.998532033134111</v>
      </c>
      <c r="W386" s="3">
        <v>15.094689936873376</v>
      </c>
      <c r="X386" s="3">
        <v>18.616439717721896</v>
      </c>
      <c r="Y386" s="3">
        <v>15.857787810383748</v>
      </c>
      <c r="Z386" s="3">
        <v>15.406511296922258</v>
      </c>
      <c r="AA386" s="3">
        <v>14.961038961038961</v>
      </c>
      <c r="AB386" s="3">
        <v>14.959871589085072</v>
      </c>
      <c r="AC386" s="3"/>
      <c r="AD386" s="3"/>
      <c r="AE386" t="s">
        <v>5610</v>
      </c>
      <c r="AF386" t="s">
        <v>2055</v>
      </c>
    </row>
    <row r="387" spans="1:32" x14ac:dyDescent="0.3">
      <c r="A387" t="s">
        <v>1826</v>
      </c>
      <c r="B387" s="1" t="s">
        <v>1205</v>
      </c>
      <c r="C387" s="5" t="s">
        <v>2453</v>
      </c>
      <c r="D387" s="2" t="s">
        <v>3970</v>
      </c>
      <c r="E387" s="1" t="s">
        <v>1996</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c r="AC387" s="3"/>
      <c r="AD387" s="3"/>
      <c r="AE387" t="s">
        <v>5611</v>
      </c>
      <c r="AF387" t="s">
        <v>880</v>
      </c>
    </row>
    <row r="388" spans="1:32" x14ac:dyDescent="0.3">
      <c r="A388" t="s">
        <v>1826</v>
      </c>
      <c r="B388" s="1" t="s">
        <v>1205</v>
      </c>
      <c r="C388" s="5" t="s">
        <v>2454</v>
      </c>
      <c r="D388" s="2" t="s">
        <v>3971</v>
      </c>
      <c r="E388" s="1" t="s">
        <v>487</v>
      </c>
      <c r="F388" s="3">
        <v>36.75</v>
      </c>
      <c r="G388" s="3">
        <v>36.847492323439099</v>
      </c>
      <c r="H388" s="3">
        <v>32.659614658103514</v>
      </c>
      <c r="I388" s="3">
        <v>36.013367407116178</v>
      </c>
      <c r="J388" s="3">
        <v>31.724137931034484</v>
      </c>
      <c r="K388" s="3">
        <v>25.294842457313855</v>
      </c>
      <c r="L388" s="3">
        <v>26.702033598585324</v>
      </c>
      <c r="M388" s="3">
        <v>31.912626531699523</v>
      </c>
      <c r="N388" s="3">
        <v>32.724137931034477</v>
      </c>
      <c r="O388" s="3">
        <v>36.297053312893887</v>
      </c>
      <c r="P388" s="3">
        <v>27.124895222129087</v>
      </c>
      <c r="Q388" s="3">
        <v>29.086735530414821</v>
      </c>
      <c r="R388" s="3">
        <v>25.498859749144813</v>
      </c>
      <c r="S388" s="3">
        <v>20.993464052287582</v>
      </c>
      <c r="T388" s="3">
        <v>23.08713492638185</v>
      </c>
      <c r="U388" s="3">
        <v>15.5188246097337</v>
      </c>
      <c r="V388" s="3">
        <v>16.032295271049595</v>
      </c>
      <c r="W388" s="3">
        <v>19.002970664686224</v>
      </c>
      <c r="X388" s="3">
        <v>29.440413477785508</v>
      </c>
      <c r="Y388" s="3">
        <v>32.496237772761475</v>
      </c>
      <c r="Z388" s="3">
        <v>29.834549012631207</v>
      </c>
      <c r="AA388" s="3">
        <v>22.588744588744589</v>
      </c>
      <c r="AB388" s="3">
        <v>22.841091492776886</v>
      </c>
      <c r="AC388" s="3"/>
      <c r="AD388" s="3"/>
      <c r="AE388" t="s">
        <v>5612</v>
      </c>
      <c r="AF388" t="s">
        <v>880</v>
      </c>
    </row>
    <row r="389" spans="1:32" x14ac:dyDescent="0.3">
      <c r="A389" t="s">
        <v>1826</v>
      </c>
      <c r="B389" s="1" t="s">
        <v>1205</v>
      </c>
      <c r="C389" s="5" t="s">
        <v>2455</v>
      </c>
      <c r="D389" s="2" t="s">
        <v>3972</v>
      </c>
      <c r="E389" s="1" t="s">
        <v>1438</v>
      </c>
      <c r="F389" s="3">
        <v>62.979166666666664</v>
      </c>
      <c r="G389" s="3">
        <v>62.8863868986694</v>
      </c>
      <c r="H389" s="3">
        <v>67.094824329429542</v>
      </c>
      <c r="I389" s="3">
        <v>63.868684883035186</v>
      </c>
      <c r="J389" s="3">
        <v>66.188747731397456</v>
      </c>
      <c r="K389" s="3">
        <v>72.645660975180419</v>
      </c>
      <c r="L389" s="3">
        <v>71.034482758620683</v>
      </c>
      <c r="M389" s="3">
        <v>65.725448410584264</v>
      </c>
      <c r="N389" s="3">
        <v>65.08620689655173</v>
      </c>
      <c r="O389" s="3">
        <v>62.272185317663087</v>
      </c>
      <c r="P389" s="3">
        <v>70.293378038558245</v>
      </c>
      <c r="Q389" s="3">
        <v>69.322839809804876</v>
      </c>
      <c r="R389" s="3">
        <v>67.460091220068421</v>
      </c>
      <c r="S389" s="3">
        <v>75.450980392156865</v>
      </c>
      <c r="T389" s="3">
        <v>69.93724354332609</v>
      </c>
      <c r="U389" s="3">
        <v>78.041781450872364</v>
      </c>
      <c r="V389" s="3">
        <v>82.740903848170291</v>
      </c>
      <c r="W389" s="3">
        <v>78.694764203490536</v>
      </c>
      <c r="X389" s="3">
        <v>69.824073153762058</v>
      </c>
      <c r="Y389" s="3">
        <v>66.920617005267118</v>
      </c>
      <c r="Z389" s="3">
        <v>69.373776908023487</v>
      </c>
      <c r="AA389" s="3">
        <v>73.584415584415581</v>
      </c>
      <c r="AB389" s="3">
        <v>73.37078651685394</v>
      </c>
      <c r="AC389" s="3"/>
      <c r="AD389" s="3"/>
      <c r="AE389" t="s">
        <v>5613</v>
      </c>
      <c r="AF389" t="s">
        <v>1898</v>
      </c>
    </row>
    <row r="390" spans="1:32" x14ac:dyDescent="0.3">
      <c r="A390" t="s">
        <v>1826</v>
      </c>
      <c r="B390" s="1" t="s">
        <v>1205</v>
      </c>
      <c r="C390" s="5" t="s">
        <v>2456</v>
      </c>
      <c r="D390" s="2" t="s">
        <v>3973</v>
      </c>
      <c r="E390" s="1" t="s">
        <v>413</v>
      </c>
      <c r="F390" s="3">
        <v>0</v>
      </c>
      <c r="G390" s="3">
        <v>0</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c r="AC390" s="3"/>
      <c r="AD390" s="3"/>
      <c r="AE390" t="s">
        <v>5614</v>
      </c>
      <c r="AF390" t="s">
        <v>1119</v>
      </c>
    </row>
    <row r="391" spans="1:32" x14ac:dyDescent="0.3">
      <c r="A391" t="s">
        <v>1826</v>
      </c>
      <c r="B391" s="1" t="s">
        <v>1205</v>
      </c>
      <c r="C391" s="5" t="s">
        <v>2457</v>
      </c>
      <c r="D391" s="2" t="s">
        <v>3974</v>
      </c>
      <c r="E391" s="1" t="s">
        <v>346</v>
      </c>
      <c r="F391" s="3">
        <v>0.27083333333333337</v>
      </c>
      <c r="G391" s="3">
        <v>0.26612077789150462</v>
      </c>
      <c r="H391" s="3">
        <v>0.2455610124669437</v>
      </c>
      <c r="I391" s="3">
        <v>0.11794770984863377</v>
      </c>
      <c r="J391" s="3">
        <v>0.14519056261343011</v>
      </c>
      <c r="K391" s="3">
        <v>0.12321774335504314</v>
      </c>
      <c r="L391" s="3">
        <v>0.28293545534924847</v>
      </c>
      <c r="M391" s="3">
        <v>0.31965903036760784</v>
      </c>
      <c r="N391" s="3">
        <v>0.15517241379310345</v>
      </c>
      <c r="O391" s="3">
        <v>0.20439448134900359</v>
      </c>
      <c r="P391" s="3">
        <v>1.4249790444258172</v>
      </c>
      <c r="Q391" s="3">
        <v>0.5410723069355633</v>
      </c>
      <c r="R391" s="3">
        <v>6.100342075256556</v>
      </c>
      <c r="S391" s="3">
        <v>2.666666666666667</v>
      </c>
      <c r="T391" s="3">
        <v>6.1308230750663775</v>
      </c>
      <c r="U391" s="3">
        <v>5.2226813590449961</v>
      </c>
      <c r="V391" s="3">
        <v>9.4369298521547657E-2</v>
      </c>
      <c r="W391" s="3">
        <v>0.67768288154474565</v>
      </c>
      <c r="X391" s="3">
        <v>8.945432859556704E-2</v>
      </c>
      <c r="Y391" s="3">
        <v>7.5244544770504129E-2</v>
      </c>
      <c r="Z391" s="3">
        <v>6.2266500622665005E-2</v>
      </c>
      <c r="AA391" s="3">
        <v>2.554112554112554</v>
      </c>
      <c r="AB391" s="3">
        <v>2.5280898876404492</v>
      </c>
      <c r="AC391" s="3"/>
      <c r="AD391" s="3"/>
      <c r="AE391" t="s">
        <v>5615</v>
      </c>
      <c r="AF391" t="s">
        <v>415</v>
      </c>
    </row>
    <row r="392" spans="1:32" x14ac:dyDescent="0.3">
      <c r="A392" t="s">
        <v>1826</v>
      </c>
      <c r="B392" s="1" t="s">
        <v>1205</v>
      </c>
      <c r="C392" s="5" t="s">
        <v>2458</v>
      </c>
      <c r="D392" s="2" t="s">
        <v>3975</v>
      </c>
      <c r="E392" s="1" t="s">
        <v>807</v>
      </c>
      <c r="F392" s="3">
        <v>63.249999999999993</v>
      </c>
      <c r="G392" s="3">
        <v>63.152507676560901</v>
      </c>
      <c r="H392" s="3">
        <v>67.340385341896493</v>
      </c>
      <c r="I392" s="3">
        <v>63.986632592883822</v>
      </c>
      <c r="J392" s="3">
        <v>66.333938294010892</v>
      </c>
      <c r="K392" s="3">
        <v>72.768878718535461</v>
      </c>
      <c r="L392" s="3">
        <v>71.317418213969944</v>
      </c>
      <c r="M392" s="3">
        <v>66.045107440951881</v>
      </c>
      <c r="N392" s="3">
        <v>65.241379310344826</v>
      </c>
      <c r="O392" s="3">
        <v>62.476579799012086</v>
      </c>
      <c r="P392" s="3">
        <v>71.71835708298407</v>
      </c>
      <c r="Q392" s="3">
        <v>69.863912116740451</v>
      </c>
      <c r="R392" s="3">
        <v>73.56043329532497</v>
      </c>
      <c r="S392" s="3">
        <v>78.117647058823522</v>
      </c>
      <c r="T392" s="3">
        <v>76.068066618392464</v>
      </c>
      <c r="U392" s="3">
        <v>83.264462809917347</v>
      </c>
      <c r="V392" s="3">
        <v>82.835273146691833</v>
      </c>
      <c r="W392" s="3">
        <v>79.372447085035276</v>
      </c>
      <c r="X392" s="3">
        <v>69.913527482357622</v>
      </c>
      <c r="Y392" s="3">
        <v>66.995861550037631</v>
      </c>
      <c r="Z392" s="3">
        <v>69.436043408646157</v>
      </c>
      <c r="AA392" s="3">
        <v>76.138528138528144</v>
      </c>
      <c r="AB392" s="3">
        <v>75.898876404494388</v>
      </c>
      <c r="AC392" s="3"/>
      <c r="AD392" s="3"/>
      <c r="AE392" t="s">
        <v>5616</v>
      </c>
      <c r="AF392" t="s">
        <v>1987</v>
      </c>
    </row>
    <row r="393" spans="1:32" ht="28.8" x14ac:dyDescent="0.3">
      <c r="A393" t="s">
        <v>1826</v>
      </c>
      <c r="B393" s="1" t="s">
        <v>1205</v>
      </c>
      <c r="C393" s="5" t="s">
        <v>2459</v>
      </c>
      <c r="D393" s="2" t="s">
        <v>3976</v>
      </c>
      <c r="E393" s="1" t="s">
        <v>1660</v>
      </c>
      <c r="F393" s="3">
        <v>0</v>
      </c>
      <c r="G393" s="3">
        <v>0</v>
      </c>
      <c r="H393" s="3">
        <v>0</v>
      </c>
      <c r="I393" s="3">
        <v>3.9315903282877923E-3</v>
      </c>
      <c r="J393" s="3">
        <v>3.6297640653357535E-3</v>
      </c>
      <c r="K393" s="3">
        <v>-6.6889632107023408E-2</v>
      </c>
      <c r="L393" s="3">
        <v>0</v>
      </c>
      <c r="M393" s="3">
        <v>0</v>
      </c>
      <c r="N393" s="3">
        <v>0</v>
      </c>
      <c r="O393" s="3">
        <v>0</v>
      </c>
      <c r="P393" s="3">
        <v>0</v>
      </c>
      <c r="Q393" s="3">
        <v>0</v>
      </c>
      <c r="R393" s="3">
        <v>0</v>
      </c>
      <c r="S393" s="3">
        <v>-1.6993464052287581E-3</v>
      </c>
      <c r="T393" s="3">
        <v>1.2068549360366885E-2</v>
      </c>
      <c r="U393" s="3">
        <v>5.7392102846648297E-3</v>
      </c>
      <c r="V393" s="3">
        <v>1.0485477613505294E-3</v>
      </c>
      <c r="W393" s="3">
        <v>5.5699962866691422E-3</v>
      </c>
      <c r="X393" s="3">
        <v>5.9636219063711358E-3</v>
      </c>
      <c r="Y393" s="3">
        <v>0.25771256583897667</v>
      </c>
      <c r="Z393" s="3">
        <v>0.21971179505426078</v>
      </c>
      <c r="AA393" s="3">
        <v>0.2043290043290043</v>
      </c>
      <c r="AB393" s="3"/>
      <c r="AC393" s="3"/>
      <c r="AD393" s="3"/>
      <c r="AE393" t="s">
        <v>5617</v>
      </c>
      <c r="AF393" t="s">
        <v>1342</v>
      </c>
    </row>
    <row r="394" spans="1:32" x14ac:dyDescent="0.3">
      <c r="A394" t="s">
        <v>1826</v>
      </c>
      <c r="B394" s="1" t="s">
        <v>1205</v>
      </c>
      <c r="C394" s="5" t="s">
        <v>2460</v>
      </c>
      <c r="D394" s="2" t="s">
        <v>3977</v>
      </c>
      <c r="E394" s="1" t="s">
        <v>903</v>
      </c>
      <c r="F394" s="3">
        <v>0</v>
      </c>
      <c r="G394" s="3">
        <v>0</v>
      </c>
      <c r="H394" s="3">
        <v>0</v>
      </c>
      <c r="I394" s="3">
        <v>200000</v>
      </c>
      <c r="J394" s="3">
        <v>200000</v>
      </c>
      <c r="K394" s="3">
        <v>-3800000</v>
      </c>
      <c r="L394" s="3">
        <v>0</v>
      </c>
      <c r="M394" s="3">
        <v>0</v>
      </c>
      <c r="N394" s="3">
        <v>0</v>
      </c>
      <c r="O394" s="3">
        <v>0</v>
      </c>
      <c r="P394" s="3">
        <v>0</v>
      </c>
      <c r="Q394" s="3">
        <v>0</v>
      </c>
      <c r="R394" s="3">
        <v>0</v>
      </c>
      <c r="S394" s="3">
        <v>-130000</v>
      </c>
      <c r="T394" s="3">
        <v>1000000</v>
      </c>
      <c r="U394" s="3">
        <v>500000</v>
      </c>
      <c r="V394" s="3">
        <v>100000</v>
      </c>
      <c r="W394" s="3">
        <v>600000</v>
      </c>
      <c r="X394" s="3">
        <v>600000</v>
      </c>
      <c r="Y394" s="3">
        <v>27400000</v>
      </c>
      <c r="Z394" s="3">
        <v>24700000</v>
      </c>
      <c r="AA394" s="3">
        <v>23600000</v>
      </c>
      <c r="AB394" s="3"/>
      <c r="AC394" s="3"/>
      <c r="AD394" s="3"/>
      <c r="AE394" t="s">
        <v>5618</v>
      </c>
      <c r="AF394" t="s">
        <v>1787</v>
      </c>
    </row>
    <row r="395" spans="1:32" x14ac:dyDescent="0.3">
      <c r="A395" t="s">
        <v>1826</v>
      </c>
      <c r="B395" s="1" t="s">
        <v>1205</v>
      </c>
      <c r="C395" s="5" t="s">
        <v>2461</v>
      </c>
      <c r="D395" s="2" t="s">
        <v>3978</v>
      </c>
      <c r="E395" s="1" t="s">
        <v>414</v>
      </c>
      <c r="F395" s="3">
        <v>0.34498451692906901</v>
      </c>
      <c r="G395" s="3">
        <v>0.34674433153543099</v>
      </c>
      <c r="H395" s="3">
        <v>0.35571298330083501</v>
      </c>
      <c r="I395" s="3">
        <v>0.37159972610352598</v>
      </c>
      <c r="J395" s="3">
        <v>0.37912182821967499</v>
      </c>
      <c r="K395" s="3">
        <v>0.38753304367957198</v>
      </c>
      <c r="L395" s="3">
        <v>0.39494663864981999</v>
      </c>
      <c r="M395" s="3">
        <v>0.40542509853277198</v>
      </c>
      <c r="N395" s="3">
        <v>0.41216514544932198</v>
      </c>
      <c r="O395" s="3">
        <v>0.420584998774645</v>
      </c>
      <c r="P395" s="3">
        <v>0.419859344120112</v>
      </c>
      <c r="Q395" s="3">
        <v>0.45533821623417098</v>
      </c>
      <c r="R395" s="3">
        <v>0.47295482961458701</v>
      </c>
      <c r="S395" s="3">
        <v>0.539879015860106</v>
      </c>
      <c r="T395" s="3">
        <v>0.66666733215276097</v>
      </c>
      <c r="U395" s="3">
        <v>0.82288206887644</v>
      </c>
      <c r="V395" s="3">
        <v>1.0122532617586</v>
      </c>
      <c r="W395" s="3">
        <v>0.71068660924305305</v>
      </c>
      <c r="X395" s="3">
        <v>1.2526530688533299</v>
      </c>
      <c r="Y395" s="3">
        <v>2.15532543418878</v>
      </c>
      <c r="Z395" s="3">
        <v>1.62537554154219</v>
      </c>
      <c r="AA395" s="3">
        <v>1.22178875592502</v>
      </c>
      <c r="AB395" s="3">
        <v>0.75398571505566203</v>
      </c>
      <c r="AC395" s="3">
        <v>0.76577934865385799</v>
      </c>
      <c r="AD395" s="3"/>
      <c r="AE395" t="s">
        <v>5619</v>
      </c>
      <c r="AF395" t="s">
        <v>411</v>
      </c>
    </row>
    <row r="396" spans="1:32" x14ac:dyDescent="0.3">
      <c r="A396" t="s">
        <v>1826</v>
      </c>
      <c r="B396" s="1" t="s">
        <v>1205</v>
      </c>
      <c r="C396" s="5" t="s">
        <v>2462</v>
      </c>
      <c r="D396" s="2" t="s">
        <v>3979</v>
      </c>
      <c r="E396" s="1" t="s">
        <v>1164</v>
      </c>
      <c r="F396" s="3">
        <v>1.1443364276358301</v>
      </c>
      <c r="G396" s="3">
        <v>1.14374264276552</v>
      </c>
      <c r="H396" s="3">
        <v>1.15462218103771</v>
      </c>
      <c r="I396" s="3">
        <v>1.16319462168754</v>
      </c>
      <c r="J396" s="3">
        <v>1.1676799942954299</v>
      </c>
      <c r="K396" s="3">
        <v>1.1712983303761899</v>
      </c>
      <c r="L396" s="3">
        <v>1.18306377826804</v>
      </c>
      <c r="M396" s="3">
        <v>1.19309894695216</v>
      </c>
      <c r="N396" s="3">
        <v>1.2125821542347099</v>
      </c>
      <c r="O396" s="3">
        <v>1.2164349479428</v>
      </c>
      <c r="P396" s="3">
        <v>1.24271301447729</v>
      </c>
      <c r="Q396" s="3">
        <v>1.2711741258162801</v>
      </c>
      <c r="R396" s="3">
        <v>1.34946395328965</v>
      </c>
      <c r="S396" s="3">
        <v>1.1363762106803601</v>
      </c>
      <c r="T396" s="3">
        <v>1.4580433958703201</v>
      </c>
      <c r="U396" s="3">
        <v>1.86258880762845</v>
      </c>
      <c r="V396" s="3">
        <v>2.3756898005710401</v>
      </c>
      <c r="W396" s="3">
        <v>2.1890828795606501</v>
      </c>
      <c r="X396" s="3">
        <v>2.8316250634403</v>
      </c>
      <c r="Y396" s="3">
        <v>3.60289101851675</v>
      </c>
      <c r="Z396" s="3">
        <v>3.0405130900580599</v>
      </c>
      <c r="AA396" s="3">
        <v>2.6498407228609002</v>
      </c>
      <c r="AB396" s="3">
        <v>2.09233602271255</v>
      </c>
      <c r="AC396" s="3">
        <v>2.0134131585958701</v>
      </c>
      <c r="AD396" s="3"/>
      <c r="AE396" t="s">
        <v>5619</v>
      </c>
      <c r="AF396" t="s">
        <v>411</v>
      </c>
    </row>
    <row r="397" spans="1:32" x14ac:dyDescent="0.3">
      <c r="A397" t="s">
        <v>1826</v>
      </c>
      <c r="B397" s="1" t="s">
        <v>1205</v>
      </c>
      <c r="C397" s="5" t="s">
        <v>2463</v>
      </c>
      <c r="D397" s="2" t="s">
        <v>3980</v>
      </c>
      <c r="E397" s="1" t="s">
        <v>1560</v>
      </c>
      <c r="F397" s="3">
        <v>0.839795398052266</v>
      </c>
      <c r="G397" s="3">
        <v>0.83452615393092899</v>
      </c>
      <c r="H397" s="3">
        <v>0.83912688138496105</v>
      </c>
      <c r="I397" s="3">
        <v>0.84512785436178095</v>
      </c>
      <c r="J397" s="3">
        <v>0.84544618538549599</v>
      </c>
      <c r="K397" s="3">
        <v>0.84564553099661299</v>
      </c>
      <c r="L397" s="3">
        <v>0.85024052876195899</v>
      </c>
      <c r="M397" s="3">
        <v>0.85504188570907902</v>
      </c>
      <c r="N397" s="3">
        <v>0.86450451426204999</v>
      </c>
      <c r="O397" s="3">
        <v>0.86655469614076697</v>
      </c>
      <c r="P397" s="3">
        <v>0.87698615098575705</v>
      </c>
      <c r="Q397" s="3">
        <v>0.90449992682915703</v>
      </c>
      <c r="R397" s="3">
        <v>0.95130855402243297</v>
      </c>
      <c r="S397" s="3">
        <v>0.87282782672676396</v>
      </c>
      <c r="T397" s="3">
        <v>1.1141363759404801</v>
      </c>
      <c r="U397" s="3">
        <v>1.41746814263136</v>
      </c>
      <c r="V397" s="3">
        <v>1.8007586974590799</v>
      </c>
      <c r="W397" s="3">
        <v>1.5671007250419</v>
      </c>
      <c r="X397" s="3">
        <v>2.1679017708762802</v>
      </c>
      <c r="Y397" s="3">
        <v>2.9946379415319599</v>
      </c>
      <c r="Z397" s="3">
        <v>2.44277867053514</v>
      </c>
      <c r="AA397" s="3">
        <v>2.04187507821324</v>
      </c>
      <c r="AB397" s="3">
        <v>1.51905226589372</v>
      </c>
      <c r="AC397" s="3">
        <v>1.47728411102292</v>
      </c>
      <c r="AD397" s="3"/>
      <c r="AE397" t="s">
        <v>5619</v>
      </c>
      <c r="AF397" t="s">
        <v>411</v>
      </c>
    </row>
    <row r="398" spans="1:32" x14ac:dyDescent="0.3">
      <c r="A398" t="s">
        <v>1826</v>
      </c>
      <c r="B398" s="1" t="s">
        <v>1205</v>
      </c>
      <c r="C398" s="5" t="s">
        <v>2464</v>
      </c>
      <c r="D398" s="2" t="s">
        <v>3981</v>
      </c>
      <c r="E398" s="1" t="s">
        <v>1454</v>
      </c>
      <c r="F398" s="3">
        <v>52.8554303604895</v>
      </c>
      <c r="G398" s="3">
        <v>52.7168429767029</v>
      </c>
      <c r="H398" s="3">
        <v>52.512776128782903</v>
      </c>
      <c r="I398" s="3">
        <v>52.301466203655004</v>
      </c>
      <c r="J398" s="3">
        <v>51.460364057047798</v>
      </c>
      <c r="K398" s="3">
        <v>50.846853510821902</v>
      </c>
      <c r="L398" s="3">
        <v>50.319439993439303</v>
      </c>
      <c r="M398" s="3">
        <v>49.742920268253897</v>
      </c>
      <c r="N398" s="3">
        <v>49.1267881768077</v>
      </c>
      <c r="O398" s="3">
        <v>48.359952189175203</v>
      </c>
      <c r="P398" s="3">
        <v>47.6724359147725</v>
      </c>
      <c r="Q398" s="3">
        <v>47.422300134365997</v>
      </c>
      <c r="R398" s="3">
        <v>46.240483102697901</v>
      </c>
      <c r="S398" s="3">
        <v>45.170153924002499</v>
      </c>
      <c r="T398" s="3">
        <v>44.419720321219401</v>
      </c>
      <c r="U398" s="3">
        <v>43.567352470637303</v>
      </c>
      <c r="V398" s="3">
        <v>42.741877442824098</v>
      </c>
      <c r="W398" s="3">
        <v>41.8912690015419</v>
      </c>
      <c r="X398" s="3">
        <v>43.981355784204098</v>
      </c>
      <c r="Y398" s="3">
        <v>45.944931720876198</v>
      </c>
      <c r="Z398" s="3">
        <v>46.2214171929486</v>
      </c>
      <c r="AA398" s="3">
        <v>46.166720738911103</v>
      </c>
      <c r="AB398" s="3">
        <v>45.696485192559102</v>
      </c>
      <c r="AC398" s="3">
        <v>45.231725486872001</v>
      </c>
      <c r="AD398" s="3"/>
      <c r="AE398" t="s">
        <v>5620</v>
      </c>
      <c r="AF398" t="s">
        <v>1931</v>
      </c>
    </row>
    <row r="399" spans="1:32" x14ac:dyDescent="0.3">
      <c r="A399" t="s">
        <v>1826</v>
      </c>
      <c r="B399" s="1" t="s">
        <v>1205</v>
      </c>
      <c r="C399" s="5" t="s">
        <v>2465</v>
      </c>
      <c r="D399" s="2" t="s">
        <v>3982</v>
      </c>
      <c r="E399" s="1" t="s">
        <v>603</v>
      </c>
      <c r="F399" s="3">
        <v>49.322334517237799</v>
      </c>
      <c r="G399" s="3">
        <v>49.1763606851191</v>
      </c>
      <c r="H399" s="3">
        <v>48.913110483130502</v>
      </c>
      <c r="I399" s="3">
        <v>48.506215867678499</v>
      </c>
      <c r="J399" s="3">
        <v>47.790325439074699</v>
      </c>
      <c r="K399" s="3">
        <v>47.248953280319903</v>
      </c>
      <c r="L399" s="3">
        <v>46.741079098470898</v>
      </c>
      <c r="M399" s="3">
        <v>46.177458351273501</v>
      </c>
      <c r="N399" s="3">
        <v>45.551470390702001</v>
      </c>
      <c r="O399" s="3">
        <v>44.781310216575399</v>
      </c>
      <c r="P399" s="3">
        <v>44.008612587267201</v>
      </c>
      <c r="Q399" s="3">
        <v>43.816226065511401</v>
      </c>
      <c r="R399" s="3">
        <v>42.717659917261699</v>
      </c>
      <c r="S399" s="3">
        <v>41.418894875965798</v>
      </c>
      <c r="T399" s="3">
        <v>40.128536975405602</v>
      </c>
      <c r="U399" s="3">
        <v>38.417058860218297</v>
      </c>
      <c r="V399" s="3">
        <v>37.031860025628603</v>
      </c>
      <c r="W399" s="3">
        <v>35.765738692387799</v>
      </c>
      <c r="X399" s="3">
        <v>37.772910318642701</v>
      </c>
      <c r="Y399" s="3">
        <v>39.597544053812797</v>
      </c>
      <c r="Z399" s="3">
        <v>39.6647435183732</v>
      </c>
      <c r="AA399" s="3">
        <v>39.832755249408997</v>
      </c>
      <c r="AB399" s="3">
        <v>39.228855941508797</v>
      </c>
      <c r="AC399" s="3">
        <v>38.840920338637197</v>
      </c>
      <c r="AD399" s="3"/>
      <c r="AE399" t="s">
        <v>5620</v>
      </c>
      <c r="AF399" t="s">
        <v>1931</v>
      </c>
    </row>
    <row r="400" spans="1:32" x14ac:dyDescent="0.3">
      <c r="A400" t="s">
        <v>1826</v>
      </c>
      <c r="B400" s="1" t="s">
        <v>1205</v>
      </c>
      <c r="C400" s="5" t="s">
        <v>2466</v>
      </c>
      <c r="D400" s="2" t="s">
        <v>3983</v>
      </c>
      <c r="E400" s="1" t="s">
        <v>779</v>
      </c>
      <c r="F400" s="3">
        <v>55.029928840632699</v>
      </c>
      <c r="G400" s="3">
        <v>54.961251340145502</v>
      </c>
      <c r="H400" s="3">
        <v>54.862088780157499</v>
      </c>
      <c r="I400" s="3">
        <v>54.850693034680098</v>
      </c>
      <c r="J400" s="3">
        <v>53.996389689299903</v>
      </c>
      <c r="K400" s="3">
        <v>53.4044373956134</v>
      </c>
      <c r="L400" s="3">
        <v>52.935446480597903</v>
      </c>
      <c r="M400" s="3">
        <v>52.423713361408304</v>
      </c>
      <c r="N400" s="3">
        <v>51.878207183117297</v>
      </c>
      <c r="O400" s="3">
        <v>51.167334610319102</v>
      </c>
      <c r="P400" s="3">
        <v>50.6036890099939</v>
      </c>
      <c r="Q400" s="3">
        <v>50.366306508116402</v>
      </c>
      <c r="R400" s="3">
        <v>49.172679308110297</v>
      </c>
      <c r="S400" s="3">
        <v>48.1394940376614</v>
      </c>
      <c r="T400" s="3">
        <v>47.717754223049397</v>
      </c>
      <c r="U400" s="3">
        <v>47.422961082736101</v>
      </c>
      <c r="V400" s="3">
        <v>46.905153884648101</v>
      </c>
      <c r="W400" s="3">
        <v>46.3400169483265</v>
      </c>
      <c r="X400" s="3">
        <v>48.483729600018101</v>
      </c>
      <c r="Y400" s="3">
        <v>50.544912454292501</v>
      </c>
      <c r="Z400" s="3">
        <v>51.016052047970597</v>
      </c>
      <c r="AA400" s="3">
        <v>50.862369482318798</v>
      </c>
      <c r="AB400" s="3">
        <v>50.542843709595303</v>
      </c>
      <c r="AC400" s="3">
        <v>50.047308247380002</v>
      </c>
      <c r="AD400" s="3"/>
      <c r="AE400" t="s">
        <v>5620</v>
      </c>
      <c r="AF400" t="s">
        <v>1931</v>
      </c>
    </row>
    <row r="401" spans="1:32" x14ac:dyDescent="0.3">
      <c r="A401" t="s">
        <v>1826</v>
      </c>
      <c r="B401" s="1" t="s">
        <v>1205</v>
      </c>
      <c r="C401" s="5" t="s">
        <v>2467</v>
      </c>
      <c r="D401" s="2" t="s">
        <v>3984</v>
      </c>
      <c r="E401" s="1" t="s">
        <v>2007</v>
      </c>
      <c r="F401" s="3">
        <v>11.7779855495044</v>
      </c>
      <c r="G401" s="3">
        <v>11.509297440694599</v>
      </c>
      <c r="H401" s="3">
        <v>11.3341867569013</v>
      </c>
      <c r="I401" s="3">
        <v>11.102916121726</v>
      </c>
      <c r="J401" s="3">
        <v>11.103738428704</v>
      </c>
      <c r="K401" s="3">
        <v>11.039041609685301</v>
      </c>
      <c r="L401" s="3">
        <v>11.014550957723801</v>
      </c>
      <c r="M401" s="3">
        <v>11.0180886163523</v>
      </c>
      <c r="N401" s="3">
        <v>11.076054323161699</v>
      </c>
      <c r="O401" s="3">
        <v>11.2001465008595</v>
      </c>
      <c r="P401" s="3">
        <v>11.260185255372701</v>
      </c>
      <c r="Q401" s="3">
        <v>11.197674385688</v>
      </c>
      <c r="R401" s="3">
        <v>11.4550233541884</v>
      </c>
      <c r="S401" s="3">
        <v>11.8175165014028</v>
      </c>
      <c r="T401" s="3">
        <v>11.958543147366701</v>
      </c>
      <c r="U401" s="3">
        <v>12.0397588707268</v>
      </c>
      <c r="V401" s="3">
        <v>12.2742651104529</v>
      </c>
      <c r="W401" s="3">
        <v>12.514901303332801</v>
      </c>
      <c r="X401" s="3">
        <v>11.4052758909926</v>
      </c>
      <c r="Y401" s="3">
        <v>10.445580836763099</v>
      </c>
      <c r="Z401" s="3">
        <v>10.462570655814201</v>
      </c>
      <c r="AA401" s="3">
        <v>10.405741125793099</v>
      </c>
      <c r="AB401" s="3">
        <v>10.3241007786716</v>
      </c>
      <c r="AC401" s="3">
        <v>10.3917306062853</v>
      </c>
      <c r="AD401" s="3"/>
      <c r="AE401" t="s">
        <v>5621</v>
      </c>
      <c r="AF401" t="s">
        <v>1931</v>
      </c>
    </row>
    <row r="402" spans="1:32" x14ac:dyDescent="0.3">
      <c r="A402" t="s">
        <v>1826</v>
      </c>
      <c r="B402" s="1" t="s">
        <v>1205</v>
      </c>
      <c r="C402" s="5" t="s">
        <v>2468</v>
      </c>
      <c r="D402" s="2" t="s">
        <v>3985</v>
      </c>
      <c r="E402" s="1" t="s">
        <v>746</v>
      </c>
      <c r="F402" s="3">
        <v>10.2202379744915</v>
      </c>
      <c r="G402" s="3">
        <v>10.043327190030899</v>
      </c>
      <c r="H402" s="3">
        <v>9.9697779825383908</v>
      </c>
      <c r="I402" s="3">
        <v>9.8636246542680599</v>
      </c>
      <c r="J402" s="3">
        <v>9.8041129110050793</v>
      </c>
      <c r="K402" s="3">
        <v>9.7458261323685402</v>
      </c>
      <c r="L402" s="3">
        <v>9.7125679519274399</v>
      </c>
      <c r="M402" s="3">
        <v>9.7522273374623296</v>
      </c>
      <c r="N402" s="3">
        <v>9.7759087086282204</v>
      </c>
      <c r="O402" s="3">
        <v>9.8851590318255909</v>
      </c>
      <c r="P402" s="3">
        <v>9.8651376477021007</v>
      </c>
      <c r="Q402" s="3">
        <v>9.9685606323034399</v>
      </c>
      <c r="R402" s="3">
        <v>10.082911320707201</v>
      </c>
      <c r="S402" s="3">
        <v>10.270180967873101</v>
      </c>
      <c r="T402" s="3">
        <v>9.9305082783142709</v>
      </c>
      <c r="U402" s="3">
        <v>9.5095415620394306</v>
      </c>
      <c r="V402" s="3">
        <v>9.2741277433198004</v>
      </c>
      <c r="W402" s="3">
        <v>9.0291933539227998</v>
      </c>
      <c r="X402" s="3">
        <v>7.5128427341461199</v>
      </c>
      <c r="Y402" s="3">
        <v>6.2497508923845801</v>
      </c>
      <c r="Z402" s="3">
        <v>6.1950996160410501</v>
      </c>
      <c r="AA402" s="3">
        <v>6.0322735936366296</v>
      </c>
      <c r="AB402" s="3">
        <v>5.9223233024461699</v>
      </c>
      <c r="AC402" s="3">
        <v>5.9091921785133099</v>
      </c>
      <c r="AD402" s="3"/>
      <c r="AE402" t="s">
        <v>5621</v>
      </c>
      <c r="AF402" t="s">
        <v>1931</v>
      </c>
    </row>
    <row r="403" spans="1:32" x14ac:dyDescent="0.3">
      <c r="A403" t="s">
        <v>1826</v>
      </c>
      <c r="B403" s="1" t="s">
        <v>1205</v>
      </c>
      <c r="C403" s="5" t="s">
        <v>2469</v>
      </c>
      <c r="D403" s="2" t="s">
        <v>3986</v>
      </c>
      <c r="E403" s="1" t="s">
        <v>944</v>
      </c>
      <c r="F403" s="3">
        <v>12.7367342252727</v>
      </c>
      <c r="G403" s="3">
        <v>12.438640028018099</v>
      </c>
      <c r="H403" s="3">
        <v>12.2246546495756</v>
      </c>
      <c r="I403" s="3">
        <v>11.935342766112701</v>
      </c>
      <c r="J403" s="3">
        <v>12.001789912160501</v>
      </c>
      <c r="K403" s="3">
        <v>11.9583316110984</v>
      </c>
      <c r="L403" s="3">
        <v>11.9663822819826</v>
      </c>
      <c r="M403" s="3">
        <v>11.969862117894399</v>
      </c>
      <c r="N403" s="3">
        <v>12.0765691331138</v>
      </c>
      <c r="O403" s="3">
        <v>12.231732860236001</v>
      </c>
      <c r="P403" s="3">
        <v>12.3762989495953</v>
      </c>
      <c r="Q403" s="3">
        <v>12.201125411633701</v>
      </c>
      <c r="R403" s="3">
        <v>12.5970922366153</v>
      </c>
      <c r="S403" s="3">
        <v>13.0423026169266</v>
      </c>
      <c r="T403" s="3">
        <v>13.517229765497801</v>
      </c>
      <c r="U403" s="3">
        <v>13.9339371247138</v>
      </c>
      <c r="V403" s="3">
        <v>14.461701645664199</v>
      </c>
      <c r="W403" s="3">
        <v>15.046443112840301</v>
      </c>
      <c r="X403" s="3">
        <v>14.228076936143101</v>
      </c>
      <c r="Y403" s="3">
        <v>13.4863145492364</v>
      </c>
      <c r="Z403" s="3">
        <v>13.5832026112269</v>
      </c>
      <c r="AA403" s="3">
        <v>13.647982671947901</v>
      </c>
      <c r="AB403" s="3">
        <v>13.6224642027251</v>
      </c>
      <c r="AC403" s="3">
        <v>13.7693877892728</v>
      </c>
      <c r="AD403" s="3"/>
      <c r="AE403" t="s">
        <v>5621</v>
      </c>
      <c r="AF403" t="s">
        <v>1931</v>
      </c>
    </row>
    <row r="404" spans="1:32" x14ac:dyDescent="0.3">
      <c r="A404" t="s">
        <v>1826</v>
      </c>
      <c r="B404" s="1" t="s">
        <v>1205</v>
      </c>
      <c r="C404" s="5" t="s">
        <v>2470</v>
      </c>
      <c r="D404" s="2" t="s">
        <v>3987</v>
      </c>
      <c r="E404" s="1" t="s">
        <v>1218</v>
      </c>
      <c r="F404" s="3">
        <v>35.366584090006</v>
      </c>
      <c r="G404" s="3">
        <v>35.773859582602398</v>
      </c>
      <c r="H404" s="3">
        <v>36.153021098610097</v>
      </c>
      <c r="I404" s="3">
        <v>36.5956333338344</v>
      </c>
      <c r="J404" s="3">
        <v>37.435897514248303</v>
      </c>
      <c r="K404" s="3">
        <v>38.1141048794928</v>
      </c>
      <c r="L404" s="3">
        <v>38.665994508348298</v>
      </c>
      <c r="M404" s="3">
        <v>39.238976900706298</v>
      </c>
      <c r="N404" s="3">
        <v>39.797171244796097</v>
      </c>
      <c r="O404" s="3">
        <v>40.439914512998797</v>
      </c>
      <c r="P404" s="3">
        <v>41.067391527101698</v>
      </c>
      <c r="Q404" s="3">
        <v>41.380037787909401</v>
      </c>
      <c r="R404" s="3">
        <v>42.304493543113701</v>
      </c>
      <c r="S404" s="3">
        <v>43.012329574594702</v>
      </c>
      <c r="T404" s="3">
        <v>43.621736531414001</v>
      </c>
      <c r="U404" s="3">
        <v>44.392888658635897</v>
      </c>
      <c r="V404" s="3">
        <v>44.983867626482201</v>
      </c>
      <c r="W404" s="3">
        <v>45.5938296951254</v>
      </c>
      <c r="X404" s="3">
        <v>44.613368324803297</v>
      </c>
      <c r="Y404" s="3">
        <v>43.609487442360702</v>
      </c>
      <c r="Z404" s="3">
        <v>43.316021594518901</v>
      </c>
      <c r="AA404" s="3">
        <v>43.427538135295798</v>
      </c>
      <c r="AB404" s="3">
        <v>43.979414028769298</v>
      </c>
      <c r="AC404" s="3">
        <v>44.376535530839298</v>
      </c>
      <c r="AD404" s="3"/>
      <c r="AE404" t="s">
        <v>5622</v>
      </c>
      <c r="AF404" t="s">
        <v>1931</v>
      </c>
    </row>
    <row r="405" spans="1:32" x14ac:dyDescent="0.3">
      <c r="A405" t="s">
        <v>1826</v>
      </c>
      <c r="B405" s="1" t="s">
        <v>1205</v>
      </c>
      <c r="C405" s="5" t="s">
        <v>2471</v>
      </c>
      <c r="D405" s="2" t="s">
        <v>3988</v>
      </c>
      <c r="E405" s="1" t="s">
        <v>917</v>
      </c>
      <c r="F405" s="3">
        <v>40.457427508270698</v>
      </c>
      <c r="G405" s="3">
        <v>40.780354395279197</v>
      </c>
      <c r="H405" s="3">
        <v>41.117111534331102</v>
      </c>
      <c r="I405" s="3">
        <v>41.6301594780534</v>
      </c>
      <c r="J405" s="3">
        <v>42.405561649920301</v>
      </c>
      <c r="K405" s="3">
        <v>43.005184694652201</v>
      </c>
      <c r="L405" s="3">
        <v>43.546352949601697</v>
      </c>
      <c r="M405" s="3">
        <v>44.070314311264198</v>
      </c>
      <c r="N405" s="3">
        <v>44.672620900669799</v>
      </c>
      <c r="O405" s="3">
        <v>45.333530751599</v>
      </c>
      <c r="P405" s="3">
        <v>46.1262497650307</v>
      </c>
      <c r="Q405" s="3">
        <v>46.215240686008599</v>
      </c>
      <c r="R405" s="3">
        <v>47.1994025392084</v>
      </c>
      <c r="S405" s="3">
        <v>48.310898739324898</v>
      </c>
      <c r="T405" s="3">
        <v>49.940979702008597</v>
      </c>
      <c r="U405" s="3">
        <v>52.073399577742201</v>
      </c>
      <c r="V405" s="3">
        <v>53.694012231051602</v>
      </c>
      <c r="W405" s="3">
        <v>55.205067953689401</v>
      </c>
      <c r="X405" s="3">
        <v>54.714246947211201</v>
      </c>
      <c r="Y405" s="3">
        <v>54.152728226603998</v>
      </c>
      <c r="Z405" s="3">
        <v>54.140156865585801</v>
      </c>
      <c r="AA405" s="3">
        <v>54.1349711569544</v>
      </c>
      <c r="AB405" s="3">
        <v>54.848820756045001</v>
      </c>
      <c r="AC405" s="3">
        <v>55.249906974776898</v>
      </c>
      <c r="AD405" s="3"/>
      <c r="AE405" t="s">
        <v>5622</v>
      </c>
      <c r="AF405" t="s">
        <v>1931</v>
      </c>
    </row>
    <row r="406" spans="1:32" x14ac:dyDescent="0.3">
      <c r="A406" t="s">
        <v>1826</v>
      </c>
      <c r="B406" s="1" t="s">
        <v>1205</v>
      </c>
      <c r="C406" s="5" t="s">
        <v>2472</v>
      </c>
      <c r="D406" s="2" t="s">
        <v>3989</v>
      </c>
      <c r="E406" s="1" t="s">
        <v>1109</v>
      </c>
      <c r="F406" s="3">
        <v>32.233336934094702</v>
      </c>
      <c r="G406" s="3">
        <v>32.600135428046698</v>
      </c>
      <c r="H406" s="3">
        <v>32.913256570266803</v>
      </c>
      <c r="I406" s="3">
        <v>33.213964199207197</v>
      </c>
      <c r="J406" s="3">
        <v>34.0018203985396</v>
      </c>
      <c r="K406" s="3">
        <v>34.6372309932881</v>
      </c>
      <c r="L406" s="3">
        <v>35.0981712374195</v>
      </c>
      <c r="M406" s="3">
        <v>35.606399618296003</v>
      </c>
      <c r="N406" s="3">
        <v>36.045223683768903</v>
      </c>
      <c r="O406" s="3">
        <v>36.600908968822203</v>
      </c>
      <c r="P406" s="3">
        <v>37.020012040410798</v>
      </c>
      <c r="Q406" s="3">
        <v>37.432590436460302</v>
      </c>
      <c r="R406" s="3">
        <v>38.2302284552744</v>
      </c>
      <c r="S406" s="3">
        <v>38.818203345412101</v>
      </c>
      <c r="T406" s="3">
        <v>38.765016011452801</v>
      </c>
      <c r="U406" s="3">
        <v>38.643101792550098</v>
      </c>
      <c r="V406" s="3">
        <v>38.6331444696877</v>
      </c>
      <c r="W406" s="3">
        <v>38.613539938833199</v>
      </c>
      <c r="X406" s="3">
        <v>37.288193463838802</v>
      </c>
      <c r="Y406" s="3">
        <v>35.968772996471003</v>
      </c>
      <c r="Z406" s="3">
        <v>35.400745340802501</v>
      </c>
      <c r="AA406" s="3">
        <v>35.489647845733302</v>
      </c>
      <c r="AB406" s="3">
        <v>35.834692087679599</v>
      </c>
      <c r="AC406" s="3">
        <v>36.1833039633472</v>
      </c>
      <c r="AD406" s="3"/>
      <c r="AE406" t="s">
        <v>5622</v>
      </c>
      <c r="AF406" t="s">
        <v>1931</v>
      </c>
    </row>
    <row r="407" spans="1:32" x14ac:dyDescent="0.3">
      <c r="A407" t="s">
        <v>1826</v>
      </c>
      <c r="B407" s="1" t="s">
        <v>1205</v>
      </c>
      <c r="C407" s="5" t="s">
        <v>2473</v>
      </c>
      <c r="D407" s="2" t="s">
        <v>3990</v>
      </c>
      <c r="E407" s="1" t="s">
        <v>1456</v>
      </c>
      <c r="F407" s="3">
        <v>47.896999999999998</v>
      </c>
      <c r="G407" s="3">
        <v>48.673999999999999</v>
      </c>
      <c r="H407" s="3">
        <v>49.466999999999999</v>
      </c>
      <c r="I407" s="3">
        <v>50.243000000000002</v>
      </c>
      <c r="J407" s="3">
        <v>51.143999999999998</v>
      </c>
      <c r="K407" s="3">
        <v>52.026000000000003</v>
      </c>
      <c r="L407" s="3">
        <v>52.965000000000003</v>
      </c>
      <c r="M407" s="3">
        <v>53.765999999999998</v>
      </c>
      <c r="N407" s="3">
        <v>54.634999999999998</v>
      </c>
      <c r="O407" s="3">
        <v>55.444000000000003</v>
      </c>
      <c r="P407" s="3">
        <v>56.343000000000004</v>
      </c>
      <c r="Q407" s="3">
        <v>56.970999999999997</v>
      </c>
      <c r="R407" s="3">
        <v>57.85</v>
      </c>
      <c r="S407" s="3">
        <v>58.210999999999999</v>
      </c>
      <c r="T407" s="3">
        <v>57.877000000000002</v>
      </c>
      <c r="U407" s="3">
        <v>57.356000000000002</v>
      </c>
      <c r="V407" s="3">
        <v>56.805</v>
      </c>
      <c r="W407" s="3">
        <v>55.292999999999999</v>
      </c>
      <c r="X407" s="3">
        <v>54.881</v>
      </c>
      <c r="Y407" s="3">
        <v>54.48</v>
      </c>
      <c r="Z407" s="3">
        <v>54.902000000000001</v>
      </c>
      <c r="AA407" s="3">
        <v>56.537999999999997</v>
      </c>
      <c r="AB407" s="3">
        <v>57.444000000000003</v>
      </c>
      <c r="AC407" s="3">
        <v>57.375</v>
      </c>
      <c r="AD407" s="3">
        <v>57.314</v>
      </c>
      <c r="AE407" t="s">
        <v>5623</v>
      </c>
      <c r="AF407" t="s">
        <v>482</v>
      </c>
    </row>
    <row r="408" spans="1:32" x14ac:dyDescent="0.3">
      <c r="A408" t="s">
        <v>1826</v>
      </c>
      <c r="B408" s="1" t="s">
        <v>1205</v>
      </c>
      <c r="C408" s="5" t="s">
        <v>2474</v>
      </c>
      <c r="D408" s="2" t="s">
        <v>3991</v>
      </c>
      <c r="E408" s="1" t="s">
        <v>1045</v>
      </c>
      <c r="F408" s="3"/>
      <c r="G408" s="3"/>
      <c r="H408" s="3"/>
      <c r="I408" s="3"/>
      <c r="J408" s="3"/>
      <c r="K408" s="3"/>
      <c r="L408" s="3"/>
      <c r="M408" s="3"/>
      <c r="N408" s="3"/>
      <c r="O408" s="3"/>
      <c r="P408" s="3"/>
      <c r="Q408" s="3"/>
      <c r="R408" s="3">
        <v>57.942</v>
      </c>
      <c r="S408" s="3">
        <v>66.024000000000001</v>
      </c>
      <c r="T408" s="3"/>
      <c r="U408" s="3"/>
      <c r="V408" s="3">
        <v>56.924999999999997</v>
      </c>
      <c r="W408" s="3">
        <v>44.384999999999998</v>
      </c>
      <c r="X408" s="3"/>
      <c r="Y408" s="3">
        <v>54.542000000000002</v>
      </c>
      <c r="Z408" s="3"/>
      <c r="AA408" s="3"/>
      <c r="AB408" s="3">
        <v>58.058</v>
      </c>
      <c r="AC408" s="3"/>
      <c r="AD408" s="3"/>
      <c r="AE408" t="s">
        <v>5623</v>
      </c>
      <c r="AF408" t="s">
        <v>472</v>
      </c>
    </row>
    <row r="409" spans="1:32" x14ac:dyDescent="0.3">
      <c r="A409" t="s">
        <v>1826</v>
      </c>
      <c r="B409" s="1" t="s">
        <v>1205</v>
      </c>
      <c r="C409" s="5" t="s">
        <v>2475</v>
      </c>
      <c r="D409" s="2" t="s">
        <v>3992</v>
      </c>
      <c r="E409" s="1" t="s">
        <v>183</v>
      </c>
      <c r="F409" s="3">
        <v>76.498000000000005</v>
      </c>
      <c r="G409" s="3">
        <v>75.582999999999998</v>
      </c>
      <c r="H409" s="3">
        <v>74.700999999999993</v>
      </c>
      <c r="I409" s="3">
        <v>73.798000000000002</v>
      </c>
      <c r="J409" s="3">
        <v>73.099000000000004</v>
      </c>
      <c r="K409" s="3">
        <v>72.367999999999995</v>
      </c>
      <c r="L409" s="3">
        <v>71.718000000000004</v>
      </c>
      <c r="M409" s="3">
        <v>70.864999999999995</v>
      </c>
      <c r="N409" s="3">
        <v>70.114999999999995</v>
      </c>
      <c r="O409" s="3">
        <v>69.284999999999997</v>
      </c>
      <c r="P409" s="3">
        <v>68.576999999999998</v>
      </c>
      <c r="Q409" s="3">
        <v>67.519000000000005</v>
      </c>
      <c r="R409" s="3">
        <v>66.792000000000002</v>
      </c>
      <c r="S409" s="3">
        <v>70.108000000000004</v>
      </c>
      <c r="T409" s="3">
        <v>71.459999999999994</v>
      </c>
      <c r="U409" s="3">
        <v>72.665000000000006</v>
      </c>
      <c r="V409" s="3">
        <v>73.864999999999995</v>
      </c>
      <c r="W409" s="3">
        <v>72.171000000000006</v>
      </c>
      <c r="X409" s="3">
        <v>71.754999999999995</v>
      </c>
      <c r="Y409" s="3">
        <v>71.34</v>
      </c>
      <c r="Z409" s="3">
        <v>71.358999999999995</v>
      </c>
      <c r="AA409" s="3">
        <v>72.617999999999995</v>
      </c>
      <c r="AB409" s="3">
        <v>73.120999999999995</v>
      </c>
      <c r="AC409" s="3">
        <v>72.742000000000004</v>
      </c>
      <c r="AD409" s="3">
        <v>72.697000000000003</v>
      </c>
      <c r="AE409" t="s">
        <v>5623</v>
      </c>
      <c r="AF409" t="s">
        <v>482</v>
      </c>
    </row>
    <row r="410" spans="1:32" x14ac:dyDescent="0.3">
      <c r="A410" t="s">
        <v>1826</v>
      </c>
      <c r="B410" s="1" t="s">
        <v>1205</v>
      </c>
      <c r="C410" s="5" t="s">
        <v>2476</v>
      </c>
      <c r="D410" s="2" t="s">
        <v>3993</v>
      </c>
      <c r="E410" s="1" t="s">
        <v>748</v>
      </c>
      <c r="F410" s="3"/>
      <c r="G410" s="3"/>
      <c r="H410" s="3"/>
      <c r="I410" s="3"/>
      <c r="J410" s="3"/>
      <c r="K410" s="3"/>
      <c r="L410" s="3"/>
      <c r="M410" s="3"/>
      <c r="N410" s="3"/>
      <c r="O410" s="3"/>
      <c r="P410" s="3"/>
      <c r="Q410" s="3"/>
      <c r="R410" s="3">
        <v>66.897999999999996</v>
      </c>
      <c r="S410" s="3">
        <v>78.028000000000006</v>
      </c>
      <c r="T410" s="3"/>
      <c r="U410" s="3"/>
      <c r="V410" s="3">
        <v>74.02</v>
      </c>
      <c r="W410" s="3">
        <v>63.777000000000001</v>
      </c>
      <c r="X410" s="3"/>
      <c r="Y410" s="3">
        <v>71.42</v>
      </c>
      <c r="Z410" s="3"/>
      <c r="AA410" s="3"/>
      <c r="AB410" s="3">
        <v>73.942999999999998</v>
      </c>
      <c r="AC410" s="3"/>
      <c r="AD410" s="3"/>
      <c r="AE410" t="s">
        <v>5623</v>
      </c>
      <c r="AF410" t="s">
        <v>472</v>
      </c>
    </row>
    <row r="411" spans="1:32" x14ac:dyDescent="0.3">
      <c r="A411" t="s">
        <v>1826</v>
      </c>
      <c r="B411" s="1" t="s">
        <v>1205</v>
      </c>
      <c r="C411" s="5" t="s">
        <v>2477</v>
      </c>
      <c r="D411" s="2" t="s">
        <v>3994</v>
      </c>
      <c r="E411" s="1" t="s">
        <v>653</v>
      </c>
      <c r="F411" s="3">
        <v>62.32</v>
      </c>
      <c r="G411" s="3">
        <v>62.234000000000002</v>
      </c>
      <c r="H411" s="3">
        <v>62.176000000000002</v>
      </c>
      <c r="I411" s="3">
        <v>62.1</v>
      </c>
      <c r="J411" s="3">
        <v>62.19</v>
      </c>
      <c r="K411" s="3">
        <v>62.253999999999998</v>
      </c>
      <c r="L411" s="3">
        <v>62.389000000000003</v>
      </c>
      <c r="M411" s="3">
        <v>62.353999999999999</v>
      </c>
      <c r="N411" s="3">
        <v>62.423000000000002</v>
      </c>
      <c r="O411" s="3">
        <v>62.433</v>
      </c>
      <c r="P411" s="3">
        <v>62.540999999999997</v>
      </c>
      <c r="Q411" s="3">
        <v>62.332000000000001</v>
      </c>
      <c r="R411" s="3">
        <v>62.41</v>
      </c>
      <c r="S411" s="3">
        <v>64.302000000000007</v>
      </c>
      <c r="T411" s="3">
        <v>64.846999999999994</v>
      </c>
      <c r="U411" s="3">
        <v>65.212999999999994</v>
      </c>
      <c r="V411" s="3">
        <v>65.561999999999998</v>
      </c>
      <c r="W411" s="3">
        <v>63.957999999999998</v>
      </c>
      <c r="X411" s="3">
        <v>63.542000000000002</v>
      </c>
      <c r="Y411" s="3">
        <v>63.131</v>
      </c>
      <c r="Z411" s="3">
        <v>63.338999999999999</v>
      </c>
      <c r="AA411" s="3">
        <v>64.775000000000006</v>
      </c>
      <c r="AB411" s="3">
        <v>65.468000000000004</v>
      </c>
      <c r="AC411" s="3">
        <v>65.233999999999995</v>
      </c>
      <c r="AD411" s="3">
        <v>65.174999999999997</v>
      </c>
      <c r="AE411" t="s">
        <v>5623</v>
      </c>
      <c r="AF411" t="s">
        <v>810</v>
      </c>
    </row>
    <row r="412" spans="1:32" x14ac:dyDescent="0.3">
      <c r="A412" t="s">
        <v>1826</v>
      </c>
      <c r="B412" s="1" t="s">
        <v>1205</v>
      </c>
      <c r="C412" s="5" t="s">
        <v>2478</v>
      </c>
      <c r="D412" s="2" t="s">
        <v>3995</v>
      </c>
      <c r="E412" s="1" t="s">
        <v>1129</v>
      </c>
      <c r="F412" s="3"/>
      <c r="G412" s="3"/>
      <c r="H412" s="3"/>
      <c r="I412" s="3"/>
      <c r="J412" s="3"/>
      <c r="K412" s="3"/>
      <c r="L412" s="3"/>
      <c r="M412" s="3"/>
      <c r="N412" s="3"/>
      <c r="O412" s="3"/>
      <c r="P412" s="3"/>
      <c r="Q412" s="3"/>
      <c r="R412" s="3">
        <v>62.411000000000001</v>
      </c>
      <c r="S412" s="3">
        <v>72.141999999999996</v>
      </c>
      <c r="T412" s="3"/>
      <c r="U412" s="3"/>
      <c r="V412" s="3">
        <v>65.561999999999998</v>
      </c>
      <c r="W412" s="3">
        <v>54.226999999999997</v>
      </c>
      <c r="X412" s="3"/>
      <c r="Y412" s="3">
        <v>63.131</v>
      </c>
      <c r="Z412" s="3"/>
      <c r="AA412" s="3"/>
      <c r="AB412" s="3">
        <v>65.597999999999999</v>
      </c>
      <c r="AC412" s="3"/>
      <c r="AD412" s="3"/>
      <c r="AE412" t="s">
        <v>5623</v>
      </c>
      <c r="AF412" t="s">
        <v>472</v>
      </c>
    </row>
    <row r="413" spans="1:32" x14ac:dyDescent="0.3">
      <c r="A413" t="s">
        <v>1826</v>
      </c>
      <c r="B413" s="1" t="s">
        <v>1205</v>
      </c>
      <c r="C413" s="5" t="s">
        <v>2479</v>
      </c>
      <c r="D413" s="2" t="s">
        <v>3996</v>
      </c>
      <c r="E413" s="1" t="s">
        <v>2011</v>
      </c>
      <c r="F413" s="3">
        <v>39.482999999999997</v>
      </c>
      <c r="G413" s="3">
        <v>39.936</v>
      </c>
      <c r="H413" s="3">
        <v>40.404000000000003</v>
      </c>
      <c r="I413" s="3">
        <v>40.863</v>
      </c>
      <c r="J413" s="3">
        <v>41.415999999999997</v>
      </c>
      <c r="K413" s="3">
        <v>41.960999999999999</v>
      </c>
      <c r="L413" s="3">
        <v>42.552</v>
      </c>
      <c r="M413" s="3">
        <v>43.052</v>
      </c>
      <c r="N413" s="3">
        <v>43.661999999999999</v>
      </c>
      <c r="O413" s="3">
        <v>44.283000000000001</v>
      </c>
      <c r="P413" s="3">
        <v>44.963000000000001</v>
      </c>
      <c r="Q413" s="3">
        <v>45.436</v>
      </c>
      <c r="R413" s="3">
        <v>46.076999999999998</v>
      </c>
      <c r="S413" s="3">
        <v>45.197000000000003</v>
      </c>
      <c r="T413" s="3">
        <v>43.936999999999998</v>
      </c>
      <c r="U413" s="3">
        <v>42.454999999999998</v>
      </c>
      <c r="V413" s="3">
        <v>40.929000000000002</v>
      </c>
      <c r="W413" s="3">
        <v>38.625</v>
      </c>
      <c r="X413" s="3">
        <v>37.981999999999999</v>
      </c>
      <c r="Y413" s="3">
        <v>37.363</v>
      </c>
      <c r="Z413" s="3">
        <v>35.026000000000003</v>
      </c>
      <c r="AA413" s="3">
        <v>33.856000000000002</v>
      </c>
      <c r="AB413" s="3">
        <v>31.841999999999999</v>
      </c>
      <c r="AC413" s="3">
        <v>31.356000000000002</v>
      </c>
      <c r="AD413" s="3">
        <v>31.047000000000001</v>
      </c>
      <c r="AE413" t="s">
        <v>5623</v>
      </c>
      <c r="AF413" t="s">
        <v>1748</v>
      </c>
    </row>
    <row r="414" spans="1:32" x14ac:dyDescent="0.3">
      <c r="A414" t="s">
        <v>1826</v>
      </c>
      <c r="B414" s="1" t="s">
        <v>1205</v>
      </c>
      <c r="C414" s="5" t="s">
        <v>2480</v>
      </c>
      <c r="D414" s="2" t="s">
        <v>3997</v>
      </c>
      <c r="E414" s="1" t="s">
        <v>1189</v>
      </c>
      <c r="F414" s="3"/>
      <c r="G414" s="3"/>
      <c r="H414" s="3"/>
      <c r="I414" s="3"/>
      <c r="J414" s="3"/>
      <c r="K414" s="3"/>
      <c r="L414" s="3"/>
      <c r="M414" s="3"/>
      <c r="N414" s="3"/>
      <c r="O414" s="3"/>
      <c r="P414" s="3"/>
      <c r="Q414" s="3"/>
      <c r="R414" s="3">
        <v>46.228999999999999</v>
      </c>
      <c r="S414" s="3">
        <v>47.276000000000003</v>
      </c>
      <c r="T414" s="3"/>
      <c r="U414" s="3"/>
      <c r="V414" s="3">
        <v>41.789000000000001</v>
      </c>
      <c r="W414" s="3">
        <v>25.35</v>
      </c>
      <c r="X414" s="3"/>
      <c r="Y414" s="3">
        <v>37.96</v>
      </c>
      <c r="Z414" s="3"/>
      <c r="AA414" s="3"/>
      <c r="AB414" s="3">
        <v>32.03</v>
      </c>
      <c r="AC414" s="3"/>
      <c r="AD414" s="3"/>
      <c r="AE414" t="s">
        <v>5623</v>
      </c>
      <c r="AF414" t="s">
        <v>689</v>
      </c>
    </row>
    <row r="415" spans="1:32" x14ac:dyDescent="0.3">
      <c r="A415" t="s">
        <v>1826</v>
      </c>
      <c r="B415" s="1" t="s">
        <v>1205</v>
      </c>
      <c r="C415" s="5" t="s">
        <v>2481</v>
      </c>
      <c r="D415" s="2" t="s">
        <v>3998</v>
      </c>
      <c r="E415" s="1" t="s">
        <v>677</v>
      </c>
      <c r="F415" s="3">
        <v>56.991</v>
      </c>
      <c r="G415" s="3">
        <v>55.996000000000002</v>
      </c>
      <c r="H415" s="3">
        <v>55.029000000000003</v>
      </c>
      <c r="I415" s="3">
        <v>54.055</v>
      </c>
      <c r="J415" s="3">
        <v>53.223999999999997</v>
      </c>
      <c r="K415" s="3">
        <v>52.374000000000002</v>
      </c>
      <c r="L415" s="3">
        <v>51.585000000000001</v>
      </c>
      <c r="M415" s="3">
        <v>50.658000000000001</v>
      </c>
      <c r="N415" s="3">
        <v>49.777999999999999</v>
      </c>
      <c r="O415" s="3">
        <v>48.805</v>
      </c>
      <c r="P415" s="3">
        <v>47.895000000000003</v>
      </c>
      <c r="Q415" s="3">
        <v>46.734000000000002</v>
      </c>
      <c r="R415" s="3">
        <v>45.790999999999997</v>
      </c>
      <c r="S415" s="3">
        <v>49.003</v>
      </c>
      <c r="T415" s="3">
        <v>50.386000000000003</v>
      </c>
      <c r="U415" s="3">
        <v>51.68</v>
      </c>
      <c r="V415" s="3">
        <v>52.956000000000003</v>
      </c>
      <c r="W415" s="3">
        <v>49.353999999999999</v>
      </c>
      <c r="X415" s="3">
        <v>47.746000000000002</v>
      </c>
      <c r="Y415" s="3">
        <v>46.146999999999998</v>
      </c>
      <c r="Z415" s="3">
        <v>43.53</v>
      </c>
      <c r="AA415" s="3">
        <v>41.61</v>
      </c>
      <c r="AB415" s="3">
        <v>39.020000000000003</v>
      </c>
      <c r="AC415" s="3">
        <v>38.325000000000003</v>
      </c>
      <c r="AD415" s="3">
        <v>37.951000000000001</v>
      </c>
      <c r="AE415" t="s">
        <v>5623</v>
      </c>
      <c r="AF415" t="s">
        <v>1748</v>
      </c>
    </row>
    <row r="416" spans="1:32" x14ac:dyDescent="0.3">
      <c r="A416" t="s">
        <v>1826</v>
      </c>
      <c r="B416" s="1" t="s">
        <v>1205</v>
      </c>
      <c r="C416" s="5" t="s">
        <v>2482</v>
      </c>
      <c r="D416" s="2" t="s">
        <v>3999</v>
      </c>
      <c r="E416" s="1" t="s">
        <v>1479</v>
      </c>
      <c r="F416" s="3"/>
      <c r="G416" s="3"/>
      <c r="H416" s="3"/>
      <c r="I416" s="3"/>
      <c r="J416" s="3"/>
      <c r="K416" s="3"/>
      <c r="L416" s="3"/>
      <c r="M416" s="3"/>
      <c r="N416" s="3"/>
      <c r="O416" s="3"/>
      <c r="P416" s="3"/>
      <c r="Q416" s="3"/>
      <c r="R416" s="3">
        <v>45.779000000000003</v>
      </c>
      <c r="S416" s="3">
        <v>47.874000000000002</v>
      </c>
      <c r="T416" s="3"/>
      <c r="U416" s="3"/>
      <c r="V416" s="3">
        <v>53.228000000000002</v>
      </c>
      <c r="W416" s="3">
        <v>29.956</v>
      </c>
      <c r="X416" s="3"/>
      <c r="Y416" s="3">
        <v>46.046999999999997</v>
      </c>
      <c r="Z416" s="3"/>
      <c r="AA416" s="3"/>
      <c r="AB416" s="3">
        <v>39.220999999999997</v>
      </c>
      <c r="AC416" s="3"/>
      <c r="AD416" s="3"/>
      <c r="AE416" t="s">
        <v>5623</v>
      </c>
      <c r="AF416" t="s">
        <v>689</v>
      </c>
    </row>
    <row r="417" spans="1:32" x14ac:dyDescent="0.3">
      <c r="A417" t="s">
        <v>1826</v>
      </c>
      <c r="B417" s="1" t="s">
        <v>1205</v>
      </c>
      <c r="C417" s="5" t="s">
        <v>2483</v>
      </c>
      <c r="D417" s="2" t="s">
        <v>4000</v>
      </c>
      <c r="E417" s="1" t="s">
        <v>883</v>
      </c>
      <c r="F417" s="3">
        <v>48.164000000000001</v>
      </c>
      <c r="G417" s="3">
        <v>47.905999999999999</v>
      </c>
      <c r="H417" s="3">
        <v>47.670999999999999</v>
      </c>
      <c r="I417" s="3">
        <v>47.427</v>
      </c>
      <c r="J417" s="3">
        <v>47.298000000000002</v>
      </c>
      <c r="K417" s="3">
        <v>47.155000000000001</v>
      </c>
      <c r="L417" s="3">
        <v>47.061999999999998</v>
      </c>
      <c r="M417" s="3">
        <v>46.853000000000002</v>
      </c>
      <c r="N417" s="3">
        <v>46.715000000000003</v>
      </c>
      <c r="O417" s="3">
        <v>46.533999999999999</v>
      </c>
      <c r="P417" s="3">
        <v>46.417999999999999</v>
      </c>
      <c r="Q417" s="3">
        <v>46.079000000000001</v>
      </c>
      <c r="R417" s="3">
        <v>45.936</v>
      </c>
      <c r="S417" s="3">
        <v>47.087000000000003</v>
      </c>
      <c r="T417" s="3">
        <v>47.161000000000001</v>
      </c>
      <c r="U417" s="3">
        <v>47.103999999999999</v>
      </c>
      <c r="V417" s="3">
        <v>47.037999999999997</v>
      </c>
      <c r="W417" s="3">
        <v>44.113999999999997</v>
      </c>
      <c r="X417" s="3">
        <v>43.006999999999998</v>
      </c>
      <c r="Y417" s="3">
        <v>41.902000000000001</v>
      </c>
      <c r="Z417" s="3">
        <v>39.432000000000002</v>
      </c>
      <c r="AA417" s="3">
        <v>37.878999999999998</v>
      </c>
      <c r="AB417" s="3">
        <v>35.566000000000003</v>
      </c>
      <c r="AC417" s="3">
        <v>34.968000000000004</v>
      </c>
      <c r="AD417" s="3">
        <v>34.616999999999997</v>
      </c>
      <c r="AE417" t="s">
        <v>5623</v>
      </c>
      <c r="AF417" t="s">
        <v>1748</v>
      </c>
    </row>
    <row r="418" spans="1:32" x14ac:dyDescent="0.3">
      <c r="A418" t="s">
        <v>1826</v>
      </c>
      <c r="B418" s="1" t="s">
        <v>1205</v>
      </c>
      <c r="C418" s="5" t="s">
        <v>2484</v>
      </c>
      <c r="D418" s="2" t="s">
        <v>4001</v>
      </c>
      <c r="E418" s="1" t="s">
        <v>1658</v>
      </c>
      <c r="F418" s="3"/>
      <c r="G418" s="3"/>
      <c r="H418" s="3"/>
      <c r="I418" s="3"/>
      <c r="J418" s="3"/>
      <c r="K418" s="3"/>
      <c r="L418" s="3"/>
      <c r="M418" s="3"/>
      <c r="N418" s="3"/>
      <c r="O418" s="3"/>
      <c r="P418" s="3"/>
      <c r="Q418" s="3"/>
      <c r="R418" s="3">
        <v>46.017000000000003</v>
      </c>
      <c r="S418" s="3">
        <v>47.566000000000003</v>
      </c>
      <c r="T418" s="3"/>
      <c r="U418" s="3"/>
      <c r="V418" s="3">
        <v>47.04</v>
      </c>
      <c r="W418" s="3">
        <v>27.635999999999999</v>
      </c>
      <c r="X418" s="3"/>
      <c r="Y418" s="3">
        <v>41.901000000000003</v>
      </c>
      <c r="Z418" s="3"/>
      <c r="AA418" s="3"/>
      <c r="AB418" s="3">
        <v>35.552</v>
      </c>
      <c r="AC418" s="3"/>
      <c r="AD418" s="3"/>
      <c r="AE418" t="s">
        <v>5623</v>
      </c>
      <c r="AF418" t="s">
        <v>689</v>
      </c>
    </row>
    <row r="419" spans="1:32" x14ac:dyDescent="0.3">
      <c r="A419" t="s">
        <v>1826</v>
      </c>
      <c r="B419" s="1" t="s">
        <v>1205</v>
      </c>
      <c r="C419" s="5" t="s">
        <v>2485</v>
      </c>
      <c r="D419" s="2" t="s">
        <v>4002</v>
      </c>
      <c r="E419" s="1" t="s">
        <v>2048</v>
      </c>
      <c r="F419" s="3">
        <v>14.600339747264613</v>
      </c>
      <c r="G419" s="3">
        <v>11.590095410844356</v>
      </c>
      <c r="H419" s="3">
        <v>9.2432547095574282</v>
      </c>
      <c r="I419" s="3">
        <v>-7.9621004020757943E-3</v>
      </c>
      <c r="J419" s="3">
        <v>-1.7069851052901974</v>
      </c>
      <c r="K419" s="3">
        <v>-7.2926209788542407</v>
      </c>
      <c r="L419" s="3">
        <v>-24.056513264863</v>
      </c>
      <c r="M419" s="3">
        <v>-12.821685678697877</v>
      </c>
      <c r="N419" s="3">
        <v>-13.484113685055712</v>
      </c>
      <c r="O419" s="3">
        <v>-15.865258504111711</v>
      </c>
      <c r="P419" s="3">
        <v>-10.283548334257727</v>
      </c>
      <c r="Q419" s="3">
        <v>-6.3644340007966358</v>
      </c>
      <c r="R419" s="3">
        <v>1.6296279246411114</v>
      </c>
      <c r="S419" s="3">
        <v>6.0660659318059276</v>
      </c>
      <c r="T419" s="3">
        <v>7.717423633708119</v>
      </c>
      <c r="U419" s="3">
        <v>3.2078959041845683</v>
      </c>
      <c r="V419" s="3">
        <v>5.1000774338878569</v>
      </c>
      <c r="W419" s="3">
        <v>3.0147242893880457</v>
      </c>
      <c r="X419" s="3">
        <v>7.7921101398092123</v>
      </c>
      <c r="Y419" s="3">
        <v>4.6010464431865197</v>
      </c>
      <c r="Z419" s="3">
        <v>8.1437855849073948</v>
      </c>
      <c r="AA419" s="3">
        <v>13.230067333927401</v>
      </c>
      <c r="AB419" s="3">
        <v>14.378609226628155</v>
      </c>
      <c r="AC419" s="3"/>
      <c r="AD419" s="3"/>
      <c r="AE419" t="s">
        <v>5624</v>
      </c>
      <c r="AF419" t="s">
        <v>187</v>
      </c>
    </row>
    <row r="420" spans="1:32" x14ac:dyDescent="0.3">
      <c r="A420" t="s">
        <v>1826</v>
      </c>
      <c r="B420" s="1" t="s">
        <v>1205</v>
      </c>
      <c r="C420" s="5" t="s">
        <v>2486</v>
      </c>
      <c r="D420" s="2" t="s">
        <v>4003</v>
      </c>
      <c r="E420" s="1" t="s">
        <v>1181</v>
      </c>
      <c r="F420" s="3">
        <v>4.1500000000000004</v>
      </c>
      <c r="G420" s="3">
        <v>3.98</v>
      </c>
      <c r="H420" s="3">
        <v>4.33</v>
      </c>
      <c r="I420" s="3">
        <v>4.1500000000000004</v>
      </c>
      <c r="J420" s="3">
        <v>5.78</v>
      </c>
      <c r="K420" s="3">
        <v>5.88</v>
      </c>
      <c r="L420" s="3">
        <v>5.69</v>
      </c>
      <c r="M420" s="3">
        <v>6.02</v>
      </c>
      <c r="N420" s="3">
        <v>5.9</v>
      </c>
      <c r="O420" s="3">
        <v>5.24</v>
      </c>
      <c r="P420" s="3">
        <v>4.55</v>
      </c>
      <c r="Q420" s="3">
        <v>5.45</v>
      </c>
      <c r="R420" s="3">
        <v>5.39</v>
      </c>
      <c r="S420" s="3">
        <v>5.07</v>
      </c>
      <c r="T420" s="3">
        <v>4.7</v>
      </c>
      <c r="U420" s="3">
        <v>3.89</v>
      </c>
      <c r="V420" s="3">
        <v>3.81</v>
      </c>
      <c r="W420" s="3">
        <v>3.66</v>
      </c>
      <c r="X420" s="3">
        <v>3.27</v>
      </c>
      <c r="Y420" s="3">
        <v>3.2</v>
      </c>
      <c r="Z420" s="3">
        <v>3.3</v>
      </c>
      <c r="AA420" s="3">
        <v>3.3</v>
      </c>
      <c r="AB420" s="3"/>
      <c r="AC420" s="3"/>
      <c r="AD420" s="3"/>
      <c r="AE420" t="s">
        <v>5625</v>
      </c>
      <c r="AF420" t="s">
        <v>777</v>
      </c>
    </row>
    <row r="421" spans="1:32" x14ac:dyDescent="0.3">
      <c r="A421" t="s">
        <v>1826</v>
      </c>
      <c r="B421" s="1" t="s">
        <v>1205</v>
      </c>
      <c r="C421" s="5" t="s">
        <v>2487</v>
      </c>
      <c r="D421" s="2" t="s">
        <v>4004</v>
      </c>
      <c r="E421" s="1" t="s">
        <v>781</v>
      </c>
      <c r="F421" s="3">
        <v>383.698511747895</v>
      </c>
      <c r="G421" s="3">
        <v>359.27435037998805</v>
      </c>
      <c r="H421" s="3">
        <v>374.21741051923073</v>
      </c>
      <c r="I421" s="3">
        <v>345.06353258510478</v>
      </c>
      <c r="J421" s="3">
        <v>474.64451210384539</v>
      </c>
      <c r="K421" s="3">
        <v>479.36734205455446</v>
      </c>
      <c r="L421" s="3">
        <v>460.42706850344251</v>
      </c>
      <c r="M421" s="3">
        <v>484.16288024964905</v>
      </c>
      <c r="N421" s="3">
        <v>475.68596828736264</v>
      </c>
      <c r="O421" s="3">
        <v>426.33967683994047</v>
      </c>
      <c r="P421" s="3">
        <v>369.59298919727996</v>
      </c>
      <c r="Q421" s="3">
        <v>412.20299623957362</v>
      </c>
      <c r="R421" s="3">
        <v>442.18455326777791</v>
      </c>
      <c r="S421" s="3">
        <v>446.30980133790729</v>
      </c>
      <c r="T421" s="3">
        <v>438.71877312695045</v>
      </c>
      <c r="U421" s="3">
        <v>383.89279497800868</v>
      </c>
      <c r="V421" s="3">
        <v>391.65558336461339</v>
      </c>
      <c r="W421" s="3">
        <v>392.58525051418883</v>
      </c>
      <c r="X421" s="3">
        <v>358.54140184013261</v>
      </c>
      <c r="Y421" s="3">
        <v>364.1498630695113</v>
      </c>
      <c r="Z421" s="3">
        <v>375.31718389202257</v>
      </c>
      <c r="AA421" s="3">
        <v>468.41449763056931</v>
      </c>
      <c r="AB421" s="3">
        <v>471.77542480223894</v>
      </c>
      <c r="AC421" s="3"/>
      <c r="AD421" s="3"/>
      <c r="AE421" t="s">
        <v>5626</v>
      </c>
      <c r="AF421" t="s">
        <v>1389</v>
      </c>
    </row>
    <row r="422" spans="1:32" x14ac:dyDescent="0.3">
      <c r="A422" t="s">
        <v>1826</v>
      </c>
      <c r="B422" s="1" t="s">
        <v>1205</v>
      </c>
      <c r="C422" s="5" t="s">
        <v>2488</v>
      </c>
      <c r="D422" s="2" t="s">
        <v>4005</v>
      </c>
      <c r="E422" s="1" t="s">
        <v>1249</v>
      </c>
      <c r="F422" s="3">
        <v>79.303747344991237</v>
      </c>
      <c r="G422" s="3">
        <v>77.948160501738769</v>
      </c>
      <c r="H422" s="3">
        <v>85.654284746675216</v>
      </c>
      <c r="I422" s="3">
        <v>84.991009915236859</v>
      </c>
      <c r="J422" s="3">
        <v>116.07994042203197</v>
      </c>
      <c r="K422" s="3">
        <v>118.88346005801412</v>
      </c>
      <c r="L422" s="3">
        <v>113.70646266798232</v>
      </c>
      <c r="M422" s="3">
        <v>121.05007248718438</v>
      </c>
      <c r="N422" s="3">
        <v>116.11376063454311</v>
      </c>
      <c r="O422" s="3">
        <v>102.70637698855018</v>
      </c>
      <c r="P422" s="3">
        <v>85.186124163031835</v>
      </c>
      <c r="Q422" s="3">
        <v>102.60422010089057</v>
      </c>
      <c r="R422" s="3">
        <v>104.43214393589392</v>
      </c>
      <c r="S422" s="3">
        <v>97.083252042858177</v>
      </c>
      <c r="T422" s="3">
        <v>89.396253253753756</v>
      </c>
      <c r="U422" s="3">
        <v>75.11311483746492</v>
      </c>
      <c r="V422" s="3">
        <v>73.607758865506028</v>
      </c>
      <c r="W422" s="3">
        <v>70.658246808801707</v>
      </c>
      <c r="X422" s="3">
        <v>63.232584115720883</v>
      </c>
      <c r="Y422" s="3">
        <v>61.773936108660365</v>
      </c>
      <c r="Z422" s="3">
        <v>64.846088254795191</v>
      </c>
      <c r="AA422" s="3">
        <v>77.485298306222802</v>
      </c>
      <c r="AB422" s="3">
        <v>75.216130569734133</v>
      </c>
      <c r="AC422" s="3"/>
      <c r="AD422" s="3"/>
      <c r="AE422" t="s">
        <v>5627</v>
      </c>
      <c r="AF422" t="s">
        <v>1820</v>
      </c>
    </row>
    <row r="423" spans="1:32" x14ac:dyDescent="0.3">
      <c r="A423" t="s">
        <v>1826</v>
      </c>
      <c r="B423" s="1" t="s">
        <v>1205</v>
      </c>
      <c r="C423" s="5" t="s">
        <v>2489</v>
      </c>
      <c r="D423" s="2" t="s">
        <v>4006</v>
      </c>
      <c r="E423" s="1" t="s">
        <v>94</v>
      </c>
      <c r="F423" s="3">
        <v>8.5386000000000006</v>
      </c>
      <c r="G423" s="3"/>
      <c r="H423" s="3"/>
      <c r="I423" s="3"/>
      <c r="J423" s="3">
        <v>5.4</v>
      </c>
      <c r="K423" s="3"/>
      <c r="L423" s="3">
        <v>4.1875359999999997</v>
      </c>
      <c r="M423" s="3"/>
      <c r="N423" s="3"/>
      <c r="O423" s="3"/>
      <c r="P423" s="3"/>
      <c r="Q423" s="3"/>
      <c r="R423" s="3">
        <v>11.80358</v>
      </c>
      <c r="S423" s="3"/>
      <c r="T423" s="3"/>
      <c r="U423" s="3"/>
      <c r="V423" s="3">
        <v>23.128270000000001</v>
      </c>
      <c r="W423" s="3"/>
      <c r="X423" s="3"/>
      <c r="Y423" s="3"/>
      <c r="Z423" s="3"/>
      <c r="AA423" s="3"/>
      <c r="AB423" s="3"/>
      <c r="AC423" s="3"/>
      <c r="AD423" s="3"/>
      <c r="AE423" t="s">
        <v>5628</v>
      </c>
      <c r="AF423" t="s">
        <v>2045</v>
      </c>
    </row>
    <row r="424" spans="1:32" ht="28.8" x14ac:dyDescent="0.3">
      <c r="A424" t="s">
        <v>1826</v>
      </c>
      <c r="B424" s="1" t="s">
        <v>1205</v>
      </c>
      <c r="C424" s="5" t="s">
        <v>2490</v>
      </c>
      <c r="D424" s="2" t="s">
        <v>4007</v>
      </c>
      <c r="E424" s="1" t="s">
        <v>372</v>
      </c>
      <c r="F424" s="3">
        <v>41.558329999999998</v>
      </c>
      <c r="G424" s="3">
        <v>42.214619999999996</v>
      </c>
      <c r="H424" s="3"/>
      <c r="I424" s="3"/>
      <c r="J424" s="3"/>
      <c r="K424" s="3"/>
      <c r="L424" s="3">
        <v>45.779919999999997</v>
      </c>
      <c r="M424" s="3">
        <v>43.958620000000003</v>
      </c>
      <c r="N424" s="3">
        <v>43.091560000000001</v>
      </c>
      <c r="O424" s="3">
        <v>41.767159999999997</v>
      </c>
      <c r="P424" s="3">
        <v>42.664160000000003</v>
      </c>
      <c r="Q424" s="3">
        <v>39.559840000000001</v>
      </c>
      <c r="R424" s="3">
        <v>39.599229999999999</v>
      </c>
      <c r="S424" s="3">
        <v>39.28107</v>
      </c>
      <c r="T424" s="3">
        <v>39.095140000000001</v>
      </c>
      <c r="U424" s="3">
        <v>41.406500000000001</v>
      </c>
      <c r="V424" s="3">
        <v>44.451140000000002</v>
      </c>
      <c r="W424" s="3">
        <v>39.52525</v>
      </c>
      <c r="X424" s="3">
        <v>47.293979999999998</v>
      </c>
      <c r="Y424" s="3"/>
      <c r="Z424" s="3"/>
      <c r="AA424" s="3"/>
      <c r="AB424" s="3"/>
      <c r="AC424" s="3"/>
      <c r="AD424" s="3"/>
      <c r="AE424" t="s">
        <v>5629</v>
      </c>
      <c r="AF424" t="s">
        <v>1809</v>
      </c>
    </row>
    <row r="425" spans="1:32" ht="28.8" x14ac:dyDescent="0.3">
      <c r="A425" t="s">
        <v>1826</v>
      </c>
      <c r="B425" s="1" t="s">
        <v>1205</v>
      </c>
      <c r="C425" s="5" t="s">
        <v>2491</v>
      </c>
      <c r="D425" s="2" t="s">
        <v>4008</v>
      </c>
      <c r="E425" s="1" t="s">
        <v>580</v>
      </c>
      <c r="F425" s="3">
        <v>32.665120000000002</v>
      </c>
      <c r="G425" s="3"/>
      <c r="H425" s="3"/>
      <c r="I425" s="3"/>
      <c r="J425" s="3"/>
      <c r="K425" s="3"/>
      <c r="L425" s="3">
        <v>30.529869999999999</v>
      </c>
      <c r="M425" s="3">
        <v>30.35379</v>
      </c>
      <c r="N425" s="3">
        <v>31.28736</v>
      </c>
      <c r="O425" s="3">
        <v>34.345350000000003</v>
      </c>
      <c r="P425" s="3">
        <v>33.09796</v>
      </c>
      <c r="Q425" s="3">
        <v>32.716810000000002</v>
      </c>
      <c r="R425" s="3">
        <v>33.68582</v>
      </c>
      <c r="S425" s="3">
        <v>33.882440000000003</v>
      </c>
      <c r="T425" s="3">
        <v>37.181359999999998</v>
      </c>
      <c r="U425" s="3">
        <v>34.198659999999997</v>
      </c>
      <c r="V425" s="3">
        <v>30.675850000000001</v>
      </c>
      <c r="W425" s="3">
        <v>31.426839999999999</v>
      </c>
      <c r="X425" s="3">
        <v>35.119570000000003</v>
      </c>
      <c r="Y425" s="3"/>
      <c r="Z425" s="3"/>
      <c r="AA425" s="3"/>
      <c r="AB425" s="3"/>
      <c r="AC425" s="3"/>
      <c r="AD425" s="3"/>
      <c r="AE425" t="s">
        <v>5630</v>
      </c>
      <c r="AF425" t="s">
        <v>213</v>
      </c>
    </row>
    <row r="426" spans="1:32" ht="28.8" x14ac:dyDescent="0.3">
      <c r="A426" t="s">
        <v>1826</v>
      </c>
      <c r="B426" s="1" t="s">
        <v>1205</v>
      </c>
      <c r="C426" s="5" t="s">
        <v>2492</v>
      </c>
      <c r="D426" s="2" t="s">
        <v>4009</v>
      </c>
      <c r="E426" s="1" t="s">
        <v>418</v>
      </c>
      <c r="F426" s="3">
        <v>22.042680000000001</v>
      </c>
      <c r="G426" s="3">
        <v>19.423259999999999</v>
      </c>
      <c r="H426" s="3">
        <v>17.329550000000001</v>
      </c>
      <c r="I426" s="3">
        <v>18.69688</v>
      </c>
      <c r="J426" s="3">
        <v>20.221609999999998</v>
      </c>
      <c r="K426" s="3">
        <v>20</v>
      </c>
      <c r="L426" s="3">
        <v>21.9331</v>
      </c>
      <c r="M426" s="3">
        <v>23.902799999999999</v>
      </c>
      <c r="N426" s="3">
        <v>23.774740000000001</v>
      </c>
      <c r="O426" s="3">
        <v>21.934339999999999</v>
      </c>
      <c r="P426" s="3">
        <v>22.234690000000001</v>
      </c>
      <c r="Q426" s="3">
        <v>25.859539999999999</v>
      </c>
      <c r="R426" s="3">
        <v>24.766690000000001</v>
      </c>
      <c r="S426" s="3">
        <v>24.896889999999999</v>
      </c>
      <c r="T426" s="3">
        <v>21.022459999999999</v>
      </c>
      <c r="U426" s="3">
        <v>21.444299999999998</v>
      </c>
      <c r="V426" s="3">
        <v>21.898800000000001</v>
      </c>
      <c r="W426" s="3">
        <v>26.03471</v>
      </c>
      <c r="X426" s="3">
        <v>14.02777</v>
      </c>
      <c r="Y426" s="3"/>
      <c r="Z426" s="3"/>
      <c r="AA426" s="3"/>
      <c r="AB426" s="3"/>
      <c r="AC426" s="3"/>
      <c r="AD426" s="3"/>
      <c r="AE426" t="s">
        <v>5631</v>
      </c>
      <c r="AF426" t="s">
        <v>1260</v>
      </c>
    </row>
    <row r="427" spans="1:32" x14ac:dyDescent="0.3">
      <c r="A427" t="s">
        <v>1826</v>
      </c>
      <c r="B427" s="1" t="s">
        <v>1205</v>
      </c>
      <c r="C427" s="5" t="s">
        <v>2493</v>
      </c>
      <c r="D427" s="2" t="s">
        <v>4010</v>
      </c>
      <c r="E427" s="1" t="s">
        <v>1237</v>
      </c>
      <c r="F427" s="3"/>
      <c r="G427" s="3">
        <v>8.2941205356375001</v>
      </c>
      <c r="H427" s="3">
        <v>9.0826151970202851</v>
      </c>
      <c r="I427" s="3">
        <v>10.319025916670547</v>
      </c>
      <c r="J427" s="3">
        <v>10.107258482704433</v>
      </c>
      <c r="K427" s="3">
        <v>10.528129407469892</v>
      </c>
      <c r="L427" s="3">
        <v>9.7526752116776194</v>
      </c>
      <c r="M427" s="3">
        <v>10.661398044934664</v>
      </c>
      <c r="N427" s="3">
        <v>11.019878926779207</v>
      </c>
      <c r="O427" s="3">
        <v>10.478676532095276</v>
      </c>
      <c r="P427" s="3">
        <v>10.625244402285826</v>
      </c>
      <c r="Q427" s="3">
        <v>9.6098390995155167</v>
      </c>
      <c r="R427" s="3">
        <v>11.321560470572431</v>
      </c>
      <c r="S427" s="3">
        <v>9.9306016410336468</v>
      </c>
      <c r="T427" s="3">
        <v>9.2163274972405134</v>
      </c>
      <c r="U427" s="3">
        <v>13.454591215673183</v>
      </c>
      <c r="V427" s="3">
        <v>13.40019330392041</v>
      </c>
      <c r="W427" s="3">
        <v>14.947205988334247</v>
      </c>
      <c r="X427" s="3">
        <v>14.737041783624447</v>
      </c>
      <c r="Y427" s="3">
        <v>13.627108654380566</v>
      </c>
      <c r="Z427" s="3">
        <v>16.032068319488946</v>
      </c>
      <c r="AA427" s="3">
        <v>16.377357124634891</v>
      </c>
      <c r="AB427" s="3">
        <v>18.413612795589074</v>
      </c>
      <c r="AC427" s="3">
        <v>18.142258717320971</v>
      </c>
      <c r="AD427" s="3"/>
      <c r="AE427" t="s">
        <v>5632</v>
      </c>
      <c r="AF427" t="s">
        <v>115</v>
      </c>
    </row>
    <row r="428" spans="1:32" x14ac:dyDescent="0.3">
      <c r="A428" t="s">
        <v>1826</v>
      </c>
      <c r="B428" s="1" t="s">
        <v>1205</v>
      </c>
      <c r="C428" s="5" t="s">
        <v>2494</v>
      </c>
      <c r="D428" s="2" t="s">
        <v>4011</v>
      </c>
      <c r="E428" s="1" t="s">
        <v>1871</v>
      </c>
      <c r="F428" s="3"/>
      <c r="G428" s="3">
        <v>1021172000000</v>
      </c>
      <c r="H428" s="3">
        <v>1137558000000</v>
      </c>
      <c r="I428" s="3">
        <v>1271700000000</v>
      </c>
      <c r="J428" s="3">
        <v>1253100000000</v>
      </c>
      <c r="K428" s="3">
        <v>1334300000000</v>
      </c>
      <c r="L428" s="3">
        <v>1288100000000</v>
      </c>
      <c r="M428" s="3">
        <v>1467600000000</v>
      </c>
      <c r="N428" s="3">
        <v>1674900000000</v>
      </c>
      <c r="O428" s="3">
        <v>1669960000000</v>
      </c>
      <c r="P428" s="3">
        <v>1836710000000</v>
      </c>
      <c r="Q428" s="3">
        <v>1661720000000</v>
      </c>
      <c r="R428" s="3">
        <v>2098380000000</v>
      </c>
      <c r="S428" s="3">
        <v>2097270000000</v>
      </c>
      <c r="T428" s="3">
        <v>2222664103672</v>
      </c>
      <c r="U428" s="3">
        <v>3644359955027</v>
      </c>
      <c r="V428" s="3">
        <v>3844074726537</v>
      </c>
      <c r="W428" s="3">
        <v>4557649286325.7402</v>
      </c>
      <c r="X428" s="3">
        <v>4790437981338</v>
      </c>
      <c r="Y428" s="3">
        <v>4821135179646.5596</v>
      </c>
      <c r="Z428" s="3">
        <v>5816105728910.04</v>
      </c>
      <c r="AA428" s="3">
        <v>6611024658427.8203</v>
      </c>
      <c r="AB428" s="3">
        <v>8145961337415.0596</v>
      </c>
      <c r="AC428" s="3">
        <v>8761605105072.8604</v>
      </c>
      <c r="AD428" s="3"/>
      <c r="AE428" t="s">
        <v>5633</v>
      </c>
      <c r="AF428" t="s">
        <v>115</v>
      </c>
    </row>
    <row r="429" spans="1:32" x14ac:dyDescent="0.3">
      <c r="A429" t="s">
        <v>1826</v>
      </c>
      <c r="B429" s="1" t="s">
        <v>1205</v>
      </c>
      <c r="C429" s="5" t="s">
        <v>2495</v>
      </c>
      <c r="D429" s="2" t="s">
        <v>4012</v>
      </c>
      <c r="E429" s="1" t="s">
        <v>120</v>
      </c>
      <c r="F429" s="3">
        <v>41.4</v>
      </c>
      <c r="G429" s="3">
        <v>43.7</v>
      </c>
      <c r="H429" s="3">
        <v>56.2</v>
      </c>
      <c r="I429" s="3">
        <v>57.7</v>
      </c>
      <c r="J429" s="3">
        <v>61.5</v>
      </c>
      <c r="K429" s="3">
        <v>70</v>
      </c>
      <c r="L429" s="3">
        <v>76.2</v>
      </c>
      <c r="M429" s="3">
        <v>87.2</v>
      </c>
      <c r="N429" s="3">
        <v>108.6</v>
      </c>
      <c r="O429" s="3">
        <v>95</v>
      </c>
      <c r="P429" s="3">
        <v>110</v>
      </c>
      <c r="Q429" s="3">
        <v>124.1</v>
      </c>
      <c r="R429" s="3">
        <v>109</v>
      </c>
      <c r="S429" s="3">
        <v>106</v>
      </c>
      <c r="T429" s="3">
        <v>111.8</v>
      </c>
      <c r="U429" s="3">
        <v>100</v>
      </c>
      <c r="V429" s="3">
        <v>96.1</v>
      </c>
      <c r="W429" s="3">
        <v>87.2</v>
      </c>
      <c r="X429" s="3">
        <v>93.9</v>
      </c>
      <c r="Y429" s="3">
        <v>91.8</v>
      </c>
      <c r="Z429" s="3">
        <v>90.9</v>
      </c>
      <c r="AA429" s="3">
        <v>104.8</v>
      </c>
      <c r="AB429" s="3">
        <v>114.4</v>
      </c>
      <c r="AC429" s="3">
        <v>123.5</v>
      </c>
      <c r="AD429" s="3"/>
      <c r="AE429" t="s">
        <v>5634</v>
      </c>
      <c r="AF429" t="s">
        <v>1098</v>
      </c>
    </row>
    <row r="430" spans="1:32" x14ac:dyDescent="0.3">
      <c r="A430" t="s">
        <v>1826</v>
      </c>
      <c r="B430" s="1" t="s">
        <v>1205</v>
      </c>
      <c r="C430" s="5" t="s">
        <v>2496</v>
      </c>
      <c r="D430" s="2" t="s">
        <v>4013</v>
      </c>
      <c r="E430" s="1" t="s">
        <v>1191</v>
      </c>
      <c r="F430" s="3">
        <v>33.144387433200002</v>
      </c>
      <c r="G430" s="3">
        <v>33.638825295899998</v>
      </c>
      <c r="H430" s="3">
        <v>44.968272554999999</v>
      </c>
      <c r="I430" s="3">
        <v>49.341490359799998</v>
      </c>
      <c r="J430" s="3">
        <v>58.983028963999999</v>
      </c>
      <c r="K430" s="3">
        <v>64.7</v>
      </c>
      <c r="L430" s="3">
        <v>72.400000000000006</v>
      </c>
      <c r="M430" s="3">
        <v>74</v>
      </c>
      <c r="N430" s="3">
        <v>88.7</v>
      </c>
      <c r="O430" s="3">
        <v>96.3</v>
      </c>
      <c r="P430" s="3">
        <v>97.4</v>
      </c>
      <c r="Q430" s="3">
        <v>107.9</v>
      </c>
      <c r="R430" s="3">
        <v>103.5</v>
      </c>
      <c r="S430" s="3">
        <v>102.8</v>
      </c>
      <c r="T430" s="3">
        <v>110.4</v>
      </c>
      <c r="U430" s="3">
        <v>100</v>
      </c>
      <c r="V430" s="3">
        <v>93</v>
      </c>
      <c r="W430" s="3">
        <v>101.5</v>
      </c>
      <c r="X430" s="3">
        <v>101.9</v>
      </c>
      <c r="Y430" s="3">
        <v>108.9</v>
      </c>
      <c r="Z430" s="3">
        <v>106.6</v>
      </c>
      <c r="AA430" s="3">
        <v>131.4</v>
      </c>
      <c r="AB430" s="3">
        <v>140.69999999999999</v>
      </c>
      <c r="AC430" s="3">
        <v>173.8</v>
      </c>
      <c r="AD430" s="3"/>
      <c r="AE430" t="s">
        <v>5635</v>
      </c>
      <c r="AF430" t="s">
        <v>1824</v>
      </c>
    </row>
    <row r="431" spans="1:32" x14ac:dyDescent="0.3">
      <c r="A431" t="s">
        <v>1826</v>
      </c>
      <c r="B431" s="1" t="s">
        <v>1205</v>
      </c>
      <c r="C431" s="5" t="s">
        <v>2497</v>
      </c>
      <c r="D431" s="2" t="s">
        <v>4014</v>
      </c>
      <c r="E431" s="1" t="s">
        <v>1394</v>
      </c>
      <c r="F431" s="3">
        <v>95.915715929200005</v>
      </c>
      <c r="G431" s="3">
        <v>92.219257876699999</v>
      </c>
      <c r="H431" s="3">
        <v>95.766444976599999</v>
      </c>
      <c r="I431" s="3">
        <v>102.4961953808</v>
      </c>
      <c r="J431" s="3">
        <v>114.89668259779999</v>
      </c>
      <c r="K431" s="3">
        <v>92.4</v>
      </c>
      <c r="L431" s="3">
        <v>95</v>
      </c>
      <c r="M431" s="3">
        <v>84.8</v>
      </c>
      <c r="N431" s="3">
        <v>81.7</v>
      </c>
      <c r="O431" s="3">
        <v>101.4</v>
      </c>
      <c r="P431" s="3">
        <v>88.6</v>
      </c>
      <c r="Q431" s="3">
        <v>86.9</v>
      </c>
      <c r="R431" s="3">
        <v>95</v>
      </c>
      <c r="S431" s="3">
        <v>97</v>
      </c>
      <c r="T431" s="3">
        <v>98.7</v>
      </c>
      <c r="U431" s="3">
        <v>100</v>
      </c>
      <c r="V431" s="3">
        <v>96.8</v>
      </c>
      <c r="W431" s="3">
        <v>116.4</v>
      </c>
      <c r="X431" s="3">
        <v>108.5</v>
      </c>
      <c r="Y431" s="3">
        <v>118.6</v>
      </c>
      <c r="Z431" s="3">
        <v>117.2</v>
      </c>
      <c r="AA431" s="3">
        <v>125.4</v>
      </c>
      <c r="AB431" s="3">
        <v>123</v>
      </c>
      <c r="AC431" s="3">
        <v>140.69999999999999</v>
      </c>
      <c r="AD431" s="3"/>
      <c r="AE431" t="s">
        <v>5636</v>
      </c>
      <c r="AF431" t="s">
        <v>1962</v>
      </c>
    </row>
    <row r="432" spans="1:32" x14ac:dyDescent="0.3">
      <c r="A432" t="s">
        <v>1826</v>
      </c>
      <c r="B432" s="1" t="s">
        <v>1205</v>
      </c>
      <c r="C432" s="5" t="s">
        <v>2498</v>
      </c>
      <c r="D432" s="2" t="s">
        <v>4015</v>
      </c>
      <c r="E432" s="1" t="s">
        <v>1934</v>
      </c>
      <c r="F432" s="3">
        <v>5048072459532.7822</v>
      </c>
      <c r="G432" s="3">
        <v>4904209564300.3623</v>
      </c>
      <c r="H432" s="3">
        <v>5673522024907.3379</v>
      </c>
      <c r="I432" s="3">
        <v>4939574352164.7637</v>
      </c>
      <c r="J432" s="3">
        <v>5127641828910.1396</v>
      </c>
      <c r="K432" s="3">
        <v>5299145607165.5049</v>
      </c>
      <c r="L432" s="3">
        <v>5450628522467.9521</v>
      </c>
      <c r="M432" s="3">
        <v>5064396975029.9277</v>
      </c>
      <c r="N432" s="3">
        <v>5104697293837.2324</v>
      </c>
      <c r="O432" s="3">
        <v>6631736042705.0723</v>
      </c>
      <c r="P432" s="3">
        <v>6565154106846.6123</v>
      </c>
      <c r="Q432" s="3">
        <v>6364988548790.1807</v>
      </c>
      <c r="R432" s="3">
        <v>6717650674809.2871</v>
      </c>
      <c r="S432" s="3">
        <v>6108396546350.4375</v>
      </c>
      <c r="T432" s="3">
        <v>6650868378854.7832</v>
      </c>
      <c r="U432" s="3">
        <v>7409000000000</v>
      </c>
      <c r="V432" s="3">
        <v>7576141756548.5361</v>
      </c>
      <c r="W432" s="3">
        <v>8041476375866.4873</v>
      </c>
      <c r="X432" s="3">
        <v>7413650150560.6348</v>
      </c>
      <c r="Y432" s="3">
        <v>8193490828979.9121</v>
      </c>
      <c r="Z432" s="3">
        <v>8431125070168.6992</v>
      </c>
      <c r="AA432" s="3">
        <v>9524589953496.2852</v>
      </c>
      <c r="AB432" s="3">
        <v>10012981343095.324</v>
      </c>
      <c r="AC432" s="3">
        <v>11106998719712.557</v>
      </c>
      <c r="AD432" s="3">
        <v>13477378540039.102</v>
      </c>
      <c r="AE432" t="s">
        <v>5637</v>
      </c>
      <c r="AF432" t="s">
        <v>718</v>
      </c>
    </row>
    <row r="433" spans="1:32" x14ac:dyDescent="0.3">
      <c r="A433" t="s">
        <v>1826</v>
      </c>
      <c r="B433" s="1" t="s">
        <v>1205</v>
      </c>
      <c r="C433" s="5" t="s">
        <v>2499</v>
      </c>
      <c r="D433" s="2" t="s">
        <v>4016</v>
      </c>
      <c r="E433" s="1" t="s">
        <v>1977</v>
      </c>
      <c r="F433" s="3">
        <v>27.790058563560272</v>
      </c>
      <c r="G433" s="3">
        <v>27.469814629524127</v>
      </c>
      <c r="H433" s="3">
        <v>31.361161437555978</v>
      </c>
      <c r="I433" s="3">
        <v>28.74101340724901</v>
      </c>
      <c r="J433" s="3">
        <v>30.141288867863064</v>
      </c>
      <c r="K433" s="3">
        <v>31.878980225236724</v>
      </c>
      <c r="L433" s="3">
        <v>32.840930233420927</v>
      </c>
      <c r="M433" s="3">
        <v>30.490952724143401</v>
      </c>
      <c r="N433" s="3">
        <v>31.013669071374395</v>
      </c>
      <c r="O433" s="3">
        <v>35.412741304810297</v>
      </c>
      <c r="P433" s="3">
        <v>33.499574590832133</v>
      </c>
      <c r="Q433" s="3">
        <v>35.281376351963388</v>
      </c>
      <c r="R433" s="3">
        <v>34.982490398342257</v>
      </c>
      <c r="S433" s="3">
        <v>29.160402657565538</v>
      </c>
      <c r="T433" s="3">
        <v>28.156958764553657</v>
      </c>
      <c r="U433" s="3">
        <v>27.353243792347641</v>
      </c>
      <c r="V433" s="3">
        <v>24.941862453315057</v>
      </c>
      <c r="W433" s="3">
        <v>25.498786602114343</v>
      </c>
      <c r="X433" s="3">
        <v>22.69419991685869</v>
      </c>
      <c r="Y433" s="3">
        <v>22.660488765045191</v>
      </c>
      <c r="Z433" s="3">
        <v>20.99346848429969</v>
      </c>
      <c r="AA433" s="3">
        <v>22.296267836940199</v>
      </c>
      <c r="AB433" s="3">
        <v>24.267360326229465</v>
      </c>
      <c r="AC433" s="3">
        <v>24.251190628616719</v>
      </c>
      <c r="AD433" s="3">
        <v>27.598108723343056</v>
      </c>
      <c r="AE433" t="s">
        <v>5638</v>
      </c>
      <c r="AF433" t="s">
        <v>718</v>
      </c>
    </row>
    <row r="434" spans="1:32" x14ac:dyDescent="0.3">
      <c r="A434" t="s">
        <v>1826</v>
      </c>
      <c r="B434" s="1" t="s">
        <v>1205</v>
      </c>
      <c r="C434" s="5" t="s">
        <v>2500</v>
      </c>
      <c r="D434" s="2" t="s">
        <v>4017</v>
      </c>
      <c r="E434" s="1" t="s">
        <v>2038</v>
      </c>
      <c r="F434" s="3">
        <v>-7.0003592048323782</v>
      </c>
      <c r="G434" s="3">
        <v>-6.3293806113488387</v>
      </c>
      <c r="H434" s="3">
        <v>3.5430137836121673</v>
      </c>
      <c r="I434" s="3">
        <v>-13.057268170666049</v>
      </c>
      <c r="J434" s="3">
        <v>12.351060443125789</v>
      </c>
      <c r="K434" s="3">
        <v>5.6216034801838077</v>
      </c>
      <c r="L434" s="3">
        <v>5.72222556936606</v>
      </c>
      <c r="M434" s="3">
        <v>-8.4234499317807092</v>
      </c>
      <c r="N434" s="3">
        <v>-5.6257935713530287</v>
      </c>
      <c r="O434" s="3">
        <v>18.824269971974687</v>
      </c>
      <c r="P434" s="3">
        <v>-9.0545277522704737</v>
      </c>
      <c r="Q434" s="3">
        <v>0.32609992170846169</v>
      </c>
      <c r="R434" s="3">
        <v>10.464954522150478</v>
      </c>
      <c r="S434" s="3">
        <v>-12.837944416188321</v>
      </c>
      <c r="T434" s="3">
        <v>5.7483728109845913</v>
      </c>
      <c r="U434" s="3">
        <v>1.6628400613125649</v>
      </c>
      <c r="V434" s="3">
        <v>-0.83682008368201366</v>
      </c>
      <c r="W434" s="3">
        <v>17.540181690485923</v>
      </c>
      <c r="X434" s="3">
        <v>-3.7176077170116457</v>
      </c>
      <c r="Y434" s="3">
        <v>10.283475668382465</v>
      </c>
      <c r="Z434" s="3">
        <v>-4.6055939497888687</v>
      </c>
      <c r="AA434" s="3">
        <v>16.935372899223708</v>
      </c>
      <c r="AB434" s="3">
        <v>11.944704968416886</v>
      </c>
      <c r="AC434" s="3">
        <v>4.7662093023925109</v>
      </c>
      <c r="AD434" s="3">
        <v>0.19999999993164863</v>
      </c>
      <c r="AE434" t="s">
        <v>5639</v>
      </c>
      <c r="AF434" t="s">
        <v>718</v>
      </c>
    </row>
    <row r="435" spans="1:32" x14ac:dyDescent="0.3">
      <c r="A435" t="s">
        <v>1826</v>
      </c>
      <c r="B435" s="1" t="s">
        <v>1205</v>
      </c>
      <c r="C435" s="5" t="s">
        <v>2501</v>
      </c>
      <c r="D435" s="2" t="s">
        <v>4018</v>
      </c>
      <c r="E435" s="1" t="s">
        <v>1558</v>
      </c>
      <c r="F435" s="3"/>
      <c r="G435" s="3"/>
      <c r="H435" s="3"/>
      <c r="I435" s="3"/>
      <c r="J435" s="3"/>
      <c r="K435" s="3">
        <v>8526829195.0972404</v>
      </c>
      <c r="L435" s="3">
        <v>9323637218.1730995</v>
      </c>
      <c r="M435" s="3">
        <v>9607218874.0000896</v>
      </c>
      <c r="N435" s="3">
        <v>11452802998.0292</v>
      </c>
      <c r="O435" s="3">
        <v>12389416637.974501</v>
      </c>
      <c r="P435" s="3">
        <v>12605548916.437201</v>
      </c>
      <c r="Q435" s="3">
        <v>13669676040.3552</v>
      </c>
      <c r="R435" s="3">
        <v>13107468405.006901</v>
      </c>
      <c r="S435" s="3">
        <v>12988034912.6686</v>
      </c>
      <c r="T435" s="3">
        <v>13888903173.237301</v>
      </c>
      <c r="U435" s="3">
        <v>12501412278.3909</v>
      </c>
      <c r="V435" s="3">
        <v>11796872426.2873</v>
      </c>
      <c r="W435" s="3">
        <v>12855832030.3664</v>
      </c>
      <c r="X435" s="3">
        <v>13084415386.533899</v>
      </c>
      <c r="Y435" s="3">
        <v>13790700196.5208</v>
      </c>
      <c r="Z435" s="3">
        <v>13231734044.686501</v>
      </c>
      <c r="AA435" s="3">
        <v>16230487075.330299</v>
      </c>
      <c r="AB435" s="3">
        <v>17210592597.506901</v>
      </c>
      <c r="AC435" s="3"/>
      <c r="AD435" s="3"/>
      <c r="AE435" t="s">
        <v>5640</v>
      </c>
      <c r="AF435" t="s">
        <v>613</v>
      </c>
    </row>
    <row r="436" spans="1:32" x14ac:dyDescent="0.3">
      <c r="A436" t="s">
        <v>1826</v>
      </c>
      <c r="B436" s="1" t="s">
        <v>1205</v>
      </c>
      <c r="C436" s="5" t="s">
        <v>2502</v>
      </c>
      <c r="D436" s="2" t="s">
        <v>4019</v>
      </c>
      <c r="E436" s="1" t="s">
        <v>1522</v>
      </c>
      <c r="F436" s="3">
        <v>12213417398.246412</v>
      </c>
      <c r="G436" s="3">
        <v>11440383725.458698</v>
      </c>
      <c r="H436" s="3">
        <v>11845718097.749823</v>
      </c>
      <c r="I436" s="3">
        <v>10298990918.985508</v>
      </c>
      <c r="J436" s="3">
        <v>11571025512.421444</v>
      </c>
      <c r="K436" s="3">
        <v>12221502685.320684</v>
      </c>
      <c r="L436" s="3">
        <v>12920844636.940865</v>
      </c>
      <c r="M436" s="3">
        <v>11832463758.184977</v>
      </c>
      <c r="N436" s="3">
        <v>11166793772.744329</v>
      </c>
      <c r="O436" s="3">
        <v>13268861179.739378</v>
      </c>
      <c r="P436" s="3">
        <v>12067428461.809631</v>
      </c>
      <c r="Q436" s="3">
        <v>12106780336.575817</v>
      </c>
      <c r="R436" s="3">
        <v>13373749392.895134</v>
      </c>
      <c r="S436" s="3">
        <v>11656834879.474934</v>
      </c>
      <c r="T436" s="3">
        <v>12326913206.308039</v>
      </c>
      <c r="U436" s="3">
        <v>12531890057.425758</v>
      </c>
      <c r="V436" s="3">
        <v>12427020684.56027</v>
      </c>
      <c r="W436" s="3">
        <v>14606742691.346409</v>
      </c>
      <c r="X436" s="3">
        <v>14063721297.848875</v>
      </c>
      <c r="Y436" s="3">
        <v>15509960655.582289</v>
      </c>
      <c r="Z436" s="3">
        <v>14795634846.014156</v>
      </c>
      <c r="AA436" s="3">
        <v>17301330779.994133</v>
      </c>
      <c r="AB436" s="3">
        <v>19367923697.274334</v>
      </c>
      <c r="AC436" s="3">
        <v>20291039478.214108</v>
      </c>
      <c r="AD436" s="3">
        <v>20331621557.15667</v>
      </c>
      <c r="AE436" t="s">
        <v>5641</v>
      </c>
      <c r="AF436" t="s">
        <v>718</v>
      </c>
    </row>
    <row r="437" spans="1:32" x14ac:dyDescent="0.3">
      <c r="A437" t="s">
        <v>1826</v>
      </c>
      <c r="B437" s="1" t="s">
        <v>1205</v>
      </c>
      <c r="C437" s="5" t="s">
        <v>2503</v>
      </c>
      <c r="D437" s="2" t="s">
        <v>4020</v>
      </c>
      <c r="E437" s="1" t="s">
        <v>876</v>
      </c>
      <c r="F437" s="3">
        <v>7220715238400</v>
      </c>
      <c r="G437" s="3">
        <v>6763688688100</v>
      </c>
      <c r="H437" s="3">
        <v>7003327110600</v>
      </c>
      <c r="I437" s="3">
        <v>6088883908900</v>
      </c>
      <c r="J437" s="3">
        <v>6840925640800</v>
      </c>
      <c r="K437" s="3">
        <v>7225495354700</v>
      </c>
      <c r="L437" s="3">
        <v>7638954497400</v>
      </c>
      <c r="M437" s="3">
        <v>6995490990000</v>
      </c>
      <c r="N437" s="3">
        <v>6601939107600</v>
      </c>
      <c r="O437" s="3">
        <v>7844705948600</v>
      </c>
      <c r="P437" s="3">
        <v>7134404871400</v>
      </c>
      <c r="Q437" s="3">
        <v>7157670160100</v>
      </c>
      <c r="R437" s="3">
        <v>7906717087200</v>
      </c>
      <c r="S437" s="3">
        <v>6891657142400</v>
      </c>
      <c r="T437" s="3">
        <v>7287815287800</v>
      </c>
      <c r="U437" s="3">
        <v>7409000000000</v>
      </c>
      <c r="V437" s="3">
        <v>7347000000000</v>
      </c>
      <c r="W437" s="3">
        <v>8635677148800.001</v>
      </c>
      <c r="X437" s="3">
        <v>8314636548700</v>
      </c>
      <c r="Y437" s="3">
        <v>9169670175100</v>
      </c>
      <c r="Z437" s="3">
        <v>8747352400300</v>
      </c>
      <c r="AA437" s="3">
        <v>10228749148100</v>
      </c>
      <c r="AB437" s="3">
        <v>11450543055800</v>
      </c>
      <c r="AC437" s="3">
        <v>11996299904100</v>
      </c>
      <c r="AD437" s="3">
        <v>12020292503900</v>
      </c>
      <c r="AE437" t="s">
        <v>5642</v>
      </c>
      <c r="AF437" t="s">
        <v>718</v>
      </c>
    </row>
    <row r="438" spans="1:32" x14ac:dyDescent="0.3">
      <c r="A438" t="s">
        <v>1826</v>
      </c>
      <c r="B438" s="1" t="s">
        <v>1205</v>
      </c>
      <c r="C438" s="5" t="s">
        <v>2504</v>
      </c>
      <c r="D438" s="2" t="s">
        <v>4021</v>
      </c>
      <c r="E438" s="1" t="s">
        <v>704</v>
      </c>
      <c r="F438" s="3">
        <v>3271861658200</v>
      </c>
      <c r="G438" s="3">
        <v>3382083178600</v>
      </c>
      <c r="H438" s="3">
        <v>3927848896900</v>
      </c>
      <c r="I438" s="3">
        <v>3541995828400</v>
      </c>
      <c r="J438" s="3">
        <v>3736923236400</v>
      </c>
      <c r="K438" s="3">
        <v>4040235607700</v>
      </c>
      <c r="L438" s="3">
        <v>4337517790300.0005</v>
      </c>
      <c r="M438" s="3">
        <v>4197247118000</v>
      </c>
      <c r="N438" s="3">
        <v>4713735484100</v>
      </c>
      <c r="O438" s="3">
        <v>5643638420200</v>
      </c>
      <c r="P438" s="3">
        <v>5790831845100</v>
      </c>
      <c r="Q438" s="3">
        <v>6100806486400</v>
      </c>
      <c r="R438" s="3">
        <v>6483784491800</v>
      </c>
      <c r="S438" s="3">
        <v>6158462487200</v>
      </c>
      <c r="T438" s="3">
        <v>6790498876400</v>
      </c>
      <c r="U438" s="3">
        <v>7409000000000</v>
      </c>
      <c r="V438" s="3">
        <v>7155000000000</v>
      </c>
      <c r="W438" s="3">
        <v>7775000000000</v>
      </c>
      <c r="X438" s="3">
        <v>7377000000000</v>
      </c>
      <c r="Y438" s="3">
        <v>8017055000000</v>
      </c>
      <c r="Z438" s="3">
        <v>7616000000000</v>
      </c>
      <c r="AA438" s="3">
        <v>9000303000000</v>
      </c>
      <c r="AB438" s="3">
        <v>10735589000000</v>
      </c>
      <c r="AC438" s="3">
        <v>11711846850300</v>
      </c>
      <c r="AD438" s="3">
        <v>14481323861500</v>
      </c>
      <c r="AE438" t="s">
        <v>5643</v>
      </c>
      <c r="AF438" t="s">
        <v>718</v>
      </c>
    </row>
    <row r="439" spans="1:32" x14ac:dyDescent="0.3">
      <c r="A439" t="s">
        <v>1826</v>
      </c>
      <c r="B439" s="1" t="s">
        <v>1205</v>
      </c>
      <c r="C439" s="5" t="s">
        <v>2505</v>
      </c>
      <c r="D439" s="2" t="s">
        <v>4022</v>
      </c>
      <c r="E439" s="1" t="s">
        <v>1360</v>
      </c>
      <c r="F439" s="3">
        <v>4606906376.9471006</v>
      </c>
      <c r="G439" s="3">
        <v>4617823364.170537</v>
      </c>
      <c r="H439" s="3">
        <v>5662064299.8061218</v>
      </c>
      <c r="I439" s="3">
        <v>6107969564.2587662</v>
      </c>
      <c r="J439" s="3">
        <v>7086390530.6188879</v>
      </c>
      <c r="K439" s="3">
        <v>7662724560.1413059</v>
      </c>
      <c r="L439" s="3">
        <v>8302651291.8465681</v>
      </c>
      <c r="M439" s="3">
        <v>8769225735.993803</v>
      </c>
      <c r="N439" s="3">
        <v>10568912669.898163</v>
      </c>
      <c r="O439" s="3">
        <v>12000249512.738773</v>
      </c>
      <c r="P439" s="3">
        <v>11703514551.064054</v>
      </c>
      <c r="Q439" s="3">
        <v>12946046205.342146</v>
      </c>
      <c r="R439" s="3">
        <v>12699449618.427811</v>
      </c>
      <c r="S439" s="3">
        <v>12469056844.635298</v>
      </c>
      <c r="T439" s="3">
        <v>13752704950.020691</v>
      </c>
      <c r="U439" s="3">
        <v>12531890057.425758</v>
      </c>
      <c r="V439" s="3">
        <v>12073797174.534029</v>
      </c>
      <c r="W439" s="3">
        <v>13390010535.484175</v>
      </c>
      <c r="X439" s="3">
        <v>13281208105.210386</v>
      </c>
      <c r="Y439" s="3">
        <v>13683059068.903353</v>
      </c>
      <c r="Z439" s="3">
        <v>13231732415.036741</v>
      </c>
      <c r="AA439" s="3">
        <v>16230487158.285284</v>
      </c>
      <c r="AB439" s="3">
        <v>17211097453.582283</v>
      </c>
      <c r="AC439" s="3">
        <v>19308326613.875401</v>
      </c>
      <c r="AD439" s="3">
        <v>23882965562.035</v>
      </c>
      <c r="AE439" t="s">
        <v>5640</v>
      </c>
      <c r="AF439" t="s">
        <v>718</v>
      </c>
    </row>
    <row r="440" spans="1:32" x14ac:dyDescent="0.3">
      <c r="A440" t="s">
        <v>1826</v>
      </c>
      <c r="B440" s="1" t="s">
        <v>1205</v>
      </c>
      <c r="C440" s="5" t="s">
        <v>2506</v>
      </c>
      <c r="D440" s="2" t="s">
        <v>4023</v>
      </c>
      <c r="E440" s="1" t="s">
        <v>1891</v>
      </c>
      <c r="F440" s="3"/>
      <c r="G440" s="3"/>
      <c r="H440" s="3"/>
      <c r="I440" s="3"/>
      <c r="J440" s="3"/>
      <c r="K440" s="3">
        <v>8720802410.5926628</v>
      </c>
      <c r="L440" s="3">
        <v>9519984784.4330463</v>
      </c>
      <c r="M440" s="3">
        <v>9825571647.6673737</v>
      </c>
      <c r="N440" s="3">
        <v>11690362430.455507</v>
      </c>
      <c r="O440" s="3">
        <v>12612200568.090279</v>
      </c>
      <c r="P440" s="3">
        <v>12823052814.043348</v>
      </c>
      <c r="Q440" s="3">
        <v>13877555585.21122</v>
      </c>
      <c r="R440" s="3">
        <v>13315176187.848873</v>
      </c>
      <c r="S440" s="3">
        <v>13195328625.36425</v>
      </c>
      <c r="T440" s="3">
        <v>14125247026.663172</v>
      </c>
      <c r="U440" s="3">
        <v>12727230898.786207</v>
      </c>
      <c r="V440" s="3">
        <v>12078571647.078934</v>
      </c>
      <c r="W440" s="3">
        <v>13152925227.203333</v>
      </c>
      <c r="X440" s="3">
        <v>13434460937.532089</v>
      </c>
      <c r="Y440" s="3">
        <v>14172573847.923084</v>
      </c>
      <c r="Z440" s="3">
        <v>13631340134.892654</v>
      </c>
      <c r="AA440" s="3">
        <v>16773497185.315693</v>
      </c>
      <c r="AB440" s="3">
        <v>17856879508.924095</v>
      </c>
      <c r="AC440" s="3"/>
      <c r="AD440" s="3"/>
      <c r="AE440" t="s">
        <v>5644</v>
      </c>
      <c r="AF440" t="s">
        <v>613</v>
      </c>
    </row>
    <row r="441" spans="1:32" x14ac:dyDescent="0.3">
      <c r="A441" t="s">
        <v>1826</v>
      </c>
      <c r="B441" s="1" t="s">
        <v>1205</v>
      </c>
      <c r="C441" s="5" t="s">
        <v>2507</v>
      </c>
      <c r="D441" s="2" t="s">
        <v>4024</v>
      </c>
      <c r="E441" s="1" t="s">
        <v>1850</v>
      </c>
      <c r="F441" s="3">
        <v>0.6161254976053393</v>
      </c>
      <c r="G441" s="3">
        <v>1.8255245410035825</v>
      </c>
      <c r="H441" s="3">
        <v>6.8203746475731259</v>
      </c>
      <c r="I441" s="3">
        <v>4.2219661326210067</v>
      </c>
      <c r="J441" s="3">
        <v>2.1642814321315744</v>
      </c>
      <c r="K441" s="3">
        <v>0.93702441019284122</v>
      </c>
      <c r="L441" s="3">
        <v>1.9914834053898596</v>
      </c>
      <c r="M441" s="3">
        <v>-0.44903690015583797</v>
      </c>
      <c r="N441" s="3">
        <v>8.671684579885483E-2</v>
      </c>
      <c r="O441" s="3">
        <v>4.1525788627021143</v>
      </c>
      <c r="P441" s="3">
        <v>-0.47379089959272852</v>
      </c>
      <c r="Q441" s="3">
        <v>5.8468496427922725</v>
      </c>
      <c r="R441" s="3">
        <v>-0.33610852244037581</v>
      </c>
      <c r="S441" s="3">
        <v>-3.187393759236791E-2</v>
      </c>
      <c r="T441" s="3">
        <v>2.633499968072873</v>
      </c>
      <c r="U441" s="3">
        <v>1.9936228435507797</v>
      </c>
      <c r="V441" s="3">
        <v>2.3181465452766616</v>
      </c>
      <c r="W441" s="3">
        <v>2.335065731280439</v>
      </c>
      <c r="X441" s="3">
        <v>-0.64910887657003979</v>
      </c>
      <c r="Y441" s="3">
        <v>0.6605669470109149</v>
      </c>
      <c r="Z441" s="3">
        <v>4.4305149546763255E-2</v>
      </c>
      <c r="AA441" s="3">
        <v>-0.52149710236310443</v>
      </c>
      <c r="AB441" s="3">
        <v>-4.3316703888893917</v>
      </c>
      <c r="AC441" s="3">
        <v>-3.5010736159149145</v>
      </c>
      <c r="AD441" s="3">
        <v>0.52928946259111753</v>
      </c>
      <c r="AE441" t="s">
        <v>5645</v>
      </c>
      <c r="AF441" t="s">
        <v>718</v>
      </c>
    </row>
    <row r="442" spans="1:32" x14ac:dyDescent="0.3">
      <c r="A442" t="s">
        <v>1826</v>
      </c>
      <c r="B442" s="1" t="s">
        <v>1205</v>
      </c>
      <c r="C442" s="5" t="s">
        <v>2508</v>
      </c>
      <c r="D442" s="2" t="s">
        <v>4025</v>
      </c>
      <c r="E442" s="1" t="s">
        <v>737</v>
      </c>
      <c r="F442" s="3"/>
      <c r="G442" s="3"/>
      <c r="H442" s="3"/>
      <c r="I442" s="3"/>
      <c r="J442" s="3"/>
      <c r="K442" s="3"/>
      <c r="L442" s="3"/>
      <c r="M442" s="3"/>
      <c r="N442" s="3"/>
      <c r="O442" s="3"/>
      <c r="P442" s="3"/>
      <c r="Q442" s="3"/>
      <c r="R442" s="3"/>
      <c r="S442" s="3"/>
      <c r="T442" s="3"/>
      <c r="U442" s="3">
        <v>540000000000</v>
      </c>
      <c r="V442" s="3">
        <v>475000000000</v>
      </c>
      <c r="W442" s="3">
        <v>1330603497000.001</v>
      </c>
      <c r="X442" s="3">
        <v>688938115400</v>
      </c>
      <c r="Y442" s="3">
        <v>1215024557200</v>
      </c>
      <c r="Z442" s="3">
        <v>334020590800.00098</v>
      </c>
      <c r="AA442" s="3">
        <v>481384419100</v>
      </c>
      <c r="AB442" s="3">
        <v>-349733411500</v>
      </c>
      <c r="AC442" s="3">
        <v>-714183805900</v>
      </c>
      <c r="AD442" s="3">
        <v>-1198610554500</v>
      </c>
      <c r="AE442" t="s">
        <v>5646</v>
      </c>
      <c r="AF442" t="s">
        <v>718</v>
      </c>
    </row>
    <row r="443" spans="1:32" x14ac:dyDescent="0.3">
      <c r="A443" t="s">
        <v>1826</v>
      </c>
      <c r="B443" s="1" t="s">
        <v>1205</v>
      </c>
      <c r="C443" s="5" t="s">
        <v>2509</v>
      </c>
      <c r="D443" s="2" t="s">
        <v>4026</v>
      </c>
      <c r="E443" s="1" t="s">
        <v>594</v>
      </c>
      <c r="F443" s="3">
        <v>72539515800</v>
      </c>
      <c r="G443" s="3">
        <v>224758555000</v>
      </c>
      <c r="H443" s="3">
        <v>854222222900</v>
      </c>
      <c r="I443" s="3">
        <v>520308251400</v>
      </c>
      <c r="J443" s="3">
        <v>268328060200</v>
      </c>
      <c r="K443" s="3">
        <v>118755347900</v>
      </c>
      <c r="L443" s="3">
        <v>263028319800.00049</v>
      </c>
      <c r="M443" s="3">
        <v>-61812395700</v>
      </c>
      <c r="N443" s="3">
        <v>13180003700</v>
      </c>
      <c r="O443" s="3">
        <v>661785920800</v>
      </c>
      <c r="P443" s="3">
        <v>-81900843900</v>
      </c>
      <c r="Q443" s="3">
        <v>1011029101300</v>
      </c>
      <c r="R443" s="3">
        <v>-62295599900</v>
      </c>
      <c r="S443" s="3">
        <v>-6731541100</v>
      </c>
      <c r="T443" s="3">
        <v>635110443700</v>
      </c>
      <c r="U443" s="3">
        <v>540000000000</v>
      </c>
      <c r="V443" s="3">
        <v>665000000000</v>
      </c>
      <c r="W443" s="3">
        <v>712000000000</v>
      </c>
      <c r="X443" s="3">
        <v>-211000000000</v>
      </c>
      <c r="Y443" s="3">
        <v>233702000000</v>
      </c>
      <c r="Z443" s="3">
        <v>16073000000</v>
      </c>
      <c r="AA443" s="3">
        <v>-210512000000</v>
      </c>
      <c r="AB443" s="3">
        <v>-1916279000000</v>
      </c>
      <c r="AC443" s="3">
        <v>-1690805149700</v>
      </c>
      <c r="AD443" s="3">
        <v>277729615500</v>
      </c>
      <c r="AE443" t="s">
        <v>5647</v>
      </c>
      <c r="AF443" t="s">
        <v>718</v>
      </c>
    </row>
    <row r="444" spans="1:32" x14ac:dyDescent="0.3">
      <c r="A444" t="s">
        <v>1826</v>
      </c>
      <c r="B444" s="1" t="s">
        <v>1205</v>
      </c>
      <c r="C444" s="5" t="s">
        <v>2510</v>
      </c>
      <c r="D444" s="2" t="s">
        <v>4027</v>
      </c>
      <c r="E444" s="1" t="s">
        <v>1234</v>
      </c>
      <c r="F444" s="3">
        <v>102138413.18203047</v>
      </c>
      <c r="G444" s="3">
        <v>306880479.20981097</v>
      </c>
      <c r="H444" s="3">
        <v>1231376582.7907445</v>
      </c>
      <c r="I444" s="3">
        <v>897241870.84079242</v>
      </c>
      <c r="J444" s="3">
        <v>508835024.05910295</v>
      </c>
      <c r="K444" s="3">
        <v>225231795.70695591</v>
      </c>
      <c r="L444" s="3">
        <v>503475149.78806889</v>
      </c>
      <c r="M444" s="3">
        <v>-129143420.89873409</v>
      </c>
      <c r="N444" s="3">
        <v>29551575.086065967</v>
      </c>
      <c r="O444" s="3">
        <v>1407176644.2712936</v>
      </c>
      <c r="P444" s="3">
        <v>-165525047.86322683</v>
      </c>
      <c r="Q444" s="3">
        <v>2145426098.9187479</v>
      </c>
      <c r="R444" s="3">
        <v>-122015133.8127155</v>
      </c>
      <c r="S444" s="3">
        <v>-13629370.772713931</v>
      </c>
      <c r="T444" s="3">
        <v>1286280537.2428596</v>
      </c>
      <c r="U444" s="3">
        <v>913378408.82843971</v>
      </c>
      <c r="V444" s="3">
        <v>1122162840.1209126</v>
      </c>
      <c r="W444" s="3">
        <v>1226197749.358808</v>
      </c>
      <c r="X444" s="3">
        <v>-379874598.10212708</v>
      </c>
      <c r="Y444" s="3">
        <v>398869444.0191381</v>
      </c>
      <c r="Z444" s="3">
        <v>27924584.441555351</v>
      </c>
      <c r="AA444" s="3">
        <v>-379621920.80254984</v>
      </c>
      <c r="AB444" s="3">
        <v>-3072143001.8654032</v>
      </c>
      <c r="AC444" s="3">
        <v>-2787486763.4555726</v>
      </c>
      <c r="AD444" s="3">
        <v>458038705.9900105</v>
      </c>
      <c r="AE444" t="s">
        <v>5648</v>
      </c>
      <c r="AF444" t="s">
        <v>718</v>
      </c>
    </row>
    <row r="445" spans="1:32" x14ac:dyDescent="0.3">
      <c r="A445" t="s">
        <v>1826</v>
      </c>
      <c r="B445" s="1" t="s">
        <v>1205</v>
      </c>
      <c r="C445" s="5" t="s">
        <v>2511</v>
      </c>
      <c r="D445" s="2" t="s">
        <v>4028</v>
      </c>
      <c r="E445" s="1" t="s">
        <v>831</v>
      </c>
      <c r="F445" s="3">
        <v>123.82774074742069</v>
      </c>
      <c r="G445" s="3">
        <v>117.13573611606537</v>
      </c>
      <c r="H445" s="3">
        <v>107.83761072874265</v>
      </c>
      <c r="I445" s="3">
        <v>89.526383406007099</v>
      </c>
      <c r="J445" s="3">
        <v>89.108851356342527</v>
      </c>
      <c r="K445" s="3">
        <v>73.06040164999915</v>
      </c>
      <c r="L445" s="3">
        <v>79.759345088013589</v>
      </c>
      <c r="M445" s="3">
        <v>73.540871351632106</v>
      </c>
      <c r="N445" s="3">
        <v>55.366156473552586</v>
      </c>
      <c r="O445" s="3">
        <v>63.557686673010473</v>
      </c>
      <c r="P445" s="3">
        <v>48.773240532077821</v>
      </c>
      <c r="Q445" s="3">
        <v>52.36803351509748</v>
      </c>
      <c r="R445" s="3">
        <v>36.808468934815124</v>
      </c>
      <c r="S445" s="3">
        <v>33.003045012468448</v>
      </c>
      <c r="T445" s="3">
        <v>20.457036276708397</v>
      </c>
      <c r="U445" s="3">
        <v>25.414645533673397</v>
      </c>
      <c r="V445" s="3">
        <v>24.20624614865395</v>
      </c>
      <c r="W445" s="3">
        <v>26.384713356764024</v>
      </c>
      <c r="X445" s="3">
        <v>28.470044620030286</v>
      </c>
      <c r="Y445" s="3">
        <v>33.784207320907868</v>
      </c>
      <c r="Z445" s="3">
        <v>41.036417405426228</v>
      </c>
      <c r="AA445" s="3">
        <v>42.189618286217183</v>
      </c>
      <c r="AB445" s="3">
        <v>46.8327844508024</v>
      </c>
      <c r="AC445" s="3">
        <v>48.280224433203387</v>
      </c>
      <c r="AD445" s="3"/>
      <c r="AE445" t="s">
        <v>5649</v>
      </c>
      <c r="AF445" t="s">
        <v>252</v>
      </c>
    </row>
    <row r="446" spans="1:32" x14ac:dyDescent="0.3">
      <c r="A446" t="s">
        <v>1826</v>
      </c>
      <c r="B446" s="1" t="s">
        <v>1205</v>
      </c>
      <c r="C446" s="5" t="s">
        <v>2512</v>
      </c>
      <c r="D446" s="2" t="s">
        <v>4029</v>
      </c>
      <c r="E446" s="1" t="s">
        <v>369</v>
      </c>
      <c r="F446" s="3">
        <v>10545721458.9</v>
      </c>
      <c r="G446" s="3">
        <v>9962980807.6000004</v>
      </c>
      <c r="H446" s="3">
        <v>10360133989.200001</v>
      </c>
      <c r="I446" s="3">
        <v>10839865525.6</v>
      </c>
      <c r="J446" s="3">
        <v>12100298224.700001</v>
      </c>
      <c r="K446" s="3">
        <v>10875213021.299999</v>
      </c>
      <c r="L446" s="3">
        <v>11615188445.6</v>
      </c>
      <c r="M446" s="3">
        <v>12248638269.700001</v>
      </c>
      <c r="N446" s="3">
        <v>11377061413.799999</v>
      </c>
      <c r="O446" s="3">
        <v>13574239907.4</v>
      </c>
      <c r="P446" s="3">
        <v>10431051309.5</v>
      </c>
      <c r="Q446" s="3">
        <v>11229100599.5</v>
      </c>
      <c r="R446" s="3">
        <v>7541193750.8999996</v>
      </c>
      <c r="S446" s="3">
        <v>8437357011.6999998</v>
      </c>
      <c r="T446" s="3">
        <v>8313649862.6999998</v>
      </c>
      <c r="U446" s="3">
        <v>9879423119.1000004</v>
      </c>
      <c r="V446" s="3">
        <v>9693140788.3999996</v>
      </c>
      <c r="W446" s="3">
        <v>11683361806.1</v>
      </c>
      <c r="X446" s="3">
        <v>14245692180.5</v>
      </c>
      <c r="Y446" s="3">
        <v>17026910639.1</v>
      </c>
      <c r="Z446" s="3">
        <v>21003327648.299999</v>
      </c>
      <c r="AA446" s="3">
        <v>23932785569.900002</v>
      </c>
      <c r="AB446" s="3">
        <v>26798259502.900002</v>
      </c>
      <c r="AC446" s="3">
        <v>29561955090.5</v>
      </c>
      <c r="AD446" s="3"/>
      <c r="AE446" t="s">
        <v>5650</v>
      </c>
      <c r="AF446" t="s">
        <v>252</v>
      </c>
    </row>
    <row r="447" spans="1:32" x14ac:dyDescent="0.3">
      <c r="A447" t="s">
        <v>1826</v>
      </c>
      <c r="B447" s="1" t="s">
        <v>1205</v>
      </c>
      <c r="C447" s="5" t="s">
        <v>2513</v>
      </c>
      <c r="D447" s="2" t="s">
        <v>4030</v>
      </c>
      <c r="E447" s="1" t="s">
        <v>1222</v>
      </c>
      <c r="F447" s="3">
        <v>1482275000</v>
      </c>
      <c r="G447" s="3">
        <v>1372275000</v>
      </c>
      <c r="H447" s="3">
        <v>1258714000</v>
      </c>
      <c r="I447" s="3">
        <v>1143714000</v>
      </c>
      <c r="J447" s="3">
        <v>1009714000</v>
      </c>
      <c r="K447" s="3">
        <v>900395000</v>
      </c>
      <c r="L447" s="3">
        <v>782002000</v>
      </c>
      <c r="M447" s="3">
        <v>590776000</v>
      </c>
      <c r="N447" s="3">
        <v>737500000</v>
      </c>
      <c r="O447" s="3">
        <v>848000000</v>
      </c>
      <c r="P447" s="3">
        <v>1017600000</v>
      </c>
      <c r="Q447" s="3">
        <v>1332000000</v>
      </c>
      <c r="R447" s="3">
        <v>2490234000</v>
      </c>
      <c r="S447" s="3">
        <v>2066894000</v>
      </c>
      <c r="T447" s="3">
        <v>1693359000</v>
      </c>
      <c r="U447" s="3">
        <v>1369629000</v>
      </c>
      <c r="V447" s="3">
        <v>1324257368.5</v>
      </c>
      <c r="W447" s="3">
        <v>1238067509.3</v>
      </c>
      <c r="X447" s="3">
        <v>1011319701.7</v>
      </c>
      <c r="Y447" s="3">
        <v>1278811004.4000001</v>
      </c>
      <c r="Z447" s="3">
        <v>990722669.10000002</v>
      </c>
      <c r="AA447" s="3">
        <v>748874699</v>
      </c>
      <c r="AB447" s="3">
        <v>523587840.69999999</v>
      </c>
      <c r="AC447" s="3">
        <v>393124666.39999998</v>
      </c>
      <c r="AD447" s="3"/>
      <c r="AE447" t="s">
        <v>5651</v>
      </c>
      <c r="AF447" t="s">
        <v>252</v>
      </c>
    </row>
    <row r="448" spans="1:32" x14ac:dyDescent="0.3">
      <c r="A448" t="s">
        <v>1826</v>
      </c>
      <c r="B448" s="1" t="s">
        <v>1205</v>
      </c>
      <c r="C448" s="5" t="s">
        <v>2514</v>
      </c>
      <c r="D448" s="2" t="s">
        <v>4031</v>
      </c>
      <c r="E448" s="1" t="s">
        <v>1004</v>
      </c>
      <c r="F448" s="3">
        <v>9063446458.8999996</v>
      </c>
      <c r="G448" s="3">
        <v>8590705807.6000004</v>
      </c>
      <c r="H448" s="3">
        <v>9101419989.2000008</v>
      </c>
      <c r="I448" s="3">
        <v>9696151525.6000004</v>
      </c>
      <c r="J448" s="3">
        <v>11090584224.700001</v>
      </c>
      <c r="K448" s="3">
        <v>9974818021.2999992</v>
      </c>
      <c r="L448" s="3">
        <v>10833186445.6</v>
      </c>
      <c r="M448" s="3">
        <v>11657862269.700001</v>
      </c>
      <c r="N448" s="3">
        <v>10639561413.799999</v>
      </c>
      <c r="O448" s="3">
        <v>12726239907.4</v>
      </c>
      <c r="P448" s="3">
        <v>9413451309.5</v>
      </c>
      <c r="Q448" s="3">
        <v>9897100599.5</v>
      </c>
      <c r="R448" s="3">
        <v>5050959750.8999996</v>
      </c>
      <c r="S448" s="3">
        <v>6370463011.6999998</v>
      </c>
      <c r="T448" s="3">
        <v>6620290862.6999998</v>
      </c>
      <c r="U448" s="3">
        <v>8509794119.1000004</v>
      </c>
      <c r="V448" s="3">
        <v>8368883419.8999996</v>
      </c>
      <c r="W448" s="3">
        <v>10445294296.799999</v>
      </c>
      <c r="X448" s="3">
        <v>13234372478.799999</v>
      </c>
      <c r="Y448" s="3">
        <v>15748099634.700001</v>
      </c>
      <c r="Z448" s="3">
        <v>20012604979.200001</v>
      </c>
      <c r="AA448" s="3">
        <v>23183910870.900002</v>
      </c>
      <c r="AB448" s="3">
        <v>26274671662.200001</v>
      </c>
      <c r="AC448" s="3">
        <v>29168830424.099998</v>
      </c>
      <c r="AD448" s="3"/>
      <c r="AE448" t="s">
        <v>5652</v>
      </c>
      <c r="AF448" t="s">
        <v>252</v>
      </c>
    </row>
    <row r="449" spans="1:32" x14ac:dyDescent="0.3">
      <c r="A449" t="s">
        <v>1826</v>
      </c>
      <c r="B449" s="1" t="s">
        <v>1205</v>
      </c>
      <c r="C449" s="5" t="s">
        <v>2515</v>
      </c>
      <c r="D449" s="2" t="s">
        <v>4032</v>
      </c>
      <c r="E449" s="1" t="s">
        <v>794</v>
      </c>
      <c r="F449" s="3">
        <v>915572340.70000005</v>
      </c>
      <c r="G449" s="3">
        <v>1145850960.2</v>
      </c>
      <c r="H449" s="3">
        <v>806251934.29999995</v>
      </c>
      <c r="I449" s="3">
        <v>359423139.19999999</v>
      </c>
      <c r="J449" s="3">
        <v>708420477.20000005</v>
      </c>
      <c r="K449" s="3">
        <v>883004228.20000005</v>
      </c>
      <c r="L449" s="3">
        <v>1821849590.4000001</v>
      </c>
      <c r="M449" s="3">
        <v>1903604628.4000001</v>
      </c>
      <c r="N449" s="3">
        <v>1343910715.4000001</v>
      </c>
      <c r="O449" s="3">
        <v>482437130.30000001</v>
      </c>
      <c r="P449" s="3">
        <v>410947839.39999998</v>
      </c>
      <c r="Q449" s="3">
        <v>471509783.39999998</v>
      </c>
      <c r="R449" s="3">
        <v>736849249.29999995</v>
      </c>
      <c r="S449" s="3">
        <v>0</v>
      </c>
      <c r="T449" s="3">
        <v>0</v>
      </c>
      <c r="U449" s="3">
        <v>0</v>
      </c>
      <c r="V449" s="3">
        <v>269196000</v>
      </c>
      <c r="W449" s="3">
        <v>27853000</v>
      </c>
      <c r="X449" s="3">
        <v>137858000</v>
      </c>
      <c r="Y449" s="3">
        <v>889755955.20000005</v>
      </c>
      <c r="Z449" s="3">
        <v>1055965115.4</v>
      </c>
      <c r="AA449" s="3">
        <v>2188019089.8000002</v>
      </c>
      <c r="AB449" s="3">
        <v>1685976732.5999999</v>
      </c>
      <c r="AC449" s="3">
        <v>2983634000</v>
      </c>
      <c r="AD449" s="3"/>
      <c r="AE449" t="s">
        <v>5653</v>
      </c>
      <c r="AF449" t="s">
        <v>252</v>
      </c>
    </row>
    <row r="450" spans="1:32" x14ac:dyDescent="0.3">
      <c r="A450" t="s">
        <v>1826</v>
      </c>
      <c r="B450" s="1" t="s">
        <v>1205</v>
      </c>
      <c r="C450" s="5" t="s">
        <v>2516</v>
      </c>
      <c r="D450" s="2" t="s">
        <v>4033</v>
      </c>
      <c r="E450" s="1" t="s">
        <v>533</v>
      </c>
      <c r="F450" s="3">
        <v>12059905375.799999</v>
      </c>
      <c r="G450" s="3">
        <v>11620368633.5</v>
      </c>
      <c r="H450" s="3">
        <v>11708673980.200001</v>
      </c>
      <c r="I450" s="3">
        <v>11680518563.4</v>
      </c>
      <c r="J450" s="3">
        <v>13178855340.299999</v>
      </c>
      <c r="K450" s="3">
        <v>12010684931.6</v>
      </c>
      <c r="L450" s="3">
        <v>13644008874.799999</v>
      </c>
      <c r="M450" s="3">
        <v>14385487798.1</v>
      </c>
      <c r="N450" s="3">
        <v>12967578597.9</v>
      </c>
      <c r="O450" s="3">
        <v>14895852333.1</v>
      </c>
      <c r="P450" s="3">
        <v>11703427489.9</v>
      </c>
      <c r="Q450" s="3">
        <v>12791036139.9</v>
      </c>
      <c r="R450" s="3">
        <v>9543206491.6000004</v>
      </c>
      <c r="S450" s="3">
        <v>9855297626.2999992</v>
      </c>
      <c r="T450" s="3">
        <v>9805804583.5</v>
      </c>
      <c r="U450" s="3">
        <v>11387731266.799999</v>
      </c>
      <c r="V450" s="3">
        <v>11457186653.5</v>
      </c>
      <c r="W450" s="3">
        <v>13449134231.4</v>
      </c>
      <c r="X450" s="3">
        <v>16197579095.1</v>
      </c>
      <c r="Y450" s="3">
        <v>19831484538.400002</v>
      </c>
      <c r="Z450" s="3">
        <v>25106673275.5</v>
      </c>
      <c r="AA450" s="3">
        <v>29767834091.700001</v>
      </c>
      <c r="AB450" s="3">
        <v>31787359858.900002</v>
      </c>
      <c r="AC450" s="3">
        <v>36547882003.699997</v>
      </c>
      <c r="AD450" s="3"/>
      <c r="AE450" t="s">
        <v>5654</v>
      </c>
      <c r="AF450" t="s">
        <v>252</v>
      </c>
    </row>
    <row r="451" spans="1:32" x14ac:dyDescent="0.3">
      <c r="A451" t="s">
        <v>1826</v>
      </c>
      <c r="B451" s="1" t="s">
        <v>1205</v>
      </c>
      <c r="C451" s="5" t="s">
        <v>2517</v>
      </c>
      <c r="D451" s="2" t="s">
        <v>4034</v>
      </c>
      <c r="E451" s="1" t="s">
        <v>765</v>
      </c>
      <c r="F451" s="3">
        <v>1.79331255</v>
      </c>
      <c r="G451" s="3">
        <v>1.80662155</v>
      </c>
      <c r="H451" s="3">
        <v>2.0274500799999999</v>
      </c>
      <c r="I451" s="3">
        <v>4.9732704200000004</v>
      </c>
      <c r="J451" s="3">
        <v>3.1987600299999999</v>
      </c>
      <c r="K451" s="3">
        <v>3.9659638400000001</v>
      </c>
      <c r="L451" s="3">
        <v>3.8120501</v>
      </c>
      <c r="M451" s="3">
        <v>9.2885723099999993</v>
      </c>
      <c r="N451" s="3">
        <v>12.761796</v>
      </c>
      <c r="O451" s="3">
        <v>9.9292707399999998</v>
      </c>
      <c r="P451" s="3">
        <v>10.200154299999999</v>
      </c>
      <c r="Q451" s="3">
        <v>12.19101715</v>
      </c>
      <c r="R451" s="3">
        <v>15.652498250000001</v>
      </c>
      <c r="S451" s="3">
        <v>8.7100315100000003</v>
      </c>
      <c r="T451" s="3">
        <v>13.47169113</v>
      </c>
      <c r="U451" s="3">
        <v>13.08228302</v>
      </c>
      <c r="V451" s="3">
        <v>14.9303875</v>
      </c>
      <c r="W451" s="3">
        <v>13.03412533</v>
      </c>
      <c r="X451" s="3">
        <v>12.27736473</v>
      </c>
      <c r="Y451" s="3">
        <v>12.998847960000001</v>
      </c>
      <c r="Z451" s="3">
        <v>13.54403591</v>
      </c>
      <c r="AA451" s="3">
        <v>13.35010147</v>
      </c>
      <c r="AB451" s="3">
        <v>18.012529369999999</v>
      </c>
      <c r="AC451" s="3"/>
      <c r="AD451" s="3"/>
      <c r="AE451" t="s">
        <v>5655</v>
      </c>
      <c r="AF451" t="s">
        <v>560</v>
      </c>
    </row>
    <row r="452" spans="1:32" x14ac:dyDescent="0.3">
      <c r="A452" t="s">
        <v>1826</v>
      </c>
      <c r="B452" s="1" t="s">
        <v>1205</v>
      </c>
      <c r="C452" s="5" t="s">
        <v>2518</v>
      </c>
      <c r="D452" s="2" t="s">
        <v>4035</v>
      </c>
      <c r="E452" s="1" t="s">
        <v>967</v>
      </c>
      <c r="F452" s="3">
        <v>0.60222405999999995</v>
      </c>
      <c r="G452" s="3">
        <v>0.61326725000000004</v>
      </c>
      <c r="H452" s="3">
        <v>0.73124359999999999</v>
      </c>
      <c r="I452" s="3">
        <v>2.1789049199999999</v>
      </c>
      <c r="J452" s="3">
        <v>1.5049208199999999</v>
      </c>
      <c r="K452" s="3">
        <v>1.8518815799999999</v>
      </c>
      <c r="L452" s="3">
        <v>1.79505786</v>
      </c>
      <c r="M452" s="3">
        <v>5.2156113</v>
      </c>
      <c r="N452" s="3">
        <v>8.2539202100000004</v>
      </c>
      <c r="O452" s="3">
        <v>7.0562173799999997</v>
      </c>
      <c r="P452" s="3">
        <v>7.1448052500000001</v>
      </c>
      <c r="Q452" s="3">
        <v>8.2869887000000002</v>
      </c>
      <c r="R452" s="3">
        <v>10.935153659999999</v>
      </c>
      <c r="S452" s="3">
        <v>5.8471743700000003</v>
      </c>
      <c r="T452" s="3">
        <v>10.017301590000001</v>
      </c>
      <c r="U452" s="3">
        <v>7.6442151999999997</v>
      </c>
      <c r="V452" s="3">
        <v>9.2354977500000004</v>
      </c>
      <c r="W452" s="3">
        <v>8.3130910199999999</v>
      </c>
      <c r="X452" s="3">
        <v>8.08826906</v>
      </c>
      <c r="Y452" s="3">
        <v>8.8788252599999993</v>
      </c>
      <c r="Z452" s="3">
        <v>10.696764659999999</v>
      </c>
      <c r="AA452" s="3">
        <v>12.33494619</v>
      </c>
      <c r="AB452" s="3">
        <v>15.518179180000001</v>
      </c>
      <c r="AC452" s="3"/>
      <c r="AD452" s="3"/>
      <c r="AE452" t="s">
        <v>5656</v>
      </c>
      <c r="AF452" t="s">
        <v>560</v>
      </c>
    </row>
    <row r="453" spans="1:32" x14ac:dyDescent="0.3">
      <c r="A453" t="s">
        <v>1826</v>
      </c>
      <c r="B453" s="1" t="s">
        <v>1205</v>
      </c>
      <c r="C453" s="5" t="s">
        <v>2519</v>
      </c>
      <c r="D453" s="2" t="s">
        <v>4036</v>
      </c>
      <c r="E453" s="1" t="s">
        <v>1406</v>
      </c>
      <c r="F453" s="3">
        <v>1.9564056480018801</v>
      </c>
      <c r="G453" s="3">
        <v>1.9656572468406099</v>
      </c>
      <c r="H453" s="3">
        <v>2.15581754512715</v>
      </c>
      <c r="I453" s="3">
        <v>5.3019891206540999</v>
      </c>
      <c r="J453" s="3">
        <v>3.5072519145033998</v>
      </c>
      <c r="K453" s="3">
        <v>4.3933459785973801</v>
      </c>
      <c r="L453" s="3">
        <v>4.2913599832547504</v>
      </c>
      <c r="M453" s="3">
        <v>11.380759107855299</v>
      </c>
      <c r="N453" s="3">
        <v>16.232276259852199</v>
      </c>
      <c r="O453" s="3">
        <v>14.550769768378</v>
      </c>
      <c r="P453" s="3">
        <v>15.4530046187873</v>
      </c>
      <c r="Q453" s="3">
        <v>16.4839914544376</v>
      </c>
      <c r="R453" s="3">
        <v>23.097463072917598</v>
      </c>
      <c r="S453" s="3">
        <v>11.6805470116492</v>
      </c>
      <c r="T453" s="3">
        <v>20.063806064828199</v>
      </c>
      <c r="U453" s="3">
        <v>18.031364100326002</v>
      </c>
      <c r="V453" s="3">
        <v>21.682936021906698</v>
      </c>
      <c r="W453" s="3">
        <v>19.023196099368601</v>
      </c>
      <c r="X453" s="3">
        <v>17.8308666504226</v>
      </c>
      <c r="Y453" s="3">
        <v>20.7360166355123</v>
      </c>
      <c r="Z453" s="3">
        <v>24.486595024943799</v>
      </c>
      <c r="AA453" s="3">
        <v>27.689406122147901</v>
      </c>
      <c r="AB453" s="3">
        <v>40.820289965876498</v>
      </c>
      <c r="AC453" s="3"/>
      <c r="AD453" s="3"/>
      <c r="AE453" t="s">
        <v>5657</v>
      </c>
      <c r="AF453" t="s">
        <v>1734</v>
      </c>
    </row>
    <row r="454" spans="1:32" x14ac:dyDescent="0.3">
      <c r="A454" t="s">
        <v>1826</v>
      </c>
      <c r="B454" s="1" t="s">
        <v>1205</v>
      </c>
      <c r="C454" s="5" t="s">
        <v>2520</v>
      </c>
      <c r="D454" s="2" t="s">
        <v>4037</v>
      </c>
      <c r="E454" s="1" t="s">
        <v>1458</v>
      </c>
      <c r="F454" s="3"/>
      <c r="G454" s="3"/>
      <c r="H454" s="3"/>
      <c r="I454" s="3"/>
      <c r="J454" s="3"/>
      <c r="K454" s="3">
        <v>41.7</v>
      </c>
      <c r="L454" s="3"/>
      <c r="M454" s="3"/>
      <c r="N454" s="3"/>
      <c r="O454" s="3"/>
      <c r="P454" s="3"/>
      <c r="Q454" s="3"/>
      <c r="R454" s="3">
        <v>38.200000000000003</v>
      </c>
      <c r="S454" s="3"/>
      <c r="T454" s="3"/>
      <c r="U454" s="3"/>
      <c r="V454" s="3">
        <v>36.700000000000003</v>
      </c>
      <c r="W454" s="3"/>
      <c r="X454" s="3"/>
      <c r="Y454" s="3"/>
      <c r="Z454" s="3"/>
      <c r="AA454" s="3"/>
      <c r="AB454" s="3"/>
      <c r="AC454" s="3"/>
      <c r="AD454" s="3"/>
      <c r="AE454" t="s">
        <v>5658</v>
      </c>
      <c r="AF454" t="s">
        <v>1236</v>
      </c>
    </row>
    <row r="455" spans="1:32" x14ac:dyDescent="0.3">
      <c r="A455" t="s">
        <v>1826</v>
      </c>
      <c r="B455" s="1" t="s">
        <v>1205</v>
      </c>
      <c r="C455" s="5" t="s">
        <v>2521</v>
      </c>
      <c r="D455" s="2" t="s">
        <v>4038</v>
      </c>
      <c r="E455" s="1" t="s">
        <v>821</v>
      </c>
      <c r="F455" s="3"/>
      <c r="G455" s="3"/>
      <c r="H455" s="3"/>
      <c r="I455" s="3"/>
      <c r="J455" s="3"/>
      <c r="K455" s="3">
        <v>18.399999999999999</v>
      </c>
      <c r="L455" s="3"/>
      <c r="M455" s="3"/>
      <c r="N455" s="3"/>
      <c r="O455" s="3"/>
      <c r="P455" s="3"/>
      <c r="Q455" s="3"/>
      <c r="R455" s="3">
        <v>18</v>
      </c>
      <c r="S455" s="3"/>
      <c r="T455" s="3"/>
      <c r="U455" s="3"/>
      <c r="V455" s="3"/>
      <c r="W455" s="3"/>
      <c r="X455" s="3"/>
      <c r="Y455" s="3"/>
      <c r="Z455" s="3"/>
      <c r="AA455" s="3">
        <v>19.399999999999999</v>
      </c>
      <c r="AB455" s="3"/>
      <c r="AC455" s="3"/>
      <c r="AD455" s="3"/>
      <c r="AE455" t="s">
        <v>5659</v>
      </c>
      <c r="AF455" t="s">
        <v>1762</v>
      </c>
    </row>
    <row r="456" spans="1:32" x14ac:dyDescent="0.3">
      <c r="A456" t="s">
        <v>1826</v>
      </c>
      <c r="B456" s="1" t="s">
        <v>1205</v>
      </c>
      <c r="C456" s="5" t="s">
        <v>2522</v>
      </c>
      <c r="D456" s="2" t="s">
        <v>4039</v>
      </c>
      <c r="E456" s="1" t="s">
        <v>57</v>
      </c>
      <c r="F456" s="3"/>
      <c r="G456" s="3"/>
      <c r="H456" s="3"/>
      <c r="I456" s="3"/>
      <c r="J456" s="3"/>
      <c r="K456" s="3"/>
      <c r="L456" s="3"/>
      <c r="M456" s="3"/>
      <c r="N456" s="3"/>
      <c r="O456" s="3"/>
      <c r="P456" s="3"/>
      <c r="Q456" s="3"/>
      <c r="R456" s="3"/>
      <c r="S456" s="3"/>
      <c r="T456" s="3">
        <v>9.1999969482421804</v>
      </c>
      <c r="U456" s="3"/>
      <c r="V456" s="3"/>
      <c r="W456" s="3"/>
      <c r="X456" s="3"/>
      <c r="Y456" s="3">
        <v>9.1999969482421804</v>
      </c>
      <c r="Z456" s="3"/>
      <c r="AA456" s="3"/>
      <c r="AB456" s="3"/>
      <c r="AC456" s="3"/>
      <c r="AD456" s="3"/>
      <c r="AE456" t="s">
        <v>5660</v>
      </c>
      <c r="AF456" t="s">
        <v>877</v>
      </c>
    </row>
    <row r="457" spans="1:32" ht="28.8" x14ac:dyDescent="0.3">
      <c r="A457" t="s">
        <v>1826</v>
      </c>
      <c r="B457" s="1" t="s">
        <v>1205</v>
      </c>
      <c r="C457" s="5" t="s">
        <v>2523</v>
      </c>
      <c r="D457" s="2" t="s">
        <v>4040</v>
      </c>
      <c r="E457" s="1" t="s">
        <v>294</v>
      </c>
      <c r="F457" s="3"/>
      <c r="G457" s="3"/>
      <c r="H457" s="3"/>
      <c r="I457" s="3"/>
      <c r="J457" s="3"/>
      <c r="K457" s="3"/>
      <c r="L457" s="3"/>
      <c r="M457" s="3"/>
      <c r="N457" s="3"/>
      <c r="O457" s="3"/>
      <c r="P457" s="3"/>
      <c r="Q457" s="3"/>
      <c r="R457" s="3"/>
      <c r="S457" s="3"/>
      <c r="T457" s="3">
        <v>75.768341064453097</v>
      </c>
      <c r="U457" s="3"/>
      <c r="V457" s="3"/>
      <c r="W457" s="3"/>
      <c r="X457" s="3"/>
      <c r="Y457" s="3">
        <v>76.783370971679602</v>
      </c>
      <c r="Z457" s="3"/>
      <c r="AA457" s="3"/>
      <c r="AB457" s="3"/>
      <c r="AC457" s="3"/>
      <c r="AD457" s="3"/>
      <c r="AE457" t="s">
        <v>5661</v>
      </c>
      <c r="AF457" t="s">
        <v>1075</v>
      </c>
    </row>
    <row r="458" spans="1:32" x14ac:dyDescent="0.3">
      <c r="A458" t="s">
        <v>1826</v>
      </c>
      <c r="B458" s="1" t="s">
        <v>1205</v>
      </c>
      <c r="C458" s="5" t="s">
        <v>2524</v>
      </c>
      <c r="D458" s="2" t="s">
        <v>4041</v>
      </c>
      <c r="E458" s="1" t="s">
        <v>168</v>
      </c>
      <c r="F458" s="3"/>
      <c r="G458" s="3"/>
      <c r="H458" s="3"/>
      <c r="I458" s="3"/>
      <c r="J458" s="3"/>
      <c r="K458" s="3"/>
      <c r="L458" s="3"/>
      <c r="M458" s="3"/>
      <c r="N458" s="3"/>
      <c r="O458" s="3"/>
      <c r="P458" s="3"/>
      <c r="Q458" s="3"/>
      <c r="R458" s="3"/>
      <c r="S458" s="3"/>
      <c r="T458" s="3"/>
      <c r="U458" s="3"/>
      <c r="V458" s="3">
        <v>22.155999999999999</v>
      </c>
      <c r="W458" s="3">
        <v>22.164999999999999</v>
      </c>
      <c r="X458" s="3"/>
      <c r="Y458" s="3"/>
      <c r="Z458" s="3"/>
      <c r="AA458" s="3"/>
      <c r="AB458" s="3"/>
      <c r="AC458" s="3"/>
      <c r="AD458" s="3"/>
      <c r="AE458" t="s">
        <v>5662</v>
      </c>
      <c r="AF458" t="s">
        <v>1167</v>
      </c>
    </row>
    <row r="459" spans="1:32" x14ac:dyDescent="0.3">
      <c r="A459" t="s">
        <v>1826</v>
      </c>
      <c r="B459" s="1" t="s">
        <v>1205</v>
      </c>
      <c r="C459" s="5" t="s">
        <v>2525</v>
      </c>
      <c r="D459" s="2" t="s">
        <v>4042</v>
      </c>
      <c r="E459" s="1" t="s">
        <v>465</v>
      </c>
      <c r="F459" s="3">
        <v>5.7729999999999997</v>
      </c>
      <c r="G459" s="3">
        <v>5.7039999999999997</v>
      </c>
      <c r="H459" s="3">
        <v>5.641</v>
      </c>
      <c r="I459" s="3">
        <v>5.5720000000000001</v>
      </c>
      <c r="J459" s="3">
        <v>5.5270000000000001</v>
      </c>
      <c r="K459" s="3">
        <v>5.4989999999999997</v>
      </c>
      <c r="L459" s="3">
        <v>5.4480000000000004</v>
      </c>
      <c r="M459" s="3">
        <v>5.4029999999999996</v>
      </c>
      <c r="N459" s="3">
        <v>5.3570000000000002</v>
      </c>
      <c r="O459" s="3">
        <v>5.3319999999999999</v>
      </c>
      <c r="P459" s="3">
        <v>5.2919999999999998</v>
      </c>
      <c r="Q459" s="3">
        <v>5.2439999999999998</v>
      </c>
      <c r="R459" s="3">
        <v>5.19</v>
      </c>
      <c r="S459" s="3">
        <v>5.1349999999999998</v>
      </c>
      <c r="T459" s="3">
        <v>5.0709999999999997</v>
      </c>
      <c r="U459" s="3">
        <v>4.97</v>
      </c>
      <c r="V459" s="3">
        <v>4.8730000000000002</v>
      </c>
      <c r="W459" s="3">
        <v>4.7569999999999997</v>
      </c>
      <c r="X459" s="3">
        <v>4.5960000000000001</v>
      </c>
      <c r="Y459" s="3">
        <v>4.5229999999999997</v>
      </c>
      <c r="Z459" s="3">
        <v>4.4610000000000003</v>
      </c>
      <c r="AA459" s="3">
        <v>4.4109999999999996</v>
      </c>
      <c r="AB459" s="3">
        <v>4.3490000000000002</v>
      </c>
      <c r="AC459" s="3">
        <v>4.2830000000000004</v>
      </c>
      <c r="AD459" s="3"/>
      <c r="AE459" t="s">
        <v>5663</v>
      </c>
      <c r="AF459" t="s">
        <v>1327</v>
      </c>
    </row>
    <row r="460" spans="1:32" x14ac:dyDescent="0.3">
      <c r="A460" t="s">
        <v>1826</v>
      </c>
      <c r="B460" s="1" t="s">
        <v>1205</v>
      </c>
      <c r="C460" s="5" t="s">
        <v>2526</v>
      </c>
      <c r="D460" s="2" t="s">
        <v>4043</v>
      </c>
      <c r="E460" s="1" t="s">
        <v>515</v>
      </c>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t="s">
        <v>5664</v>
      </c>
      <c r="AF460" t="s">
        <v>104</v>
      </c>
    </row>
    <row r="461" spans="1:32" x14ac:dyDescent="0.3">
      <c r="A461" t="s">
        <v>1826</v>
      </c>
      <c r="B461" s="1" t="s">
        <v>1205</v>
      </c>
      <c r="C461" s="5" t="s">
        <v>2527</v>
      </c>
      <c r="D461" s="2" t="s">
        <v>4044</v>
      </c>
      <c r="E461" s="1" t="s">
        <v>1649</v>
      </c>
      <c r="F461" s="3">
        <v>23.964285714285715</v>
      </c>
      <c r="G461" s="3">
        <v>24.535714285714285</v>
      </c>
      <c r="H461" s="3">
        <v>31.018928571428571</v>
      </c>
      <c r="I461" s="3">
        <v>29.345357142857143</v>
      </c>
      <c r="J461" s="3">
        <v>27.21892857142857</v>
      </c>
      <c r="K461" s="3">
        <v>17.780357142857142</v>
      </c>
      <c r="L461" s="3">
        <v>22.772500000000001</v>
      </c>
      <c r="M461" s="3">
        <v>23.99</v>
      </c>
      <c r="N461" s="3">
        <v>18.211724137931036</v>
      </c>
      <c r="O461" s="3">
        <v>15.307586206896552</v>
      </c>
      <c r="P461" s="3">
        <v>32.085862068965518</v>
      </c>
      <c r="Q461" s="3">
        <v>19.402758620689657</v>
      </c>
      <c r="R461" s="3">
        <v>26.021116666666668</v>
      </c>
      <c r="S461" s="3">
        <v>31.138280000000005</v>
      </c>
      <c r="T461" s="3">
        <v>35.120645714285715</v>
      </c>
      <c r="U461" s="3">
        <v>37.515432378275257</v>
      </c>
      <c r="V461" s="3">
        <v>40.8438474235288</v>
      </c>
      <c r="W461" s="3">
        <v>33.607804208148401</v>
      </c>
      <c r="X461" s="3">
        <v>25.9354840925334</v>
      </c>
      <c r="Y461" s="3">
        <v>44.316472066218758</v>
      </c>
      <c r="Z461" s="3">
        <v>38.66002140134438</v>
      </c>
      <c r="AA461" s="3">
        <v>37.811976189913331</v>
      </c>
      <c r="AB461" s="3">
        <v>25.26774404053587</v>
      </c>
      <c r="AC461" s="3"/>
      <c r="AD461" s="3"/>
      <c r="AE461" t="s">
        <v>5665</v>
      </c>
      <c r="AF461" t="s">
        <v>104</v>
      </c>
    </row>
    <row r="462" spans="1:32" ht="28.8" x14ac:dyDescent="0.3">
      <c r="A462" t="s">
        <v>1826</v>
      </c>
      <c r="B462" s="1" t="s">
        <v>1205</v>
      </c>
      <c r="C462" s="5" t="s">
        <v>2528</v>
      </c>
      <c r="D462" s="2" t="s">
        <v>4045</v>
      </c>
      <c r="E462" s="1" t="s">
        <v>1031</v>
      </c>
      <c r="F462" s="3">
        <v>0.24179999999999999</v>
      </c>
      <c r="G462" s="3">
        <v>0.33119999999999999</v>
      </c>
      <c r="H462" s="3">
        <v>0.41699999999999998</v>
      </c>
      <c r="I462" s="3">
        <v>0.51519999999999999</v>
      </c>
      <c r="J462" s="3">
        <v>0.61429999999999996</v>
      </c>
      <c r="K462" s="3">
        <v>0.73380000000000001</v>
      </c>
      <c r="L462" s="3">
        <v>0.7742</v>
      </c>
      <c r="M462" s="3">
        <v>0.79079999999999995</v>
      </c>
      <c r="N462" s="3">
        <v>0.82240000000000002</v>
      </c>
      <c r="O462" s="3">
        <v>0.85009999999999997</v>
      </c>
      <c r="P462" s="3">
        <v>0.84509999999999996</v>
      </c>
      <c r="Q462" s="3">
        <v>0.85089999999999999</v>
      </c>
      <c r="R462" s="3">
        <v>0.86770000000000003</v>
      </c>
      <c r="S462" s="3">
        <v>0.89180000000000004</v>
      </c>
      <c r="T462" s="3">
        <v>0.97209999999999996</v>
      </c>
      <c r="U462" s="3">
        <v>1.0742</v>
      </c>
      <c r="V462" s="3">
        <v>1.2255</v>
      </c>
      <c r="W462" s="3">
        <v>1.3748</v>
      </c>
      <c r="X462" s="3">
        <v>1.5575000000000001</v>
      </c>
      <c r="Y462" s="3">
        <v>1.7185999999999999</v>
      </c>
      <c r="Z462" s="3">
        <v>1.883</v>
      </c>
      <c r="AA462" s="3">
        <v>2.0522999999999998</v>
      </c>
      <c r="AB462" s="3">
        <v>2.2172999999999998</v>
      </c>
      <c r="AC462" s="3">
        <v>2.3835000000000002</v>
      </c>
      <c r="AD462" s="3"/>
      <c r="AE462" t="s">
        <v>5666</v>
      </c>
      <c r="AF462" t="s">
        <v>691</v>
      </c>
    </row>
    <row r="463" spans="1:32" x14ac:dyDescent="0.3">
      <c r="A463" t="s">
        <v>1826</v>
      </c>
      <c r="B463" s="1" t="s">
        <v>1205</v>
      </c>
      <c r="C463" s="5" t="s">
        <v>2529</v>
      </c>
      <c r="D463" s="2" t="s">
        <v>4046</v>
      </c>
      <c r="E463" s="1" t="s">
        <v>528</v>
      </c>
      <c r="F463" s="3">
        <v>83.491467231602485</v>
      </c>
      <c r="G463" s="3">
        <v>83.954134536829855</v>
      </c>
      <c r="H463" s="3">
        <v>81.156149867139717</v>
      </c>
      <c r="I463" s="3">
        <v>81.809591967328117</v>
      </c>
      <c r="J463" s="3">
        <v>83.117425936037378</v>
      </c>
      <c r="K463" s="3">
        <v>85.220834146577673</v>
      </c>
      <c r="L463" s="3">
        <v>83.827689475419405</v>
      </c>
      <c r="M463" s="3">
        <v>86.722763385021068</v>
      </c>
      <c r="N463" s="3">
        <v>81.73326246692568</v>
      </c>
      <c r="O463" s="3">
        <v>81.10387155097601</v>
      </c>
      <c r="P463" s="3">
        <v>78.792736371452591</v>
      </c>
      <c r="Q463" s="3">
        <v>77.559431443903307</v>
      </c>
      <c r="R463" s="3">
        <v>79.885291415561014</v>
      </c>
      <c r="S463" s="3">
        <v>77.122072607083624</v>
      </c>
      <c r="T463" s="3">
        <v>74.746044206221683</v>
      </c>
      <c r="U463" s="3">
        <v>74.616872761120007</v>
      </c>
      <c r="V463" s="3">
        <v>74.487451698453683</v>
      </c>
      <c r="W463" s="3">
        <v>76.847275583375335</v>
      </c>
      <c r="X463" s="3">
        <v>78.396318377505906</v>
      </c>
      <c r="Y463" s="3">
        <v>77.349652843524169</v>
      </c>
      <c r="Z463" s="3">
        <v>78.212801439993157</v>
      </c>
      <c r="AA463" s="3">
        <v>76.946180033477461</v>
      </c>
      <c r="AB463" s="3">
        <v>76.846358852410106</v>
      </c>
      <c r="AC463" s="3">
        <v>77.404562697051134</v>
      </c>
      <c r="AD463" s="3">
        <v>74.994374498151799</v>
      </c>
      <c r="AE463" t="s">
        <v>5667</v>
      </c>
      <c r="AF463" t="s">
        <v>718</v>
      </c>
    </row>
    <row r="464" spans="1:32" x14ac:dyDescent="0.3">
      <c r="A464" t="s">
        <v>1826</v>
      </c>
      <c r="B464" s="1" t="s">
        <v>1205</v>
      </c>
      <c r="C464" s="5" t="s">
        <v>2530</v>
      </c>
      <c r="D464" s="2" t="s">
        <v>4047</v>
      </c>
      <c r="E464" s="1" t="s">
        <v>939</v>
      </c>
      <c r="F464" s="3">
        <v>-2.0363381674252707</v>
      </c>
      <c r="G464" s="3">
        <v>1.3339234437459027</v>
      </c>
      <c r="H464" s="3">
        <v>-3.4205161498088188</v>
      </c>
      <c r="I464" s="3">
        <v>-3.1450379367645667</v>
      </c>
      <c r="J464" s="3">
        <v>1.6171134931372677</v>
      </c>
      <c r="K464" s="3">
        <v>1.897751751754484</v>
      </c>
      <c r="L464" s="3">
        <v>0.3535153790494121</v>
      </c>
      <c r="M464" s="3">
        <v>4.3246107525491766</v>
      </c>
      <c r="N464" s="3">
        <v>-1.6694026503802917</v>
      </c>
      <c r="O464" s="3">
        <v>2.4105698108378704</v>
      </c>
      <c r="P464" s="3">
        <v>3.6845978361690328</v>
      </c>
      <c r="Q464" s="3">
        <v>-6.5817670083820303</v>
      </c>
      <c r="R464" s="3">
        <v>13.500352699392934</v>
      </c>
      <c r="S464" s="3">
        <v>4.9205308378881512</v>
      </c>
      <c r="T464" s="3">
        <v>9.1373029057548365</v>
      </c>
      <c r="U464" s="3">
        <v>9.2585567683587868</v>
      </c>
      <c r="V464" s="3">
        <v>6.1748552768770395</v>
      </c>
      <c r="W464" s="3">
        <v>6.4114563834907585</v>
      </c>
      <c r="X464" s="3">
        <v>5.8637760324066193</v>
      </c>
      <c r="Y464" s="3">
        <v>5.4325631071205009</v>
      </c>
      <c r="Z464" s="3">
        <v>1.4268457959247201</v>
      </c>
      <c r="AA464" s="3">
        <v>5.4275003374333153</v>
      </c>
      <c r="AB464" s="3">
        <v>4.5466999567486397</v>
      </c>
      <c r="AC464" s="3">
        <v>5.2715545606662317</v>
      </c>
      <c r="AD464" s="3">
        <v>5.9260028550457662</v>
      </c>
      <c r="AE464" t="s">
        <v>5668</v>
      </c>
      <c r="AF464" t="s">
        <v>718</v>
      </c>
    </row>
    <row r="465" spans="1:32" x14ac:dyDescent="0.3">
      <c r="A465" t="s">
        <v>1826</v>
      </c>
      <c r="B465" s="1" t="s">
        <v>1205</v>
      </c>
      <c r="C465" s="5" t="s">
        <v>2531</v>
      </c>
      <c r="D465" s="2" t="s">
        <v>4048</v>
      </c>
      <c r="E465" s="1" t="s">
        <v>89</v>
      </c>
      <c r="F465" s="3">
        <v>24019647401.073181</v>
      </c>
      <c r="G465" s="3">
        <v>24340051108.861198</v>
      </c>
      <c r="H465" s="3">
        <v>23507495729.810883</v>
      </c>
      <c r="I465" s="3">
        <v>22768176071.125023</v>
      </c>
      <c r="J465" s="3">
        <v>23136363318.512436</v>
      </c>
      <c r="K465" s="3">
        <v>23575434058.681786</v>
      </c>
      <c r="L465" s="3">
        <v>23658776843.756882</v>
      </c>
      <c r="M465" s="3">
        <v>24681926851.063606</v>
      </c>
      <c r="N465" s="3">
        <v>24269886110.047024</v>
      </c>
      <c r="O465" s="3">
        <v>24854928657.740551</v>
      </c>
      <c r="P465" s="3">
        <v>25770732821.245018</v>
      </c>
      <c r="Q465" s="3">
        <v>24074563230.598034</v>
      </c>
      <c r="R465" s="3">
        <v>27324714177.567135</v>
      </c>
      <c r="S465" s="3">
        <v>28669235165.03912</v>
      </c>
      <c r="T465" s="3">
        <v>31288830022.831924</v>
      </c>
      <c r="U465" s="3">
        <v>34185724112.651104</v>
      </c>
      <c r="V465" s="3">
        <v>36296643101.95977</v>
      </c>
      <c r="W465" s="3">
        <v>38623786543.113228</v>
      </c>
      <c r="X465" s="3">
        <v>40888598881.236198</v>
      </c>
      <c r="Y465" s="3">
        <v>43109897819.076721</v>
      </c>
      <c r="Z465" s="3">
        <v>43725009583.735657</v>
      </c>
      <c r="AA465" s="3">
        <v>46098184626.435654</v>
      </c>
      <c r="AB465" s="3">
        <v>48194130766.907707</v>
      </c>
      <c r="AC465" s="3">
        <v>50734710665.324081</v>
      </c>
      <c r="AD465" s="3">
        <v>53741251067.850395</v>
      </c>
      <c r="AE465" t="s">
        <v>5669</v>
      </c>
      <c r="AF465" t="s">
        <v>718</v>
      </c>
    </row>
    <row r="466" spans="1:32" x14ac:dyDescent="0.3">
      <c r="A466" t="s">
        <v>1826</v>
      </c>
      <c r="B466" s="1" t="s">
        <v>1205</v>
      </c>
      <c r="C466" s="5" t="s">
        <v>2532</v>
      </c>
      <c r="D466" s="2" t="s">
        <v>4049</v>
      </c>
      <c r="E466" s="1" t="s">
        <v>1471</v>
      </c>
      <c r="F466" s="3">
        <v>14200628371000</v>
      </c>
      <c r="G466" s="3">
        <v>14390053882000</v>
      </c>
      <c r="H466" s="3">
        <v>13897839765000</v>
      </c>
      <c r="I466" s="3">
        <v>13460747432000</v>
      </c>
      <c r="J466" s="3">
        <v>13678422995000</v>
      </c>
      <c r="K466" s="3">
        <v>13938005507000</v>
      </c>
      <c r="L466" s="3">
        <v>13987278500000</v>
      </c>
      <c r="M466" s="3">
        <v>14592173850000</v>
      </c>
      <c r="N466" s="3">
        <v>14348571713000</v>
      </c>
      <c r="O466" s="3">
        <v>14694454051000</v>
      </c>
      <c r="P466" s="3">
        <v>15235885587000</v>
      </c>
      <c r="Q466" s="3">
        <v>14233095096000</v>
      </c>
      <c r="R466" s="3">
        <v>16154613134000</v>
      </c>
      <c r="S466" s="3">
        <v>16949505855000</v>
      </c>
      <c r="T466" s="3">
        <v>18498233546000</v>
      </c>
      <c r="U466" s="3">
        <v>20210903000000</v>
      </c>
      <c r="V466" s="3">
        <v>21458897010400</v>
      </c>
      <c r="W466" s="3">
        <v>22834724832600</v>
      </c>
      <c r="X466" s="3">
        <v>24173701954400</v>
      </c>
      <c r="Y466" s="3">
        <v>25486953568400</v>
      </c>
      <c r="Z466" s="3">
        <v>25850613093900</v>
      </c>
      <c r="AA466" s="3">
        <v>27253655206800</v>
      </c>
      <c r="AB466" s="3">
        <v>28492797136300</v>
      </c>
      <c r="AC466" s="3">
        <v>29994810483200</v>
      </c>
      <c r="AD466" s="3">
        <v>31772303808800</v>
      </c>
      <c r="AE466" t="s">
        <v>5670</v>
      </c>
      <c r="AF466" t="s">
        <v>718</v>
      </c>
    </row>
    <row r="467" spans="1:32" x14ac:dyDescent="0.3">
      <c r="A467" t="s">
        <v>1826</v>
      </c>
      <c r="B467" s="1" t="s">
        <v>1205</v>
      </c>
      <c r="C467" s="5" t="s">
        <v>2533</v>
      </c>
      <c r="D467" s="2" t="s">
        <v>4050</v>
      </c>
      <c r="E467" s="1" t="s">
        <v>1324</v>
      </c>
      <c r="F467" s="3">
        <v>9829865230300</v>
      </c>
      <c r="G467" s="3">
        <v>10336431826000</v>
      </c>
      <c r="H467" s="3">
        <v>10164454348000</v>
      </c>
      <c r="I467" s="3">
        <v>10082081288000</v>
      </c>
      <c r="J467" s="3">
        <v>10304915682000</v>
      </c>
      <c r="K467" s="3">
        <v>10800604229000</v>
      </c>
      <c r="L467" s="3">
        <v>11071674640000</v>
      </c>
      <c r="M467" s="3">
        <v>11937864716000</v>
      </c>
      <c r="N467" s="3">
        <v>12422554024000</v>
      </c>
      <c r="O467" s="3">
        <v>12925317517000</v>
      </c>
      <c r="P467" s="3">
        <v>13620336751000</v>
      </c>
      <c r="Q467" s="3">
        <v>13411468921000</v>
      </c>
      <c r="R467" s="3">
        <v>14806236140000</v>
      </c>
      <c r="S467" s="3">
        <v>16287614292000</v>
      </c>
      <c r="T467" s="3">
        <v>18026198548000</v>
      </c>
      <c r="U467" s="3">
        <v>20211000000000</v>
      </c>
      <c r="V467" s="3">
        <v>21368000000000</v>
      </c>
      <c r="W467" s="3">
        <v>23432000000000</v>
      </c>
      <c r="X467" s="3">
        <v>25483588000000</v>
      </c>
      <c r="Y467" s="3">
        <v>27365536000000</v>
      </c>
      <c r="Z467" s="3">
        <v>28374001000000</v>
      </c>
      <c r="AA467" s="3">
        <v>31060756000000</v>
      </c>
      <c r="AB467" s="3">
        <v>33995907000000</v>
      </c>
      <c r="AC467" s="3">
        <v>37381685613100</v>
      </c>
      <c r="AD467" s="3">
        <v>39351168436400</v>
      </c>
      <c r="AE467" t="s">
        <v>5671</v>
      </c>
      <c r="AF467" t="s">
        <v>718</v>
      </c>
    </row>
    <row r="468" spans="1:32" x14ac:dyDescent="0.3">
      <c r="A468" t="s">
        <v>1826</v>
      </c>
      <c r="B468" s="1" t="s">
        <v>1205</v>
      </c>
      <c r="C468" s="5" t="s">
        <v>2534</v>
      </c>
      <c r="D468" s="2" t="s">
        <v>4051</v>
      </c>
      <c r="E468" s="1" t="s">
        <v>2004</v>
      </c>
      <c r="F468" s="3">
        <v>13840826277.145575</v>
      </c>
      <c r="G468" s="3">
        <v>14113140886.149677</v>
      </c>
      <c r="H468" s="3">
        <v>14652242385.454762</v>
      </c>
      <c r="I468" s="3">
        <v>17385973511.805172</v>
      </c>
      <c r="J468" s="3">
        <v>19541385329.097599</v>
      </c>
      <c r="K468" s="3">
        <v>20484462621.980259</v>
      </c>
      <c r="L468" s="3">
        <v>21192824605.416321</v>
      </c>
      <c r="M468" s="3">
        <v>24941545626.754196</v>
      </c>
      <c r="N468" s="3">
        <v>27853257582.996498</v>
      </c>
      <c r="O468" s="3">
        <v>27483517491.164234</v>
      </c>
      <c r="P468" s="3">
        <v>27527273044.649818</v>
      </c>
      <c r="Q468" s="3">
        <v>28459433473.234146</v>
      </c>
      <c r="R468" s="3">
        <v>29000200444.088898</v>
      </c>
      <c r="S468" s="3">
        <v>32977579857.400337</v>
      </c>
      <c r="T468" s="3">
        <v>36508214567.670319</v>
      </c>
      <c r="U468" s="3">
        <v>34185724112.651104</v>
      </c>
      <c r="V468" s="3">
        <v>36057707620.60701</v>
      </c>
      <c r="W468" s="3">
        <v>40354305706.426392</v>
      </c>
      <c r="X468" s="3">
        <v>45879468008.057762</v>
      </c>
      <c r="Y468" s="3">
        <v>46705959425.275383</v>
      </c>
      <c r="Z468" s="3">
        <v>49295849366.594658</v>
      </c>
      <c r="AA468" s="3">
        <v>56012692170.989418</v>
      </c>
      <c r="AB468" s="3">
        <v>54501608472.522568</v>
      </c>
      <c r="AC468" s="3">
        <v>61628008325.301277</v>
      </c>
      <c r="AD468" s="3">
        <v>64898942222.471054</v>
      </c>
      <c r="AE468" t="s">
        <v>5672</v>
      </c>
      <c r="AF468" t="s">
        <v>718</v>
      </c>
    </row>
    <row r="469" spans="1:32" x14ac:dyDescent="0.3">
      <c r="A469" t="s">
        <v>1826</v>
      </c>
      <c r="B469" s="1" t="s">
        <v>1205</v>
      </c>
      <c r="C469" s="5" t="s">
        <v>2535</v>
      </c>
      <c r="D469" s="2" t="s">
        <v>4052</v>
      </c>
      <c r="E469" s="1" t="s">
        <v>374</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t="s">
        <v>5673</v>
      </c>
      <c r="AF469" t="s">
        <v>718</v>
      </c>
    </row>
    <row r="470" spans="1:32" x14ac:dyDescent="0.3">
      <c r="A470" t="s">
        <v>1826</v>
      </c>
      <c r="B470" s="1" t="s">
        <v>1205</v>
      </c>
      <c r="C470" s="5" t="s">
        <v>2536</v>
      </c>
      <c r="D470" s="2" t="s">
        <v>4053</v>
      </c>
      <c r="E470" s="1" t="s">
        <v>239</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t="s">
        <v>5674</v>
      </c>
      <c r="AF470" t="s">
        <v>718</v>
      </c>
    </row>
    <row r="471" spans="1:32" ht="28.8" x14ac:dyDescent="0.3">
      <c r="A471" t="s">
        <v>1826</v>
      </c>
      <c r="B471" s="1" t="s">
        <v>1205</v>
      </c>
      <c r="C471" s="5" t="s">
        <v>2537</v>
      </c>
      <c r="D471" s="2" t="s">
        <v>4054</v>
      </c>
      <c r="E471" s="1" t="s">
        <v>1261</v>
      </c>
      <c r="F471" s="3"/>
      <c r="G471" s="3"/>
      <c r="H471" s="3"/>
      <c r="I471" s="3"/>
      <c r="J471" s="3"/>
      <c r="K471" s="3"/>
      <c r="L471" s="3"/>
      <c r="M471" s="3"/>
      <c r="N471" s="3"/>
      <c r="O471" s="3"/>
      <c r="P471" s="3"/>
      <c r="Q471" s="3"/>
      <c r="R471" s="3"/>
      <c r="S471" s="3"/>
      <c r="T471" s="3"/>
      <c r="U471" s="3"/>
      <c r="V471" s="3"/>
      <c r="W471" s="3"/>
      <c r="X471" s="3"/>
      <c r="Y471" s="3"/>
      <c r="Z471" s="3"/>
      <c r="AA471" s="3"/>
      <c r="AB471" s="3"/>
      <c r="AC471" s="3">
        <v>36.01463699</v>
      </c>
      <c r="AD471" s="3"/>
      <c r="AE471" t="s">
        <v>5675</v>
      </c>
      <c r="AF471" t="s">
        <v>1766</v>
      </c>
    </row>
    <row r="472" spans="1:32" x14ac:dyDescent="0.3">
      <c r="A472" t="s">
        <v>1826</v>
      </c>
      <c r="B472" s="1" t="s">
        <v>1205</v>
      </c>
      <c r="C472" s="5" t="s">
        <v>2538</v>
      </c>
      <c r="D472" s="2" t="s">
        <v>4055</v>
      </c>
      <c r="E472" s="1" t="s">
        <v>1509</v>
      </c>
      <c r="F472" s="3"/>
      <c r="G472" s="3"/>
      <c r="H472" s="3"/>
      <c r="I472" s="3"/>
      <c r="J472" s="3"/>
      <c r="K472" s="3"/>
      <c r="L472" s="3"/>
      <c r="M472" s="3"/>
      <c r="N472" s="3"/>
      <c r="O472" s="3">
        <v>73.598968510000006</v>
      </c>
      <c r="P472" s="3"/>
      <c r="Q472" s="3"/>
      <c r="R472" s="3"/>
      <c r="S472" s="3"/>
      <c r="T472" s="3"/>
      <c r="U472" s="3"/>
      <c r="V472" s="3">
        <v>75.644424439999995</v>
      </c>
      <c r="W472" s="3"/>
      <c r="X472" s="3"/>
      <c r="Y472" s="3"/>
      <c r="Z472" s="3"/>
      <c r="AA472" s="3"/>
      <c r="AB472" s="3"/>
      <c r="AC472" s="3">
        <v>76.542617800000002</v>
      </c>
      <c r="AD472" s="3"/>
      <c r="AE472" t="s">
        <v>5676</v>
      </c>
      <c r="AF472" t="s">
        <v>1960</v>
      </c>
    </row>
    <row r="473" spans="1:32" ht="28.8" x14ac:dyDescent="0.3">
      <c r="A473" t="s">
        <v>1826</v>
      </c>
      <c r="B473" s="1" t="s">
        <v>1205</v>
      </c>
      <c r="C473" s="5" t="s">
        <v>2539</v>
      </c>
      <c r="D473" s="2" t="s">
        <v>4056</v>
      </c>
      <c r="E473" s="1" t="s">
        <v>90</v>
      </c>
      <c r="F473" s="3"/>
      <c r="G473" s="3"/>
      <c r="H473" s="3"/>
      <c r="I473" s="3"/>
      <c r="J473" s="3"/>
      <c r="K473" s="3"/>
      <c r="L473" s="3"/>
      <c r="M473" s="3"/>
      <c r="N473" s="3"/>
      <c r="O473" s="3">
        <v>13.622719760000001</v>
      </c>
      <c r="P473" s="3"/>
      <c r="Q473" s="3"/>
      <c r="R473" s="3"/>
      <c r="S473" s="3"/>
      <c r="T473" s="3"/>
      <c r="U473" s="3"/>
      <c r="V473" s="3">
        <v>22.90621758</v>
      </c>
      <c r="W473" s="3"/>
      <c r="X473" s="3"/>
      <c r="Y473" s="3"/>
      <c r="Z473" s="3"/>
      <c r="AA473" s="3"/>
      <c r="AB473" s="3"/>
      <c r="AC473" s="3">
        <v>20.300662989999999</v>
      </c>
      <c r="AD473" s="3"/>
      <c r="AE473" t="s">
        <v>5677</v>
      </c>
      <c r="AF473" t="s">
        <v>1960</v>
      </c>
    </row>
    <row r="474" spans="1:32" x14ac:dyDescent="0.3">
      <c r="A474" t="s">
        <v>1826</v>
      </c>
      <c r="B474" s="1" t="s">
        <v>1205</v>
      </c>
      <c r="C474" s="5" t="s">
        <v>2540</v>
      </c>
      <c r="D474" s="2" t="s">
        <v>4057</v>
      </c>
      <c r="E474" s="1" t="s">
        <v>70</v>
      </c>
      <c r="F474" s="3"/>
      <c r="G474" s="3"/>
      <c r="H474" s="3"/>
      <c r="I474" s="3"/>
      <c r="J474" s="3"/>
      <c r="K474" s="3"/>
      <c r="L474" s="3"/>
      <c r="M474" s="3"/>
      <c r="N474" s="3"/>
      <c r="O474" s="3">
        <v>54.823337549999998</v>
      </c>
      <c r="P474" s="3"/>
      <c r="Q474" s="3"/>
      <c r="R474" s="3"/>
      <c r="S474" s="3"/>
      <c r="T474" s="3"/>
      <c r="U474" s="3"/>
      <c r="V474" s="3">
        <v>78.761650090000003</v>
      </c>
      <c r="W474" s="3"/>
      <c r="X474" s="3"/>
      <c r="Y474" s="3"/>
      <c r="Z474" s="3"/>
      <c r="AA474" s="3"/>
      <c r="AB474" s="3"/>
      <c r="AC474" s="3">
        <v>80.349182130000003</v>
      </c>
      <c r="AD474" s="3"/>
      <c r="AE474" t="s">
        <v>5678</v>
      </c>
      <c r="AF474" t="s">
        <v>1960</v>
      </c>
    </row>
    <row r="475" spans="1:32" x14ac:dyDescent="0.3">
      <c r="A475" t="s">
        <v>1826</v>
      </c>
      <c r="B475" s="1" t="s">
        <v>1205</v>
      </c>
      <c r="C475" s="5" t="s">
        <v>2541</v>
      </c>
      <c r="D475" s="2" t="s">
        <v>4058</v>
      </c>
      <c r="E475" s="1" t="s">
        <v>976</v>
      </c>
      <c r="F475" s="3"/>
      <c r="G475" s="3"/>
      <c r="H475" s="3"/>
      <c r="I475" s="3"/>
      <c r="J475" s="3"/>
      <c r="K475" s="3"/>
      <c r="L475" s="3"/>
      <c r="M475" s="3"/>
      <c r="N475" s="3"/>
      <c r="O475" s="3">
        <v>2.2461423869999999</v>
      </c>
      <c r="P475" s="3"/>
      <c r="Q475" s="3"/>
      <c r="R475" s="3"/>
      <c r="S475" s="3"/>
      <c r="T475" s="3"/>
      <c r="U475" s="3"/>
      <c r="V475" s="3">
        <v>6.1955614089999997</v>
      </c>
      <c r="W475" s="3"/>
      <c r="X475" s="3"/>
      <c r="Y475" s="3"/>
      <c r="Z475" s="3"/>
      <c r="AA475" s="3"/>
      <c r="AB475" s="3"/>
      <c r="AC475" s="3">
        <v>9.5062265400000001</v>
      </c>
      <c r="AD475" s="3"/>
      <c r="AE475" t="s">
        <v>5679</v>
      </c>
      <c r="AF475" t="s">
        <v>1766</v>
      </c>
    </row>
    <row r="476" spans="1:32" x14ac:dyDescent="0.3">
      <c r="A476" t="s">
        <v>1826</v>
      </c>
      <c r="B476" s="1" t="s">
        <v>1205</v>
      </c>
      <c r="C476" s="5" t="s">
        <v>2542</v>
      </c>
      <c r="D476" s="2" t="s">
        <v>4059</v>
      </c>
      <c r="E476" s="1" t="s">
        <v>1732</v>
      </c>
      <c r="F476" s="3"/>
      <c r="G476" s="3"/>
      <c r="H476" s="3"/>
      <c r="I476" s="3"/>
      <c r="J476" s="3"/>
      <c r="K476" s="3"/>
      <c r="L476" s="3"/>
      <c r="M476" s="3"/>
      <c r="N476" s="3"/>
      <c r="O476" s="3"/>
      <c r="P476" s="3"/>
      <c r="Q476" s="3"/>
      <c r="R476" s="3"/>
      <c r="S476" s="3"/>
      <c r="T476" s="3"/>
      <c r="U476" s="3"/>
      <c r="V476" s="3"/>
      <c r="W476" s="3"/>
      <c r="X476" s="3"/>
      <c r="Y476" s="3"/>
      <c r="Z476" s="3"/>
      <c r="AA476" s="3"/>
      <c r="AB476" s="3"/>
      <c r="AC476" s="3">
        <v>45.586936950000002</v>
      </c>
      <c r="AD476" s="3"/>
      <c r="AE476" t="s">
        <v>5680</v>
      </c>
      <c r="AF476" t="s">
        <v>1766</v>
      </c>
    </row>
    <row r="477" spans="1:32" x14ac:dyDescent="0.3">
      <c r="A477" t="s">
        <v>1826</v>
      </c>
      <c r="B477" s="1" t="s">
        <v>1205</v>
      </c>
      <c r="C477" s="5" t="s">
        <v>2543</v>
      </c>
      <c r="D477" s="2" t="s">
        <v>4060</v>
      </c>
      <c r="E477" s="1" t="s">
        <v>1055</v>
      </c>
      <c r="F477" s="3"/>
      <c r="G477" s="3"/>
      <c r="H477" s="3"/>
      <c r="I477" s="3"/>
      <c r="J477" s="3"/>
      <c r="K477" s="3"/>
      <c r="L477" s="3"/>
      <c r="M477" s="3"/>
      <c r="N477" s="3"/>
      <c r="O477" s="3">
        <v>56.36812973</v>
      </c>
      <c r="P477" s="3"/>
      <c r="Q477" s="3"/>
      <c r="R477" s="3"/>
      <c r="S477" s="3"/>
      <c r="T477" s="3"/>
      <c r="U477" s="3"/>
      <c r="V477" s="3">
        <v>87.861228940000004</v>
      </c>
      <c r="W477" s="3"/>
      <c r="X477" s="3"/>
      <c r="Y477" s="3"/>
      <c r="Z477" s="3"/>
      <c r="AA477" s="3"/>
      <c r="AB477" s="3"/>
      <c r="AC477" s="3">
        <v>47.858062740000001</v>
      </c>
      <c r="AD477" s="3"/>
      <c r="AE477" t="s">
        <v>5681</v>
      </c>
      <c r="AF477" t="s">
        <v>1960</v>
      </c>
    </row>
    <row r="478" spans="1:32" x14ac:dyDescent="0.3">
      <c r="A478" t="s">
        <v>1826</v>
      </c>
      <c r="B478" s="1" t="s">
        <v>1205</v>
      </c>
      <c r="C478" s="5" t="s">
        <v>2544</v>
      </c>
      <c r="D478" s="2" t="s">
        <v>4061</v>
      </c>
      <c r="E478" s="1" t="s">
        <v>133</v>
      </c>
      <c r="F478" s="3"/>
      <c r="G478" s="3"/>
      <c r="H478" s="3"/>
      <c r="I478" s="3"/>
      <c r="J478" s="3"/>
      <c r="K478" s="3"/>
      <c r="L478" s="3"/>
      <c r="M478" s="3"/>
      <c r="N478" s="3"/>
      <c r="O478" s="3"/>
      <c r="P478" s="3"/>
      <c r="Q478" s="3"/>
      <c r="R478" s="3"/>
      <c r="S478" s="3"/>
      <c r="T478" s="3"/>
      <c r="U478" s="3"/>
      <c r="V478" s="3"/>
      <c r="W478" s="3"/>
      <c r="X478" s="3"/>
      <c r="Y478" s="3"/>
      <c r="Z478" s="3"/>
      <c r="AA478" s="3"/>
      <c r="AB478" s="3"/>
      <c r="AC478" s="3">
        <v>28.059333800000001</v>
      </c>
      <c r="AD478" s="3"/>
      <c r="AE478" t="s">
        <v>5682</v>
      </c>
      <c r="AF478" t="s">
        <v>1766</v>
      </c>
    </row>
    <row r="479" spans="1:32" x14ac:dyDescent="0.3">
      <c r="A479" t="s">
        <v>1826</v>
      </c>
      <c r="B479" s="1" t="s">
        <v>1205</v>
      </c>
      <c r="C479" s="5" t="s">
        <v>2545</v>
      </c>
      <c r="D479" s="2" t="s">
        <v>4062</v>
      </c>
      <c r="E479" s="1" t="s">
        <v>1611</v>
      </c>
      <c r="F479" s="3"/>
      <c r="G479" s="3"/>
      <c r="H479" s="3"/>
      <c r="I479" s="3"/>
      <c r="J479" s="3"/>
      <c r="K479" s="3"/>
      <c r="L479" s="3"/>
      <c r="M479" s="3"/>
      <c r="N479" s="3"/>
      <c r="O479" s="3">
        <v>19.106485370000001</v>
      </c>
      <c r="P479" s="3"/>
      <c r="Q479" s="3"/>
      <c r="R479" s="3"/>
      <c r="S479" s="3"/>
      <c r="T479" s="3"/>
      <c r="U479" s="3"/>
      <c r="V479" s="3">
        <v>35.456268309999999</v>
      </c>
      <c r="W479" s="3"/>
      <c r="X479" s="3"/>
      <c r="Y479" s="3"/>
      <c r="Z479" s="3"/>
      <c r="AA479" s="3"/>
      <c r="AB479" s="3"/>
      <c r="AC479" s="3">
        <v>27.095649720000001</v>
      </c>
      <c r="AD479" s="3"/>
      <c r="AE479" t="s">
        <v>5683</v>
      </c>
      <c r="AF479" t="s">
        <v>1960</v>
      </c>
    </row>
    <row r="480" spans="1:32" x14ac:dyDescent="0.3">
      <c r="A480" t="s">
        <v>1826</v>
      </c>
      <c r="B480" s="1" t="s">
        <v>1205</v>
      </c>
      <c r="C480" s="5" t="s">
        <v>2546</v>
      </c>
      <c r="D480" s="2" t="s">
        <v>4063</v>
      </c>
      <c r="E480" s="1" t="s">
        <v>824</v>
      </c>
      <c r="F480" s="3"/>
      <c r="G480" s="3"/>
      <c r="H480" s="3"/>
      <c r="I480" s="3"/>
      <c r="J480" s="3"/>
      <c r="K480" s="3"/>
      <c r="L480" s="3"/>
      <c r="M480" s="3"/>
      <c r="N480" s="3"/>
      <c r="O480" s="3"/>
      <c r="P480" s="3"/>
      <c r="Q480" s="3"/>
      <c r="R480" s="3"/>
      <c r="S480" s="3"/>
      <c r="T480" s="3"/>
      <c r="U480" s="3"/>
      <c r="V480" s="3">
        <v>34.443298339999998</v>
      </c>
      <c r="W480" s="3"/>
      <c r="X480" s="3"/>
      <c r="Y480" s="3"/>
      <c r="Z480" s="3"/>
      <c r="AA480" s="3"/>
      <c r="AB480" s="3"/>
      <c r="AC480" s="3">
        <v>25.143363950000001</v>
      </c>
      <c r="AD480" s="3"/>
      <c r="AE480" t="s">
        <v>5684</v>
      </c>
      <c r="AF480" t="s">
        <v>1766</v>
      </c>
    </row>
    <row r="481" spans="1:32" x14ac:dyDescent="0.3">
      <c r="A481" t="s">
        <v>1826</v>
      </c>
      <c r="B481" s="1" t="s">
        <v>1205</v>
      </c>
      <c r="C481" s="5" t="s">
        <v>2547</v>
      </c>
      <c r="D481" s="2" t="s">
        <v>4064</v>
      </c>
      <c r="E481" s="1" t="s">
        <v>921</v>
      </c>
      <c r="F481" s="3"/>
      <c r="G481" s="3"/>
      <c r="H481" s="3"/>
      <c r="I481" s="3"/>
      <c r="J481" s="3"/>
      <c r="K481" s="3"/>
      <c r="L481" s="3"/>
      <c r="M481" s="3"/>
      <c r="N481" s="3"/>
      <c r="O481" s="3"/>
      <c r="P481" s="3"/>
      <c r="Q481" s="3"/>
      <c r="R481" s="3"/>
      <c r="S481" s="3"/>
      <c r="T481" s="3"/>
      <c r="U481" s="3"/>
      <c r="V481" s="3">
        <v>18.326133729999999</v>
      </c>
      <c r="W481" s="3"/>
      <c r="X481" s="3"/>
      <c r="Y481" s="3"/>
      <c r="Z481" s="3"/>
      <c r="AA481" s="3"/>
      <c r="AB481" s="3"/>
      <c r="AC481" s="3">
        <v>31.41151619</v>
      </c>
      <c r="AD481" s="3"/>
      <c r="AE481" t="s">
        <v>5685</v>
      </c>
      <c r="AF481" t="s">
        <v>1766</v>
      </c>
    </row>
    <row r="482" spans="1:32" x14ac:dyDescent="0.3">
      <c r="A482" t="s">
        <v>1826</v>
      </c>
      <c r="B482" s="1" t="s">
        <v>1205</v>
      </c>
      <c r="C482" s="5" t="s">
        <v>2548</v>
      </c>
      <c r="D482" s="2" t="s">
        <v>4065</v>
      </c>
      <c r="E482" s="1" t="s">
        <v>844</v>
      </c>
      <c r="F482" s="3"/>
      <c r="G482" s="3"/>
      <c r="H482" s="3"/>
      <c r="I482" s="3"/>
      <c r="J482" s="3"/>
      <c r="K482" s="3"/>
      <c r="L482" s="3"/>
      <c r="M482" s="3"/>
      <c r="N482" s="3"/>
      <c r="O482" s="3">
        <v>68.06</v>
      </c>
      <c r="P482" s="3"/>
      <c r="Q482" s="3"/>
      <c r="R482" s="3"/>
      <c r="S482" s="3"/>
      <c r="T482" s="3"/>
      <c r="U482" s="3"/>
      <c r="V482" s="3"/>
      <c r="W482" s="3"/>
      <c r="X482" s="3"/>
      <c r="Y482" s="3"/>
      <c r="Z482" s="3"/>
      <c r="AA482" s="3"/>
      <c r="AB482" s="3"/>
      <c r="AC482" s="3"/>
      <c r="AD482" s="3"/>
      <c r="AE482" t="s">
        <v>5686</v>
      </c>
      <c r="AF482" t="s">
        <v>1960</v>
      </c>
    </row>
    <row r="483" spans="1:32" ht="28.8" x14ac:dyDescent="0.3">
      <c r="A483" t="s">
        <v>1826</v>
      </c>
      <c r="B483" s="1" t="s">
        <v>1205</v>
      </c>
      <c r="C483" s="5" t="s">
        <v>2549</v>
      </c>
      <c r="D483" s="2" t="s">
        <v>4066</v>
      </c>
      <c r="E483" s="1" t="s">
        <v>1782</v>
      </c>
      <c r="F483" s="3"/>
      <c r="G483" s="3"/>
      <c r="H483" s="3"/>
      <c r="I483" s="3"/>
      <c r="J483" s="3"/>
      <c r="K483" s="3"/>
      <c r="L483" s="3"/>
      <c r="M483" s="3"/>
      <c r="N483" s="3"/>
      <c r="O483" s="3"/>
      <c r="P483" s="3"/>
      <c r="Q483" s="3"/>
      <c r="R483" s="3"/>
      <c r="S483" s="3"/>
      <c r="T483" s="3"/>
      <c r="U483" s="3"/>
      <c r="V483" s="3">
        <v>5.4188356400000002</v>
      </c>
      <c r="W483" s="3"/>
      <c r="X483" s="3"/>
      <c r="Y483" s="3"/>
      <c r="Z483" s="3"/>
      <c r="AA483" s="3"/>
      <c r="AB483" s="3"/>
      <c r="AC483" s="3">
        <v>0.81951248649999997</v>
      </c>
      <c r="AD483" s="3"/>
      <c r="AE483" t="s">
        <v>5687</v>
      </c>
      <c r="AF483" t="s">
        <v>1766</v>
      </c>
    </row>
    <row r="484" spans="1:32" x14ac:dyDescent="0.3">
      <c r="A484" t="s">
        <v>1826</v>
      </c>
      <c r="B484" s="1" t="s">
        <v>1205</v>
      </c>
      <c r="C484" s="5" t="s">
        <v>2550</v>
      </c>
      <c r="D484" s="2" t="s">
        <v>4067</v>
      </c>
      <c r="E484" s="1" t="s">
        <v>729</v>
      </c>
      <c r="F484" s="3"/>
      <c r="G484" s="3"/>
      <c r="H484" s="3"/>
      <c r="I484" s="3"/>
      <c r="J484" s="3"/>
      <c r="K484" s="3"/>
      <c r="L484" s="3"/>
      <c r="M484" s="3"/>
      <c r="N484" s="3"/>
      <c r="O484" s="3"/>
      <c r="P484" s="3"/>
      <c r="Q484" s="3"/>
      <c r="R484" s="3"/>
      <c r="S484" s="3"/>
      <c r="T484" s="3"/>
      <c r="U484" s="3"/>
      <c r="V484" s="3"/>
      <c r="W484" s="3"/>
      <c r="X484" s="3"/>
      <c r="Y484" s="3"/>
      <c r="Z484" s="3"/>
      <c r="AA484" s="3"/>
      <c r="AB484" s="3"/>
      <c r="AC484" s="3">
        <v>37.533512119999997</v>
      </c>
      <c r="AD484" s="3"/>
      <c r="AE484" t="s">
        <v>5688</v>
      </c>
      <c r="AF484" t="s">
        <v>1766</v>
      </c>
    </row>
    <row r="485" spans="1:32" x14ac:dyDescent="0.3">
      <c r="A485" t="s">
        <v>1826</v>
      </c>
      <c r="B485" s="1" t="s">
        <v>1205</v>
      </c>
      <c r="C485" s="5" t="s">
        <v>2551</v>
      </c>
      <c r="D485" s="2" t="s">
        <v>4068</v>
      </c>
      <c r="E485" s="1" t="s">
        <v>1663</v>
      </c>
      <c r="F485" s="3"/>
      <c r="G485" s="3"/>
      <c r="H485" s="3"/>
      <c r="I485" s="3"/>
      <c r="J485" s="3"/>
      <c r="K485" s="3"/>
      <c r="L485" s="3"/>
      <c r="M485" s="3"/>
      <c r="N485" s="3"/>
      <c r="O485" s="3">
        <v>13.886706350000001</v>
      </c>
      <c r="P485" s="3"/>
      <c r="Q485" s="3"/>
      <c r="R485" s="3"/>
      <c r="S485" s="3"/>
      <c r="T485" s="3"/>
      <c r="U485" s="3"/>
      <c r="V485" s="3">
        <v>23.648708339999999</v>
      </c>
      <c r="W485" s="3"/>
      <c r="X485" s="3"/>
      <c r="Y485" s="3"/>
      <c r="Z485" s="3"/>
      <c r="AA485" s="3"/>
      <c r="AB485" s="3"/>
      <c r="AC485" s="3">
        <v>38.44166946</v>
      </c>
      <c r="AD485" s="3"/>
      <c r="AE485" t="s">
        <v>5689</v>
      </c>
      <c r="AF485" t="s">
        <v>1960</v>
      </c>
    </row>
    <row r="486" spans="1:32" x14ac:dyDescent="0.3">
      <c r="A486" t="s">
        <v>1826</v>
      </c>
      <c r="B486" s="1" t="s">
        <v>1205</v>
      </c>
      <c r="C486" s="5" t="s">
        <v>2552</v>
      </c>
      <c r="D486" s="2" t="s">
        <v>4069</v>
      </c>
      <c r="E486" s="1" t="s">
        <v>835</v>
      </c>
      <c r="F486" s="3"/>
      <c r="G486" s="3"/>
      <c r="H486" s="3"/>
      <c r="I486" s="3"/>
      <c r="J486" s="3"/>
      <c r="K486" s="3"/>
      <c r="L486" s="3"/>
      <c r="M486" s="3"/>
      <c r="N486" s="3"/>
      <c r="O486" s="3">
        <v>8.2946090699999999</v>
      </c>
      <c r="P486" s="3"/>
      <c r="Q486" s="3"/>
      <c r="R486" s="3"/>
      <c r="S486" s="3"/>
      <c r="T486" s="3"/>
      <c r="U486" s="3"/>
      <c r="V486" s="3">
        <v>15.250522610000001</v>
      </c>
      <c r="W486" s="3"/>
      <c r="X486" s="3"/>
      <c r="Y486" s="3"/>
      <c r="Z486" s="3"/>
      <c r="AA486" s="3"/>
      <c r="AB486" s="3"/>
      <c r="AC486" s="3">
        <v>25.434389110000001</v>
      </c>
      <c r="AD486" s="3"/>
      <c r="AE486" t="s">
        <v>5690</v>
      </c>
      <c r="AF486" t="s">
        <v>1960</v>
      </c>
    </row>
    <row r="487" spans="1:32" ht="28.8" x14ac:dyDescent="0.3">
      <c r="A487" t="s">
        <v>1826</v>
      </c>
      <c r="B487" s="1" t="s">
        <v>1205</v>
      </c>
      <c r="C487" s="5" t="s">
        <v>2553</v>
      </c>
      <c r="D487" s="2" t="s">
        <v>4070</v>
      </c>
      <c r="E487" s="1" t="s">
        <v>1425</v>
      </c>
      <c r="F487" s="3"/>
      <c r="G487" s="3"/>
      <c r="H487" s="3"/>
      <c r="I487" s="3"/>
      <c r="J487" s="3"/>
      <c r="K487" s="3"/>
      <c r="L487" s="3"/>
      <c r="M487" s="3"/>
      <c r="N487" s="3"/>
      <c r="O487" s="3">
        <v>52.011394500000002</v>
      </c>
      <c r="P487" s="3"/>
      <c r="Q487" s="3"/>
      <c r="R487" s="3"/>
      <c r="S487" s="3"/>
      <c r="T487" s="3"/>
      <c r="U487" s="3"/>
      <c r="V487" s="3">
        <v>75.893684390000004</v>
      </c>
      <c r="W487" s="3"/>
      <c r="X487" s="3"/>
      <c r="Y487" s="3"/>
      <c r="Z487" s="3"/>
      <c r="AA487" s="3"/>
      <c r="AB487" s="3"/>
      <c r="AC487" s="3">
        <v>58.404079439999997</v>
      </c>
      <c r="AD487" s="3"/>
      <c r="AE487" t="s">
        <v>5691</v>
      </c>
      <c r="AF487" t="s">
        <v>1960</v>
      </c>
    </row>
    <row r="488" spans="1:32" x14ac:dyDescent="0.3">
      <c r="A488" t="s">
        <v>1826</v>
      </c>
      <c r="B488" s="1" t="s">
        <v>1205</v>
      </c>
      <c r="C488" s="5" t="s">
        <v>2554</v>
      </c>
      <c r="D488" s="2" t="s">
        <v>4071</v>
      </c>
      <c r="E488" s="1" t="s">
        <v>387</v>
      </c>
      <c r="F488" s="3"/>
      <c r="G488" s="3"/>
      <c r="H488" s="3"/>
      <c r="I488" s="3"/>
      <c r="J488" s="3"/>
      <c r="K488" s="3"/>
      <c r="L488" s="3"/>
      <c r="M488" s="3"/>
      <c r="N488" s="3"/>
      <c r="O488" s="3">
        <v>88.543128969999998</v>
      </c>
      <c r="P488" s="3"/>
      <c r="Q488" s="3"/>
      <c r="R488" s="3"/>
      <c r="S488" s="3"/>
      <c r="T488" s="3"/>
      <c r="U488" s="3"/>
      <c r="V488" s="3"/>
      <c r="W488" s="3"/>
      <c r="X488" s="3"/>
      <c r="Y488" s="3"/>
      <c r="Z488" s="3"/>
      <c r="AA488" s="3"/>
      <c r="AB488" s="3"/>
      <c r="AC488" s="3">
        <v>72.633079530000003</v>
      </c>
      <c r="AD488" s="3"/>
      <c r="AE488" t="s">
        <v>5692</v>
      </c>
      <c r="AF488" t="s">
        <v>1766</v>
      </c>
    </row>
    <row r="489" spans="1:32" x14ac:dyDescent="0.3">
      <c r="A489" t="s">
        <v>1826</v>
      </c>
      <c r="B489" s="1" t="s">
        <v>1205</v>
      </c>
      <c r="C489" s="5" t="s">
        <v>2555</v>
      </c>
      <c r="D489" s="2" t="s">
        <v>4072</v>
      </c>
      <c r="E489" s="1" t="s">
        <v>1781</v>
      </c>
      <c r="F489" s="3"/>
      <c r="G489" s="3"/>
      <c r="H489" s="3"/>
      <c r="I489" s="3"/>
      <c r="J489" s="3"/>
      <c r="K489" s="3"/>
      <c r="L489" s="3"/>
      <c r="M489" s="3"/>
      <c r="N489" s="3"/>
      <c r="O489" s="3">
        <v>11.48861885</v>
      </c>
      <c r="P489" s="3"/>
      <c r="Q489" s="3"/>
      <c r="R489" s="3"/>
      <c r="S489" s="3"/>
      <c r="T489" s="3"/>
      <c r="U489" s="3"/>
      <c r="V489" s="3">
        <v>21.342899320000001</v>
      </c>
      <c r="W489" s="3"/>
      <c r="X489" s="3"/>
      <c r="Y489" s="3"/>
      <c r="Z489" s="3"/>
      <c r="AA489" s="3"/>
      <c r="AB489" s="3"/>
      <c r="AC489" s="3">
        <v>26.927337649999998</v>
      </c>
      <c r="AD489" s="3"/>
      <c r="AE489" t="s">
        <v>5693</v>
      </c>
      <c r="AF489" t="s">
        <v>1766</v>
      </c>
    </row>
    <row r="490" spans="1:32" x14ac:dyDescent="0.3">
      <c r="A490" t="s">
        <v>1826</v>
      </c>
      <c r="B490" s="1" t="s">
        <v>1205</v>
      </c>
      <c r="C490" s="5" t="s">
        <v>2556</v>
      </c>
      <c r="D490" s="2" t="s">
        <v>4073</v>
      </c>
      <c r="E490" s="1" t="s">
        <v>1683</v>
      </c>
      <c r="F490" s="3"/>
      <c r="G490" s="3"/>
      <c r="H490" s="3"/>
      <c r="I490" s="3"/>
      <c r="J490" s="3"/>
      <c r="K490" s="3"/>
      <c r="L490" s="3"/>
      <c r="M490" s="3"/>
      <c r="N490" s="3"/>
      <c r="O490" s="3">
        <v>14.97899151</v>
      </c>
      <c r="P490" s="3"/>
      <c r="Q490" s="3"/>
      <c r="R490" s="3"/>
      <c r="S490" s="3"/>
      <c r="T490" s="3"/>
      <c r="U490" s="3"/>
      <c r="V490" s="3">
        <v>28.916143420000001</v>
      </c>
      <c r="W490" s="3"/>
      <c r="X490" s="3"/>
      <c r="Y490" s="3"/>
      <c r="Z490" s="3"/>
      <c r="AA490" s="3"/>
      <c r="AB490" s="3"/>
      <c r="AC490" s="3">
        <v>22.529281619999999</v>
      </c>
      <c r="AD490" s="3"/>
      <c r="AE490" t="s">
        <v>5694</v>
      </c>
      <c r="AF490" t="s">
        <v>1766</v>
      </c>
    </row>
    <row r="491" spans="1:32" x14ac:dyDescent="0.3">
      <c r="A491" t="s">
        <v>1826</v>
      </c>
      <c r="B491" s="1" t="s">
        <v>1205</v>
      </c>
      <c r="C491" s="5" t="s">
        <v>2557</v>
      </c>
      <c r="D491" s="2" t="s">
        <v>4074</v>
      </c>
      <c r="E491" s="1" t="s">
        <v>501</v>
      </c>
      <c r="F491" s="3"/>
      <c r="G491" s="3"/>
      <c r="H491" s="3"/>
      <c r="I491" s="3"/>
      <c r="J491" s="3"/>
      <c r="K491" s="3"/>
      <c r="L491" s="3"/>
      <c r="M491" s="3"/>
      <c r="N491" s="3"/>
      <c r="O491" s="3">
        <v>61.940139770000002</v>
      </c>
      <c r="P491" s="3"/>
      <c r="Q491" s="3"/>
      <c r="R491" s="3"/>
      <c r="S491" s="3"/>
      <c r="T491" s="3"/>
      <c r="U491" s="3"/>
      <c r="V491" s="3">
        <v>24.367090229999999</v>
      </c>
      <c r="W491" s="3"/>
      <c r="X491" s="3"/>
      <c r="Y491" s="3"/>
      <c r="Z491" s="3"/>
      <c r="AA491" s="3"/>
      <c r="AB491" s="3"/>
      <c r="AC491" s="3">
        <v>22.492544169999999</v>
      </c>
      <c r="AD491" s="3"/>
      <c r="AE491" t="s">
        <v>5695</v>
      </c>
      <c r="AF491" t="s">
        <v>1960</v>
      </c>
    </row>
    <row r="492" spans="1:32" x14ac:dyDescent="0.3">
      <c r="A492" t="s">
        <v>1826</v>
      </c>
      <c r="B492" s="1" t="s">
        <v>1205</v>
      </c>
      <c r="C492" s="5" t="s">
        <v>2558</v>
      </c>
      <c r="D492" s="2" t="s">
        <v>4075</v>
      </c>
      <c r="E492" s="1" t="s">
        <v>995</v>
      </c>
      <c r="F492" s="3"/>
      <c r="G492" s="3"/>
      <c r="H492" s="3"/>
      <c r="I492" s="3"/>
      <c r="J492" s="3"/>
      <c r="K492" s="3"/>
      <c r="L492" s="3"/>
      <c r="M492" s="3"/>
      <c r="N492" s="3"/>
      <c r="O492" s="3"/>
      <c r="P492" s="3"/>
      <c r="Q492" s="3"/>
      <c r="R492" s="3"/>
      <c r="S492" s="3"/>
      <c r="T492" s="3"/>
      <c r="U492" s="3"/>
      <c r="V492" s="3">
        <v>14.29562855</v>
      </c>
      <c r="W492" s="3"/>
      <c r="X492" s="3"/>
      <c r="Y492" s="3"/>
      <c r="Z492" s="3"/>
      <c r="AA492" s="3"/>
      <c r="AB492" s="3"/>
      <c r="AC492" s="3">
        <v>11.55643559</v>
      </c>
      <c r="AD492" s="3"/>
      <c r="AE492" t="s">
        <v>5696</v>
      </c>
      <c r="AF492" t="s">
        <v>1960</v>
      </c>
    </row>
    <row r="493" spans="1:32" x14ac:dyDescent="0.3">
      <c r="A493" t="s">
        <v>1826</v>
      </c>
      <c r="B493" s="1" t="s">
        <v>1205</v>
      </c>
      <c r="C493" s="5" t="s">
        <v>2559</v>
      </c>
      <c r="D493" s="2" t="s">
        <v>4076</v>
      </c>
      <c r="E493" s="1" t="s">
        <v>212</v>
      </c>
      <c r="F493" s="3"/>
      <c r="G493" s="3"/>
      <c r="H493" s="3"/>
      <c r="I493" s="3"/>
      <c r="J493" s="3"/>
      <c r="K493" s="3"/>
      <c r="L493" s="3"/>
      <c r="M493" s="3"/>
      <c r="N493" s="3"/>
      <c r="O493" s="3"/>
      <c r="P493" s="3"/>
      <c r="Q493" s="3"/>
      <c r="R493" s="3"/>
      <c r="S493" s="3"/>
      <c r="T493" s="3"/>
      <c r="U493" s="3"/>
      <c r="V493" s="3"/>
      <c r="W493" s="3"/>
      <c r="X493" s="3">
        <v>59</v>
      </c>
      <c r="Y493" s="3"/>
      <c r="Z493" s="3"/>
      <c r="AA493" s="3"/>
      <c r="AB493" s="3"/>
      <c r="AC493" s="3"/>
      <c r="AD493" s="3"/>
      <c r="AE493" t="s">
        <v>5697</v>
      </c>
      <c r="AF493" t="s">
        <v>288</v>
      </c>
    </row>
    <row r="494" spans="1:32" x14ac:dyDescent="0.3">
      <c r="A494" t="s">
        <v>1826</v>
      </c>
      <c r="B494" s="1" t="s">
        <v>1205</v>
      </c>
      <c r="C494" s="5" t="s">
        <v>2560</v>
      </c>
      <c r="D494" s="2" t="s">
        <v>4077</v>
      </c>
      <c r="E494" s="1" t="s">
        <v>1290</v>
      </c>
      <c r="F494" s="3"/>
      <c r="G494" s="3"/>
      <c r="H494" s="3"/>
      <c r="I494" s="3">
        <v>413</v>
      </c>
      <c r="J494" s="3">
        <v>826</v>
      </c>
      <c r="K494" s="3">
        <v>1239</v>
      </c>
      <c r="L494" s="3">
        <v>10000</v>
      </c>
      <c r="M494" s="3">
        <v>10000</v>
      </c>
      <c r="N494" s="3">
        <v>10000</v>
      </c>
      <c r="O494" s="3">
        <v>10000</v>
      </c>
      <c r="P494" s="3"/>
      <c r="Q494" s="3"/>
      <c r="R494" s="3">
        <v>46167</v>
      </c>
      <c r="S494" s="3">
        <v>56281</v>
      </c>
      <c r="T494" s="3">
        <v>126857</v>
      </c>
      <c r="U494" s="3">
        <v>109707</v>
      </c>
      <c r="V494" s="3">
        <v>136380</v>
      </c>
      <c r="W494" s="3">
        <v>142825</v>
      </c>
      <c r="X494" s="3">
        <v>175918</v>
      </c>
      <c r="Y494" s="3">
        <v>216723</v>
      </c>
      <c r="Z494" s="3">
        <v>261370</v>
      </c>
      <c r="AA494" s="3">
        <v>335041</v>
      </c>
      <c r="AB494" s="3">
        <v>380482</v>
      </c>
      <c r="AC494" s="3">
        <v>424902</v>
      </c>
      <c r="AD494" s="3"/>
      <c r="AE494" t="s">
        <v>5698</v>
      </c>
      <c r="AF494" t="s">
        <v>1730</v>
      </c>
    </row>
    <row r="495" spans="1:32" x14ac:dyDescent="0.3">
      <c r="A495" t="s">
        <v>1826</v>
      </c>
      <c r="B495" s="1" t="s">
        <v>1205</v>
      </c>
      <c r="C495" s="5" t="s">
        <v>2561</v>
      </c>
      <c r="D495" s="2" t="s">
        <v>4078</v>
      </c>
      <c r="E495" s="1" t="s">
        <v>1636</v>
      </c>
      <c r="F495" s="3"/>
      <c r="G495" s="3"/>
      <c r="H495" s="3"/>
      <c r="I495" s="3">
        <v>2.15942E-3</v>
      </c>
      <c r="J495" s="3">
        <v>4.2153599999999996E-3</v>
      </c>
      <c r="K495" s="3">
        <v>6.1738699999999997E-3</v>
      </c>
      <c r="L495" s="3">
        <v>4.8669400000000002E-2</v>
      </c>
      <c r="M495" s="3">
        <v>4.7549899999999999E-2</v>
      </c>
      <c r="N495" s="3">
        <v>4.6480399999999998E-2</v>
      </c>
      <c r="O495" s="3">
        <v>4.5458800000000001E-2</v>
      </c>
      <c r="P495" s="3"/>
      <c r="Q495" s="3"/>
      <c r="R495" s="3">
        <v>0.19673099999999999</v>
      </c>
      <c r="S495" s="3">
        <v>0.235094</v>
      </c>
      <c r="T495" s="3">
        <v>0.51720500000000003</v>
      </c>
      <c r="U495" s="3">
        <v>0.43454599999999999</v>
      </c>
      <c r="V495" s="3">
        <v>0.524752</v>
      </c>
      <c r="W495" s="3">
        <v>0.53425699999999998</v>
      </c>
      <c r="X495" s="3">
        <v>0.64053599999999999</v>
      </c>
      <c r="Y495" s="3">
        <v>0.76871199999999995</v>
      </c>
      <c r="Z495" s="3">
        <v>0.90391100000000002</v>
      </c>
      <c r="AA495" s="3">
        <v>1.1303799999999999</v>
      </c>
      <c r="AB495" s="3">
        <v>1.25179</v>
      </c>
      <c r="AC495" s="3">
        <v>1.36337</v>
      </c>
      <c r="AD495" s="3"/>
      <c r="AE495" t="s">
        <v>5698</v>
      </c>
      <c r="AF495" t="s">
        <v>556</v>
      </c>
    </row>
    <row r="496" spans="1:32" x14ac:dyDescent="0.3">
      <c r="A496" t="s">
        <v>1826</v>
      </c>
      <c r="B496" s="1" t="s">
        <v>1205</v>
      </c>
      <c r="C496" s="5" t="s">
        <v>2562</v>
      </c>
      <c r="D496" s="2" t="s">
        <v>4079</v>
      </c>
      <c r="E496" s="1" t="s">
        <v>55</v>
      </c>
      <c r="F496" s="3">
        <v>263667</v>
      </c>
      <c r="G496" s="3">
        <v>293568</v>
      </c>
      <c r="H496" s="3">
        <v>324839</v>
      </c>
      <c r="I496" s="3">
        <v>238000</v>
      </c>
      <c r="J496" s="3">
        <v>257932</v>
      </c>
      <c r="K496" s="3">
        <v>258515</v>
      </c>
      <c r="L496" s="3">
        <v>270573</v>
      </c>
      <c r="M496" s="3">
        <v>247573</v>
      </c>
      <c r="N496" s="3">
        <v>356502</v>
      </c>
      <c r="O496" s="3">
        <v>282070</v>
      </c>
      <c r="P496" s="3">
        <v>283343</v>
      </c>
      <c r="Q496" s="3">
        <v>276494</v>
      </c>
      <c r="R496" s="3">
        <v>276135</v>
      </c>
      <c r="S496" s="3">
        <v>272145</v>
      </c>
      <c r="T496" s="3">
        <v>242684</v>
      </c>
      <c r="U496" s="3">
        <v>277248</v>
      </c>
      <c r="V496" s="3">
        <v>289108</v>
      </c>
      <c r="W496" s="3">
        <v>305562</v>
      </c>
      <c r="X496" s="3">
        <v>302398</v>
      </c>
      <c r="Y496" s="3">
        <v>271724</v>
      </c>
      <c r="Z496" s="3">
        <v>263786</v>
      </c>
      <c r="AA496" s="3">
        <v>265383</v>
      </c>
      <c r="AB496" s="3">
        <v>263308</v>
      </c>
      <c r="AC496" s="3">
        <v>244387</v>
      </c>
      <c r="AD496" s="3"/>
      <c r="AE496" t="s">
        <v>5699</v>
      </c>
      <c r="AF496" t="s">
        <v>1635</v>
      </c>
    </row>
    <row r="497" spans="1:32" x14ac:dyDescent="0.3">
      <c r="A497" t="s">
        <v>1826</v>
      </c>
      <c r="B497" s="1" t="s">
        <v>1205</v>
      </c>
      <c r="C497" s="5" t="s">
        <v>2563</v>
      </c>
      <c r="D497" s="2" t="s">
        <v>4080</v>
      </c>
      <c r="E497" s="1" t="s">
        <v>547</v>
      </c>
      <c r="F497" s="3">
        <v>1.49</v>
      </c>
      <c r="G497" s="3">
        <v>1.61</v>
      </c>
      <c r="H497" s="3">
        <v>1.74</v>
      </c>
      <c r="I497" s="3">
        <v>1.24</v>
      </c>
      <c r="J497" s="3">
        <v>1.32</v>
      </c>
      <c r="K497" s="3">
        <v>1.29</v>
      </c>
      <c r="L497" s="3">
        <v>1.32</v>
      </c>
      <c r="M497" s="3">
        <v>1.18</v>
      </c>
      <c r="N497" s="3">
        <v>1.66</v>
      </c>
      <c r="O497" s="3">
        <v>1.28</v>
      </c>
      <c r="P497" s="3">
        <v>1.26</v>
      </c>
      <c r="Q497" s="3">
        <v>1.2</v>
      </c>
      <c r="R497" s="3">
        <v>1.18</v>
      </c>
      <c r="S497" s="3">
        <v>1.1399999999999999</v>
      </c>
      <c r="T497" s="3">
        <v>0.98899999999999999</v>
      </c>
      <c r="U497" s="3">
        <v>1.1000000000000001</v>
      </c>
      <c r="V497" s="3">
        <v>1.1100000000000001</v>
      </c>
      <c r="W497" s="3">
        <v>1.1399999999999999</v>
      </c>
      <c r="X497" s="3">
        <v>1.1000000000000001</v>
      </c>
      <c r="Y497" s="3">
        <v>0.96399999999999997</v>
      </c>
      <c r="Z497" s="3">
        <v>0.91200000000000003</v>
      </c>
      <c r="AA497" s="3">
        <v>0.89500000000000002</v>
      </c>
      <c r="AB497" s="3">
        <v>0.86599999999999999</v>
      </c>
      <c r="AC497" s="3">
        <v>0.78400000000000003</v>
      </c>
      <c r="AD497" s="3"/>
      <c r="AE497" t="s">
        <v>5699</v>
      </c>
      <c r="AF497" t="s">
        <v>1297</v>
      </c>
    </row>
    <row r="498" spans="1:32" x14ac:dyDescent="0.3">
      <c r="A498" t="s">
        <v>1826</v>
      </c>
      <c r="B498" s="1" t="s">
        <v>1205</v>
      </c>
      <c r="C498" s="5" t="s">
        <v>2564</v>
      </c>
      <c r="D498" s="2" t="s">
        <v>4081</v>
      </c>
      <c r="E498" s="1" t="s">
        <v>1870</v>
      </c>
      <c r="F498" s="3">
        <v>49.864991287013261</v>
      </c>
      <c r="G498" s="3">
        <v>53.17790064923701</v>
      </c>
      <c r="H498" s="3">
        <v>58.446775424877771</v>
      </c>
      <c r="I498" s="3">
        <v>54.860397876747072</v>
      </c>
      <c r="J498" s="3">
        <v>45.271525056990242</v>
      </c>
      <c r="K498" s="3">
        <v>38.223876492933734</v>
      </c>
      <c r="L498" s="3">
        <v>35.053674351287377</v>
      </c>
      <c r="M498" s="3">
        <v>39.481836562283412</v>
      </c>
      <c r="N498" s="3">
        <v>40.238738174851022</v>
      </c>
      <c r="O498" s="3">
        <v>47.178796973821562</v>
      </c>
      <c r="P498" s="3">
        <v>48.635197181021987</v>
      </c>
      <c r="Q498" s="3">
        <v>48.028657379531424</v>
      </c>
      <c r="R498" s="3">
        <v>43.995876951218534</v>
      </c>
      <c r="S498" s="3">
        <v>38.151800736654288</v>
      </c>
      <c r="T498" s="3">
        <v>47.812464226292157</v>
      </c>
      <c r="U498" s="3">
        <v>53.312747157627939</v>
      </c>
      <c r="V498" s="3">
        <v>58.716231088546692</v>
      </c>
      <c r="W498" s="3">
        <v>55.341994988244224</v>
      </c>
      <c r="X498" s="3">
        <v>56.522291483698886</v>
      </c>
      <c r="Y498" s="3">
        <v>52.896082437098769</v>
      </c>
      <c r="Z498" s="3">
        <v>56.528019569836573</v>
      </c>
      <c r="AA498" s="3">
        <v>53.434273715638227</v>
      </c>
      <c r="AB498" s="3">
        <v>44.636895172384264</v>
      </c>
      <c r="AC498" s="3">
        <v>44.279948735877262</v>
      </c>
      <c r="AD498" s="3"/>
      <c r="AE498" t="s">
        <v>5700</v>
      </c>
      <c r="AF498" t="s">
        <v>1098</v>
      </c>
    </row>
    <row r="499" spans="1:32" x14ac:dyDescent="0.3">
      <c r="A499" t="s">
        <v>1826</v>
      </c>
      <c r="B499" s="1" t="s">
        <v>1205</v>
      </c>
      <c r="C499" s="5" t="s">
        <v>2565</v>
      </c>
      <c r="D499" s="2" t="s">
        <v>4082</v>
      </c>
      <c r="E499" s="1" t="s">
        <v>817</v>
      </c>
      <c r="F499" s="3">
        <v>17.184597643242117</v>
      </c>
      <c r="G499" s="3">
        <v>21.085287079446815</v>
      </c>
      <c r="H499" s="3">
        <v>22.582790728084639</v>
      </c>
      <c r="I499" s="3">
        <v>22.49062538014666</v>
      </c>
      <c r="J499" s="3">
        <v>17.197690437079491</v>
      </c>
      <c r="K499" s="3">
        <v>14.620786096041726</v>
      </c>
      <c r="L499" s="3">
        <v>17.283543155494211</v>
      </c>
      <c r="M499" s="3">
        <v>17.406518836068742</v>
      </c>
      <c r="N499" s="3">
        <v>19.612864677774226</v>
      </c>
      <c r="O499" s="3">
        <v>23.191900411155892</v>
      </c>
      <c r="P499" s="3">
        <v>19.246005650717755</v>
      </c>
      <c r="Q499" s="3">
        <v>25.128017458187795</v>
      </c>
      <c r="R499" s="3">
        <v>20.011666386835589</v>
      </c>
      <c r="S499" s="3">
        <v>14.520038528756945</v>
      </c>
      <c r="T499" s="3">
        <v>16.842351299038121</v>
      </c>
      <c r="U499" s="3">
        <v>17.56926765594087</v>
      </c>
      <c r="V499" s="3">
        <v>21.520688655588039</v>
      </c>
      <c r="W499" s="3">
        <v>20.929374469782704</v>
      </c>
      <c r="X499" s="3">
        <v>21.050945164805142</v>
      </c>
      <c r="Y499" s="3">
        <v>21.362572175737377</v>
      </c>
      <c r="Z499" s="3">
        <v>21.585033292820757</v>
      </c>
      <c r="AA499" s="3">
        <v>21.996948616612585</v>
      </c>
      <c r="AB499" s="3">
        <v>17.985216091860824</v>
      </c>
      <c r="AC499" s="3">
        <v>16.859060685945078</v>
      </c>
      <c r="AD499" s="3"/>
      <c r="AE499" t="s">
        <v>5701</v>
      </c>
      <c r="AF499" t="s">
        <v>1098</v>
      </c>
    </row>
    <row r="500" spans="1:32" x14ac:dyDescent="0.3">
      <c r="A500" t="s">
        <v>1826</v>
      </c>
      <c r="B500" s="1" t="s">
        <v>1205</v>
      </c>
      <c r="C500" s="5" t="s">
        <v>2566</v>
      </c>
      <c r="D500" s="2" t="s">
        <v>4083</v>
      </c>
      <c r="E500" s="1" t="s">
        <v>1944</v>
      </c>
      <c r="F500" s="3">
        <v>72.12</v>
      </c>
      <c r="G500" s="3">
        <v>69.16</v>
      </c>
      <c r="H500" s="3">
        <v>67.86</v>
      </c>
      <c r="I500" s="3">
        <v>67.61</v>
      </c>
      <c r="J500" s="3">
        <v>70.7</v>
      </c>
      <c r="K500" s="3">
        <v>72.150000000000006</v>
      </c>
      <c r="L500" s="3">
        <v>75.150000000000006</v>
      </c>
      <c r="M500" s="3">
        <v>71.95</v>
      </c>
      <c r="N500" s="3">
        <v>77.42</v>
      </c>
      <c r="O500" s="3">
        <v>72.05</v>
      </c>
      <c r="P500" s="3">
        <v>75.95</v>
      </c>
      <c r="Q500" s="3">
        <v>77.72</v>
      </c>
      <c r="R500" s="3">
        <v>83.99</v>
      </c>
      <c r="S500" s="3">
        <v>86.32</v>
      </c>
      <c r="T500" s="3">
        <v>94.7</v>
      </c>
      <c r="U500" s="3">
        <v>104.41</v>
      </c>
      <c r="V500" s="3">
        <v>100.89</v>
      </c>
      <c r="W500" s="3">
        <v>109.42</v>
      </c>
      <c r="X500" s="3">
        <v>114.55</v>
      </c>
      <c r="Y500" s="3">
        <v>116.76</v>
      </c>
      <c r="Z500" s="3">
        <v>119.18</v>
      </c>
      <c r="AA500" s="3">
        <v>119.97</v>
      </c>
      <c r="AB500" s="3">
        <v>121.86</v>
      </c>
      <c r="AC500" s="3"/>
      <c r="AD500" s="3"/>
      <c r="AE500" t="s">
        <v>5702</v>
      </c>
      <c r="AF500" t="s">
        <v>230</v>
      </c>
    </row>
    <row r="501" spans="1:32" x14ac:dyDescent="0.3">
      <c r="A501" t="s">
        <v>1826</v>
      </c>
      <c r="B501" s="1" t="s">
        <v>1205</v>
      </c>
      <c r="C501" s="5" t="s">
        <v>2567</v>
      </c>
      <c r="D501" s="2" t="s">
        <v>4084</v>
      </c>
      <c r="E501" s="1" t="s">
        <v>971</v>
      </c>
      <c r="F501" s="3"/>
      <c r="G501" s="3"/>
      <c r="H501" s="3"/>
      <c r="I501" s="3"/>
      <c r="J501" s="3"/>
      <c r="K501" s="3"/>
      <c r="L501" s="3"/>
      <c r="M501" s="3"/>
      <c r="N501" s="3"/>
      <c r="O501" s="3"/>
      <c r="P501" s="3"/>
      <c r="Q501" s="3"/>
      <c r="R501" s="3"/>
      <c r="S501" s="3"/>
      <c r="T501" s="3"/>
      <c r="U501" s="3"/>
      <c r="V501" s="3"/>
      <c r="W501" s="3"/>
      <c r="X501" s="3"/>
      <c r="Y501" s="3"/>
      <c r="Z501" s="3"/>
      <c r="AA501" s="3"/>
      <c r="AB501" s="3">
        <v>35.917421585948027</v>
      </c>
      <c r="AC501" s="3"/>
      <c r="AD501" s="3"/>
      <c r="AE501" t="s">
        <v>5703</v>
      </c>
      <c r="AF501" t="s">
        <v>718</v>
      </c>
    </row>
    <row r="502" spans="1:32" x14ac:dyDescent="0.3">
      <c r="A502" t="s">
        <v>1826</v>
      </c>
      <c r="B502" s="1" t="s">
        <v>1205</v>
      </c>
      <c r="C502" s="5" t="s">
        <v>2568</v>
      </c>
      <c r="D502" s="2" t="s">
        <v>4085</v>
      </c>
      <c r="E502" s="1" t="s">
        <v>1704</v>
      </c>
      <c r="F502" s="3"/>
      <c r="G502" s="3"/>
      <c r="H502" s="3"/>
      <c r="I502" s="3"/>
      <c r="J502" s="3"/>
      <c r="K502" s="3"/>
      <c r="L502" s="3"/>
      <c r="M502" s="3"/>
      <c r="N502" s="3"/>
      <c r="O502" s="3"/>
      <c r="P502" s="3">
        <v>548459</v>
      </c>
      <c r="Q502" s="3">
        <v>271871</v>
      </c>
      <c r="R502" s="3">
        <v>84480</v>
      </c>
      <c r="S502" s="3">
        <v>83566</v>
      </c>
      <c r="T502" s="3">
        <v>303578</v>
      </c>
      <c r="U502" s="3">
        <v>305616</v>
      </c>
      <c r="V502" s="3">
        <v>302673</v>
      </c>
      <c r="W502" s="3">
        <v>17927</v>
      </c>
      <c r="X502" s="3">
        <v>304006</v>
      </c>
      <c r="Y502" s="3">
        <v>305171</v>
      </c>
      <c r="Z502" s="3">
        <v>310310</v>
      </c>
      <c r="AA502" s="3">
        <v>306478</v>
      </c>
      <c r="AB502" s="3">
        <v>307812</v>
      </c>
      <c r="AC502" s="3">
        <v>39830</v>
      </c>
      <c r="AD502" s="3"/>
      <c r="AE502" t="s">
        <v>5704</v>
      </c>
      <c r="AF502" t="s">
        <v>1086</v>
      </c>
    </row>
    <row r="503" spans="1:32" x14ac:dyDescent="0.3">
      <c r="A503" t="s">
        <v>1826</v>
      </c>
      <c r="B503" s="1" t="s">
        <v>1205</v>
      </c>
      <c r="C503" s="5" t="s">
        <v>2569</v>
      </c>
      <c r="D503" s="2" t="s">
        <v>4086</v>
      </c>
      <c r="E503" s="1" t="s">
        <v>1063</v>
      </c>
      <c r="F503" s="3"/>
      <c r="G503" s="3"/>
      <c r="H503" s="3"/>
      <c r="I503" s="3"/>
      <c r="J503" s="3"/>
      <c r="K503" s="3">
        <v>-312045282.01536298</v>
      </c>
      <c r="L503" s="3">
        <v>-319148259.46840602</v>
      </c>
      <c r="M503" s="3">
        <v>-427341486.26985401</v>
      </c>
      <c r="N503" s="3">
        <v>-447953592.804609</v>
      </c>
      <c r="O503" s="3">
        <v>-388146263.72439498</v>
      </c>
      <c r="P503" s="3">
        <v>-314374838.45116198</v>
      </c>
      <c r="Q503" s="3">
        <v>-286680746.83591801</v>
      </c>
      <c r="R503" s="3">
        <v>-315954669.89614999</v>
      </c>
      <c r="S503" s="3">
        <v>-413993564.51464498</v>
      </c>
      <c r="T503" s="3">
        <v>-423138062.685085</v>
      </c>
      <c r="U503" s="3">
        <v>-480000380.52079803</v>
      </c>
      <c r="V503" s="3">
        <v>-549220091.28345299</v>
      </c>
      <c r="W503" s="3">
        <v>-298983969.65715802</v>
      </c>
      <c r="X503" s="3">
        <v>-475678494.30875701</v>
      </c>
      <c r="Y503" s="3">
        <v>-739662847.65374398</v>
      </c>
      <c r="Z503" s="3">
        <v>-711587318.04993296</v>
      </c>
      <c r="AA503" s="3">
        <v>-1107222120.6939499</v>
      </c>
      <c r="AB503" s="3">
        <v>-1431624506.8575799</v>
      </c>
      <c r="AC503" s="3"/>
      <c r="AD503" s="3"/>
      <c r="AE503" t="s">
        <v>5705</v>
      </c>
      <c r="AF503" t="s">
        <v>613</v>
      </c>
    </row>
    <row r="504" spans="1:32" x14ac:dyDescent="0.3">
      <c r="A504" t="s">
        <v>1826</v>
      </c>
      <c r="B504" s="1" t="s">
        <v>1205</v>
      </c>
      <c r="C504" s="5" t="s">
        <v>2570</v>
      </c>
      <c r="D504" s="2" t="s">
        <v>4087</v>
      </c>
      <c r="E504" s="1" t="s">
        <v>582</v>
      </c>
      <c r="F504" s="3">
        <v>1.415781934338147</v>
      </c>
      <c r="G504" s="3">
        <v>1.6220772678997064</v>
      </c>
      <c r="H504" s="3">
        <v>1.1774449241616234</v>
      </c>
      <c r="I504" s="3">
        <v>0.77824431503686076</v>
      </c>
      <c r="J504" s="3">
        <v>1.2036278219433487</v>
      </c>
      <c r="K504" s="3">
        <v>1.4521810838307196</v>
      </c>
      <c r="L504" s="3">
        <v>1.3882318005848562</v>
      </c>
      <c r="M504" s="3">
        <v>1.5431166478008853</v>
      </c>
      <c r="N504" s="3">
        <v>1.3744188075978609</v>
      </c>
      <c r="O504" s="3">
        <v>1.1733907857671337</v>
      </c>
      <c r="P504" s="3">
        <v>1.0260623920151142</v>
      </c>
      <c r="Q504" s="3">
        <v>0.82295427723913672</v>
      </c>
      <c r="R504" s="3">
        <v>0.90973710888490722</v>
      </c>
      <c r="S504" s="3">
        <v>0.95320364231420485</v>
      </c>
      <c r="T504" s="3">
        <v>0.89952892052896938</v>
      </c>
      <c r="U504" s="3">
        <v>1.0791415475120671</v>
      </c>
      <c r="V504" s="3">
        <v>1.1937580085900441</v>
      </c>
      <c r="W504" s="3">
        <v>1.8567348638197367</v>
      </c>
      <c r="X504" s="3">
        <v>1.0599869961433648</v>
      </c>
      <c r="Y504" s="3">
        <v>1.4058304817904856</v>
      </c>
      <c r="Z504" s="3">
        <v>1.1311124570315438</v>
      </c>
      <c r="AA504" s="3">
        <v>1.9128265590344591</v>
      </c>
      <c r="AB504" s="3">
        <v>2.2547265323983248</v>
      </c>
      <c r="AC504" s="3">
        <v>2.2012058205406211</v>
      </c>
      <c r="AD504" s="3"/>
      <c r="AE504" t="s">
        <v>5706</v>
      </c>
      <c r="AF504" t="s">
        <v>319</v>
      </c>
    </row>
    <row r="505" spans="1:32" x14ac:dyDescent="0.3">
      <c r="A505" t="s">
        <v>1826</v>
      </c>
      <c r="B505" s="1" t="s">
        <v>1205</v>
      </c>
      <c r="C505" s="5" t="s">
        <v>2571</v>
      </c>
      <c r="D505" s="2" t="s">
        <v>4088</v>
      </c>
      <c r="E505" s="1" t="s">
        <v>2019</v>
      </c>
      <c r="F505" s="3">
        <v>234701730</v>
      </c>
      <c r="G505" s="3">
        <v>272679900</v>
      </c>
      <c r="H505" s="3">
        <v>212580420</v>
      </c>
      <c r="I505" s="3">
        <v>165390570</v>
      </c>
      <c r="J505" s="3">
        <v>282979830</v>
      </c>
      <c r="K505" s="3">
        <v>349059586.54327202</v>
      </c>
      <c r="L505" s="3">
        <v>350964618.55939698</v>
      </c>
      <c r="M505" s="3">
        <v>443801751.42317301</v>
      </c>
      <c r="N505" s="3">
        <v>468377743.88890201</v>
      </c>
      <c r="O505" s="3">
        <v>397624744.26800501</v>
      </c>
      <c r="P505" s="3">
        <v>358468317.34200197</v>
      </c>
      <c r="Q505" s="3">
        <v>301972462.51786101</v>
      </c>
      <c r="R505" s="3">
        <v>330255520.654571</v>
      </c>
      <c r="S505" s="3">
        <v>407592122.10142702</v>
      </c>
      <c r="T505" s="3">
        <v>439356961.15090102</v>
      </c>
      <c r="U505" s="3">
        <v>494408755.77634102</v>
      </c>
      <c r="V505" s="3">
        <v>577871524.15621495</v>
      </c>
      <c r="W505" s="3">
        <v>975014998.79549301</v>
      </c>
      <c r="X505" s="3">
        <v>620330654.35979104</v>
      </c>
      <c r="Y505" s="3">
        <v>848881139.44287705</v>
      </c>
      <c r="Z505" s="3">
        <v>712915894.48161602</v>
      </c>
      <c r="AA505" s="3">
        <v>1392435143.3830099</v>
      </c>
      <c r="AB505" s="3">
        <v>1599115748.8332701</v>
      </c>
      <c r="AC505" s="3">
        <v>1752557290</v>
      </c>
      <c r="AD505" s="3"/>
      <c r="AE505" t="s">
        <v>5707</v>
      </c>
      <c r="AF505" t="s">
        <v>319</v>
      </c>
    </row>
    <row r="506" spans="1:32" x14ac:dyDescent="0.3">
      <c r="A506" t="s">
        <v>1826</v>
      </c>
      <c r="B506" s="1" t="s">
        <v>1205</v>
      </c>
      <c r="C506" s="5" t="s">
        <v>2572</v>
      </c>
      <c r="D506" s="2" t="s">
        <v>4089</v>
      </c>
      <c r="E506" s="1" t="s">
        <v>690</v>
      </c>
      <c r="F506" s="3">
        <v>4.7487521674479442E-2</v>
      </c>
      <c r="G506" s="3">
        <v>-3.0809485660647798E-2</v>
      </c>
      <c r="H506" s="3">
        <v>-2.3280551461132538E-2</v>
      </c>
      <c r="I506" s="3">
        <v>0.10899636627142908</v>
      </c>
      <c r="J506" s="3">
        <v>-0.10852116233044419</v>
      </c>
      <c r="K506" s="3">
        <v>0.15398939017512392</v>
      </c>
      <c r="L506" s="3">
        <v>0.12584881533140904</v>
      </c>
      <c r="M506" s="3">
        <v>5.7233007990281748E-2</v>
      </c>
      <c r="N506" s="3">
        <v>5.9933115408938614E-2</v>
      </c>
      <c r="O506" s="3">
        <v>2.7971000027726907E-2</v>
      </c>
      <c r="P506" s="3">
        <v>0.12621104358251808</v>
      </c>
      <c r="Q506" s="3">
        <v>4.1673941795387304E-2</v>
      </c>
      <c r="R506" s="3">
        <v>3.9393783933647022E-2</v>
      </c>
      <c r="S506" s="3">
        <v>-1.4970549952938894E-2</v>
      </c>
      <c r="T506" s="3">
        <v>3.3206184308329181E-2</v>
      </c>
      <c r="U506" s="3">
        <v>3.1449031168523198E-2</v>
      </c>
      <c r="V506" s="3">
        <v>5.9187684493333309E-2</v>
      </c>
      <c r="W506" s="3">
        <v>1.2873754581988335</v>
      </c>
      <c r="X506" s="3">
        <v>0.24717367671663359</v>
      </c>
      <c r="Y506" s="3">
        <v>0.18087621061650749</v>
      </c>
      <c r="Z506" s="3">
        <v>2.1079195507181254E-3</v>
      </c>
      <c r="AA506" s="3">
        <v>0.39180499528090268</v>
      </c>
      <c r="AB506" s="3">
        <v>0.23615985741024409</v>
      </c>
      <c r="AC506" s="3">
        <v>0.26992024161717265</v>
      </c>
      <c r="AD506" s="3"/>
      <c r="AE506" t="s">
        <v>5708</v>
      </c>
      <c r="AF506" t="s">
        <v>319</v>
      </c>
    </row>
    <row r="507" spans="1:32" x14ac:dyDescent="0.3">
      <c r="A507" t="s">
        <v>1826</v>
      </c>
      <c r="B507" s="1" t="s">
        <v>1205</v>
      </c>
      <c r="C507" s="5" t="s">
        <v>2573</v>
      </c>
      <c r="D507" s="2" t="s">
        <v>4090</v>
      </c>
      <c r="E507" s="1" t="s">
        <v>958</v>
      </c>
      <c r="F507" s="3">
        <v>7872260</v>
      </c>
      <c r="G507" s="3">
        <v>-5179240</v>
      </c>
      <c r="H507" s="3">
        <v>-4203160</v>
      </c>
      <c r="I507" s="3">
        <v>23163640</v>
      </c>
      <c r="J507" s="3">
        <v>-25513950</v>
      </c>
      <c r="K507" s="3">
        <v>37014304.5279091</v>
      </c>
      <c r="L507" s="3">
        <v>31816359.090990402</v>
      </c>
      <c r="M507" s="3">
        <v>16460265.1533191</v>
      </c>
      <c r="N507" s="3">
        <v>20424151.084292501</v>
      </c>
      <c r="O507" s="3">
        <v>9478480.5436102096</v>
      </c>
      <c r="P507" s="3">
        <v>44093478.890840098</v>
      </c>
      <c r="Q507" s="3">
        <v>15291715.6819422</v>
      </c>
      <c r="R507" s="3">
        <v>14300850.758420801</v>
      </c>
      <c r="S507" s="3">
        <v>-6401442.4132177401</v>
      </c>
      <c r="T507" s="3">
        <v>16218898.465815799</v>
      </c>
      <c r="U507" s="3">
        <v>14408375.255542699</v>
      </c>
      <c r="V507" s="3">
        <v>28651432.872761998</v>
      </c>
      <c r="W507" s="3">
        <v>676031029.13833499</v>
      </c>
      <c r="X507" s="3">
        <v>144652160.051034</v>
      </c>
      <c r="Y507" s="3">
        <v>109218291.789133</v>
      </c>
      <c r="Z507" s="3">
        <v>1328576.4316833001</v>
      </c>
      <c r="AA507" s="3">
        <v>285213022.68906599</v>
      </c>
      <c r="AB507" s="3">
        <v>167491241.975692</v>
      </c>
      <c r="AC507" s="3">
        <v>214905250</v>
      </c>
      <c r="AD507" s="3"/>
      <c r="AE507" t="s">
        <v>5709</v>
      </c>
      <c r="AF507" t="s">
        <v>319</v>
      </c>
    </row>
    <row r="508" spans="1:32" x14ac:dyDescent="0.3">
      <c r="A508" t="s">
        <v>1826</v>
      </c>
      <c r="B508" s="1" t="s">
        <v>1205</v>
      </c>
      <c r="C508" s="5" t="s">
        <v>2574</v>
      </c>
      <c r="D508" s="2" t="s">
        <v>4091</v>
      </c>
      <c r="E508" s="1" t="s">
        <v>1408</v>
      </c>
      <c r="F508" s="3">
        <v>16.020283018867925</v>
      </c>
      <c r="G508" s="3">
        <v>15.665292452830187</v>
      </c>
      <c r="H508" s="3">
        <v>15.310301886792455</v>
      </c>
      <c r="I508" s="3">
        <v>14.955311320754717</v>
      </c>
      <c r="J508" s="3">
        <v>14.60032075471698</v>
      </c>
      <c r="K508" s="3">
        <v>14.245330188679246</v>
      </c>
      <c r="L508" s="3">
        <v>13.890339622641509</v>
      </c>
      <c r="M508" s="3">
        <v>13.535349056603774</v>
      </c>
      <c r="N508" s="3">
        <v>13.180358490566038</v>
      </c>
      <c r="O508" s="3">
        <v>12.825367924528303</v>
      </c>
      <c r="P508" s="3">
        <v>12.470377358490566</v>
      </c>
      <c r="Q508" s="3">
        <v>12.115389937106919</v>
      </c>
      <c r="R508" s="3">
        <v>11.760402515723271</v>
      </c>
      <c r="S508" s="3">
        <v>11.405415094339624</v>
      </c>
      <c r="T508" s="3">
        <v>11.050427672955975</v>
      </c>
      <c r="U508" s="3">
        <v>10.695440251572327</v>
      </c>
      <c r="V508" s="3">
        <v>10.340440251572327</v>
      </c>
      <c r="W508" s="3">
        <v>9.985440251572328</v>
      </c>
      <c r="X508" s="3">
        <v>9.6304402515723275</v>
      </c>
      <c r="Y508" s="3">
        <v>9.2754716981132077</v>
      </c>
      <c r="Z508" s="3">
        <v>8.9204716981132073</v>
      </c>
      <c r="AA508" s="3">
        <v>8.5654927672955985</v>
      </c>
      <c r="AB508" s="3">
        <v>8.2104996855345913</v>
      </c>
      <c r="AC508" s="3"/>
      <c r="AD508" s="3"/>
      <c r="AE508" t="s">
        <v>5710</v>
      </c>
      <c r="AF508" t="s">
        <v>72</v>
      </c>
    </row>
    <row r="509" spans="1:32" x14ac:dyDescent="0.3">
      <c r="A509" t="s">
        <v>1826</v>
      </c>
      <c r="B509" s="1" t="s">
        <v>1205</v>
      </c>
      <c r="C509" s="5" t="s">
        <v>2575</v>
      </c>
      <c r="D509" s="2" t="s">
        <v>4092</v>
      </c>
      <c r="E509" s="1" t="s">
        <v>532</v>
      </c>
      <c r="F509" s="3">
        <v>50944.5</v>
      </c>
      <c r="G509" s="3">
        <v>49815.63</v>
      </c>
      <c r="H509" s="3">
        <v>48686.76</v>
      </c>
      <c r="I509" s="3">
        <v>47557.89</v>
      </c>
      <c r="J509" s="3">
        <v>46429.02</v>
      </c>
      <c r="K509" s="3">
        <v>45300.15</v>
      </c>
      <c r="L509" s="3">
        <v>44171.28</v>
      </c>
      <c r="M509" s="3">
        <v>43042.41</v>
      </c>
      <c r="N509" s="3">
        <v>41913.54</v>
      </c>
      <c r="O509" s="3">
        <v>40784.67</v>
      </c>
      <c r="P509" s="3">
        <v>39655.800000000003</v>
      </c>
      <c r="Q509" s="3">
        <v>38526.94</v>
      </c>
      <c r="R509" s="3">
        <v>37398.080000000002</v>
      </c>
      <c r="S509" s="3">
        <v>36269.22</v>
      </c>
      <c r="T509" s="3">
        <v>35140.36</v>
      </c>
      <c r="U509" s="3">
        <v>34011.5</v>
      </c>
      <c r="V509" s="3">
        <v>32882.6</v>
      </c>
      <c r="W509" s="3">
        <v>31753.7</v>
      </c>
      <c r="X509" s="3">
        <v>30624.799999999999</v>
      </c>
      <c r="Y509" s="3">
        <v>29496</v>
      </c>
      <c r="Z509" s="3">
        <v>28367.1</v>
      </c>
      <c r="AA509" s="3">
        <v>27238.267000000003</v>
      </c>
      <c r="AB509" s="3">
        <v>26109.388999999999</v>
      </c>
      <c r="AC509" s="3"/>
      <c r="AD509" s="3"/>
      <c r="AE509" t="s">
        <v>5711</v>
      </c>
      <c r="AF509" t="s">
        <v>686</v>
      </c>
    </row>
    <row r="510" spans="1:32" x14ac:dyDescent="0.3">
      <c r="A510" t="s">
        <v>1826</v>
      </c>
      <c r="B510" s="1" t="s">
        <v>1205</v>
      </c>
      <c r="C510" s="5" t="s">
        <v>2576</v>
      </c>
      <c r="D510" s="2" t="s">
        <v>4093</v>
      </c>
      <c r="E510" s="1" t="s">
        <v>381</v>
      </c>
      <c r="F510" s="3">
        <v>2.3376160047741101</v>
      </c>
      <c r="G510" s="3">
        <v>1.86945333668158</v>
      </c>
      <c r="H510" s="3">
        <v>1.8178227689912201</v>
      </c>
      <c r="I510" s="3">
        <v>1.92749978907432</v>
      </c>
      <c r="J510" s="3">
        <v>1.4510388644699099</v>
      </c>
      <c r="K510" s="3">
        <v>1.4585709591457401</v>
      </c>
      <c r="L510" s="3">
        <v>1.4792226837470399</v>
      </c>
      <c r="M510" s="3">
        <v>1.7795376610871501</v>
      </c>
      <c r="N510" s="3">
        <v>1.9076860276143499</v>
      </c>
      <c r="O510" s="3">
        <v>1.83447616244734</v>
      </c>
      <c r="P510" s="3">
        <v>1.97683794132654</v>
      </c>
      <c r="Q510" s="3">
        <v>2.1292346836124598</v>
      </c>
      <c r="R510" s="3">
        <v>2.42796236799746</v>
      </c>
      <c r="S510" s="3">
        <v>2.1447550797227399</v>
      </c>
      <c r="T510" s="3">
        <v>2.0564736172433999</v>
      </c>
      <c r="U510" s="3">
        <v>2.0831182943082198</v>
      </c>
      <c r="V510" s="3">
        <v>2.1075970167630298</v>
      </c>
      <c r="W510" s="3">
        <v>1.9895360757232401</v>
      </c>
      <c r="X510" s="3">
        <v>1.47066903768452</v>
      </c>
      <c r="Y510" s="3">
        <v>1.3079032480111601</v>
      </c>
      <c r="Z510" s="3">
        <v>1.31857899198966</v>
      </c>
      <c r="AA510" s="3">
        <v>1.2244190059936</v>
      </c>
      <c r="AB510" s="3"/>
      <c r="AC510" s="3"/>
      <c r="AD510" s="3"/>
      <c r="AE510" t="s">
        <v>5712</v>
      </c>
      <c r="AF510" t="s">
        <v>937</v>
      </c>
    </row>
    <row r="511" spans="1:32" x14ac:dyDescent="0.3">
      <c r="A511" t="s">
        <v>1826</v>
      </c>
      <c r="B511" s="1" t="s">
        <v>1205</v>
      </c>
      <c r="C511" s="5" t="s">
        <v>2577</v>
      </c>
      <c r="D511" s="2" t="s">
        <v>4094</v>
      </c>
      <c r="E511" s="1" t="s">
        <v>536</v>
      </c>
      <c r="F511" s="3">
        <v>37.130000000000003</v>
      </c>
      <c r="G511" s="3">
        <v>34.299999999999997</v>
      </c>
      <c r="H511" s="3">
        <v>37.85</v>
      </c>
      <c r="I511" s="3">
        <v>32.5</v>
      </c>
      <c r="J511" s="3">
        <v>24.93</v>
      </c>
      <c r="K511" s="3">
        <v>25.39</v>
      </c>
      <c r="L511" s="3">
        <v>21.45</v>
      </c>
      <c r="M511" s="3">
        <v>24.25</v>
      </c>
      <c r="N511" s="3">
        <v>24.62</v>
      </c>
      <c r="O511" s="3">
        <v>22.72</v>
      </c>
      <c r="P511" s="3">
        <v>28.41</v>
      </c>
      <c r="Q511" s="3">
        <v>25.67</v>
      </c>
      <c r="R511" s="3">
        <v>30.05</v>
      </c>
      <c r="S511" s="3">
        <v>33.76</v>
      </c>
      <c r="T511" s="3">
        <v>32.32</v>
      </c>
      <c r="U511" s="3">
        <v>35.04</v>
      </c>
      <c r="V511" s="3">
        <v>36.82</v>
      </c>
      <c r="W511" s="3">
        <v>39.67</v>
      </c>
      <c r="X511" s="3">
        <v>41.32</v>
      </c>
      <c r="Y511" s="3">
        <v>39.01</v>
      </c>
      <c r="Z511" s="3">
        <v>38.97</v>
      </c>
      <c r="AA511" s="3">
        <v>35.9</v>
      </c>
      <c r="AB511" s="3">
        <v>37.58</v>
      </c>
      <c r="AC511" s="3"/>
      <c r="AD511" s="3"/>
      <c r="AE511" t="s">
        <v>5713</v>
      </c>
      <c r="AF511" t="s">
        <v>371</v>
      </c>
    </row>
    <row r="512" spans="1:32" x14ac:dyDescent="0.3">
      <c r="A512" t="s">
        <v>1826</v>
      </c>
      <c r="B512" s="1" t="s">
        <v>1205</v>
      </c>
      <c r="C512" s="5" t="s">
        <v>2578</v>
      </c>
      <c r="D512" s="2" t="s">
        <v>4095</v>
      </c>
      <c r="E512" s="1" t="s">
        <v>145</v>
      </c>
      <c r="F512" s="3">
        <v>20.328449352567741</v>
      </c>
      <c r="G512" s="3">
        <v>14.839334239759747</v>
      </c>
      <c r="H512" s="3">
        <v>11.359930059127954</v>
      </c>
      <c r="I512" s="3">
        <v>9.2996593407434567</v>
      </c>
      <c r="J512" s="3">
        <v>18.519755122633381</v>
      </c>
      <c r="K512" s="3">
        <v>27.728790787580298</v>
      </c>
      <c r="L512" s="3">
        <v>36.873351513445563</v>
      </c>
      <c r="M512" s="3">
        <v>32.590276843381929</v>
      </c>
      <c r="N512" s="3">
        <v>37.153140294175827</v>
      </c>
      <c r="O512" s="3">
        <v>29.429292978066464</v>
      </c>
      <c r="P512" s="3">
        <v>23.657013507553504</v>
      </c>
      <c r="Q512" s="3">
        <v>24.328904287404228</v>
      </c>
      <c r="R512" s="3">
        <v>29.094062518182977</v>
      </c>
      <c r="S512" s="3">
        <v>21.064560572591699</v>
      </c>
      <c r="T512" s="3">
        <v>20.838190360683001</v>
      </c>
      <c r="U512" s="3">
        <v>12.948799416927606</v>
      </c>
      <c r="V512" s="3">
        <v>12.260602430415418</v>
      </c>
      <c r="W512" s="3">
        <v>12.622634562271212</v>
      </c>
      <c r="X512" s="3">
        <v>15.92611199008576</v>
      </c>
      <c r="Y512" s="3">
        <v>16.794623229202458</v>
      </c>
      <c r="Z512" s="3">
        <v>10.277254709022936</v>
      </c>
      <c r="AA512" s="3">
        <v>11.211160852710465</v>
      </c>
      <c r="AB512" s="3">
        <v>18.518287830406162</v>
      </c>
      <c r="AC512" s="3">
        <v>15.770449300851569</v>
      </c>
      <c r="AD512" s="3"/>
      <c r="AE512" t="s">
        <v>5714</v>
      </c>
      <c r="AF512" t="s">
        <v>1098</v>
      </c>
    </row>
    <row r="513" spans="1:32" x14ac:dyDescent="0.3">
      <c r="A513" t="s">
        <v>1826</v>
      </c>
      <c r="B513" s="1" t="s">
        <v>1205</v>
      </c>
      <c r="C513" s="5" t="s">
        <v>2579</v>
      </c>
      <c r="D513" s="2" t="s">
        <v>4096</v>
      </c>
      <c r="E513" s="1" t="s">
        <v>1146</v>
      </c>
      <c r="F513" s="3">
        <v>33.745541144544063</v>
      </c>
      <c r="G513" s="3">
        <v>26.304079131824672</v>
      </c>
      <c r="H513" s="3">
        <v>20.555204600053496</v>
      </c>
      <c r="I513" s="3">
        <v>17.292888682500056</v>
      </c>
      <c r="J513" s="3">
        <v>23.195880362422329</v>
      </c>
      <c r="K513" s="3">
        <v>28.027993680058337</v>
      </c>
      <c r="L513" s="3">
        <v>31.784870232644618</v>
      </c>
      <c r="M513" s="3">
        <v>30.169516702451944</v>
      </c>
      <c r="N513" s="3">
        <v>35.747129748735439</v>
      </c>
      <c r="O513" s="3">
        <v>25.053271433351519</v>
      </c>
      <c r="P513" s="3">
        <v>23.702296077019547</v>
      </c>
      <c r="Q513" s="3">
        <v>28.636423790336167</v>
      </c>
      <c r="R513" s="3">
        <v>30.968083258844821</v>
      </c>
      <c r="S513" s="3">
        <v>25.310969903362096</v>
      </c>
      <c r="T513" s="3">
        <v>25.897759707031518</v>
      </c>
      <c r="U513" s="3">
        <v>16.716788451941902</v>
      </c>
      <c r="V513" s="3">
        <v>14.658284213948408</v>
      </c>
      <c r="W513" s="3">
        <v>16.603113597335835</v>
      </c>
      <c r="X513" s="3">
        <v>21.706493667818826</v>
      </c>
      <c r="Y513" s="3">
        <v>21.099234188225346</v>
      </c>
      <c r="Z513" s="3">
        <v>19.384017616583986</v>
      </c>
      <c r="AA513" s="3">
        <v>17.24831467541259</v>
      </c>
      <c r="AB513" s="3">
        <v>26.92533508205263</v>
      </c>
      <c r="AC513" s="3">
        <v>25.49978622863356</v>
      </c>
      <c r="AD513" s="3"/>
      <c r="AE513" t="s">
        <v>5715</v>
      </c>
      <c r="AF513" t="s">
        <v>1098</v>
      </c>
    </row>
    <row r="514" spans="1:32" x14ac:dyDescent="0.3">
      <c r="A514" t="s">
        <v>1826</v>
      </c>
      <c r="B514" s="1" t="s">
        <v>1205</v>
      </c>
      <c r="C514" s="5" t="s">
        <v>2580</v>
      </c>
      <c r="D514" s="2" t="s">
        <v>4097</v>
      </c>
      <c r="E514" s="1" t="s">
        <v>16</v>
      </c>
      <c r="F514" s="3">
        <v>30406072178.226772</v>
      </c>
      <c r="G514" s="3">
        <v>29751121585.554298</v>
      </c>
      <c r="H514" s="3">
        <v>28938759334.224148</v>
      </c>
      <c r="I514" s="3">
        <v>27571152176.356308</v>
      </c>
      <c r="J514" s="3">
        <v>28449303912.454056</v>
      </c>
      <c r="K514" s="3">
        <v>28732677632.166897</v>
      </c>
      <c r="L514" s="3">
        <v>29541668752.636906</v>
      </c>
      <c r="M514" s="3">
        <v>29867049486.223133</v>
      </c>
      <c r="N514" s="3">
        <v>31295490700.862289</v>
      </c>
      <c r="O514" s="3">
        <v>32423167866.681831</v>
      </c>
      <c r="P514" s="3">
        <v>34643522418.935638</v>
      </c>
      <c r="Q514" s="3">
        <v>32783010325.347122</v>
      </c>
      <c r="R514" s="3">
        <v>35281210700.942528</v>
      </c>
      <c r="S514" s="3">
        <v>39077544167.605431</v>
      </c>
      <c r="T514" s="3">
        <v>42739891584.486206</v>
      </c>
      <c r="U514" s="3">
        <v>45815005169.265106</v>
      </c>
      <c r="V514" s="3">
        <v>49101205368.910004</v>
      </c>
      <c r="W514" s="3">
        <v>52739979047.065475</v>
      </c>
      <c r="X514" s="3">
        <v>55294253263.743774</v>
      </c>
      <c r="Y514" s="3">
        <v>59010785540.985695</v>
      </c>
      <c r="Z514" s="3">
        <v>59423700880.66153</v>
      </c>
      <c r="AA514" s="3">
        <v>63620992438.481812</v>
      </c>
      <c r="AB514" s="3">
        <v>67692661917.017738</v>
      </c>
      <c r="AC514" s="3">
        <v>72059148622.089661</v>
      </c>
      <c r="AD514" s="3">
        <v>76346667965.118622</v>
      </c>
      <c r="AE514" t="s">
        <v>5716</v>
      </c>
      <c r="AF514" t="s">
        <v>718</v>
      </c>
    </row>
    <row r="515" spans="1:32" x14ac:dyDescent="0.3">
      <c r="A515" t="s">
        <v>1826</v>
      </c>
      <c r="B515" s="1" t="s">
        <v>1205</v>
      </c>
      <c r="C515" s="5" t="s">
        <v>2581</v>
      </c>
      <c r="D515" s="2" t="s">
        <v>4098</v>
      </c>
      <c r="E515" s="1" t="s">
        <v>2009</v>
      </c>
      <c r="F515" s="3">
        <v>17976425562000</v>
      </c>
      <c r="G515" s="3">
        <v>17589211110000</v>
      </c>
      <c r="H515" s="3">
        <v>17108933044000</v>
      </c>
      <c r="I515" s="3">
        <v>16300387694000</v>
      </c>
      <c r="J515" s="3">
        <v>16819561272999.998</v>
      </c>
      <c r="K515" s="3">
        <v>16987095131000.002</v>
      </c>
      <c r="L515" s="3">
        <v>17465380145000</v>
      </c>
      <c r="M515" s="3">
        <v>17657749041000</v>
      </c>
      <c r="N515" s="3">
        <v>18502260197000</v>
      </c>
      <c r="O515" s="3">
        <v>19168956129000</v>
      </c>
      <c r="P515" s="3">
        <v>20481655714000</v>
      </c>
      <c r="Q515" s="3">
        <v>19381699200000</v>
      </c>
      <c r="R515" s="3">
        <v>20858664486000</v>
      </c>
      <c r="S515" s="3">
        <v>23103101241000</v>
      </c>
      <c r="T515" s="3">
        <v>25268323876000</v>
      </c>
      <c r="U515" s="3">
        <v>27086367000000</v>
      </c>
      <c r="V515" s="3">
        <v>29029207000000</v>
      </c>
      <c r="W515" s="3">
        <v>31180492564900</v>
      </c>
      <c r="X515" s="3">
        <v>32690609361700</v>
      </c>
      <c r="Y515" s="3">
        <v>34887866720000</v>
      </c>
      <c r="Z515" s="3">
        <v>35131987099100</v>
      </c>
      <c r="AA515" s="3">
        <v>37613474968000</v>
      </c>
      <c r="AB515" s="3">
        <v>40020693594100</v>
      </c>
      <c r="AC515" s="3">
        <v>42602211613300</v>
      </c>
      <c r="AD515" s="3">
        <v>45137043204300</v>
      </c>
      <c r="AE515" t="s">
        <v>5717</v>
      </c>
      <c r="AF515" t="s">
        <v>718</v>
      </c>
    </row>
    <row r="516" spans="1:32" x14ac:dyDescent="0.3">
      <c r="A516" t="s">
        <v>1826</v>
      </c>
      <c r="B516" s="1" t="s">
        <v>1205</v>
      </c>
      <c r="C516" s="5" t="s">
        <v>2582</v>
      </c>
      <c r="D516" s="2" t="s">
        <v>4099</v>
      </c>
      <c r="E516" s="1" t="s">
        <v>1847</v>
      </c>
      <c r="F516" s="3">
        <v>11773496809000</v>
      </c>
      <c r="G516" s="3">
        <v>12311998549000</v>
      </c>
      <c r="H516" s="3">
        <v>12524564515000</v>
      </c>
      <c r="I516" s="3">
        <v>12323837640000</v>
      </c>
      <c r="J516" s="3">
        <v>12398020711000</v>
      </c>
      <c r="K516" s="3">
        <v>12673666407000</v>
      </c>
      <c r="L516" s="3">
        <v>13207658125000</v>
      </c>
      <c r="M516" s="3">
        <v>13765549263000</v>
      </c>
      <c r="N516" s="3">
        <v>15198896568000</v>
      </c>
      <c r="O516" s="3">
        <v>15936745398000</v>
      </c>
      <c r="P516" s="3">
        <v>17286284724000</v>
      </c>
      <c r="Q516" s="3">
        <v>17291860798000</v>
      </c>
      <c r="R516" s="3">
        <v>18534370818000</v>
      </c>
      <c r="S516" s="3">
        <v>21119264228000</v>
      </c>
      <c r="T516" s="3">
        <v>24116592041000</v>
      </c>
      <c r="U516" s="3">
        <v>27086367000000</v>
      </c>
      <c r="V516" s="3">
        <v>28686711000000</v>
      </c>
      <c r="W516" s="3">
        <v>30491647000000</v>
      </c>
      <c r="X516" s="3">
        <v>32506103000000</v>
      </c>
      <c r="Y516" s="3">
        <v>35379003000000</v>
      </c>
      <c r="Z516" s="3">
        <v>36277950000000</v>
      </c>
      <c r="AA516" s="3">
        <v>40366859000000</v>
      </c>
      <c r="AB516" s="3">
        <v>44238800000000</v>
      </c>
      <c r="AC516" s="3">
        <v>48293904533000</v>
      </c>
      <c r="AD516" s="3">
        <v>52472160345000</v>
      </c>
      <c r="AE516" t="s">
        <v>5718</v>
      </c>
      <c r="AF516" t="s">
        <v>718</v>
      </c>
    </row>
    <row r="517" spans="1:32" x14ac:dyDescent="0.3">
      <c r="A517" t="s">
        <v>1826</v>
      </c>
      <c r="B517" s="1" t="s">
        <v>1205</v>
      </c>
      <c r="C517" s="5" t="s">
        <v>2583</v>
      </c>
      <c r="D517" s="2" t="s">
        <v>4100</v>
      </c>
      <c r="E517" s="1" t="s">
        <v>1919</v>
      </c>
      <c r="F517" s="3">
        <v>16577533891.878548</v>
      </c>
      <c r="G517" s="3">
        <v>16810537043.840742</v>
      </c>
      <c r="H517" s="3">
        <v>18054383320.847363</v>
      </c>
      <c r="I517" s="3">
        <v>21251754340.430542</v>
      </c>
      <c r="J517" s="3">
        <v>23510575681.368645</v>
      </c>
      <c r="K517" s="3">
        <v>24036918703.174747</v>
      </c>
      <c r="L517" s="3">
        <v>25281413263.371223</v>
      </c>
      <c r="M517" s="3">
        <v>28760090953.30806</v>
      </c>
      <c r="N517" s="3">
        <v>34078240293.255936</v>
      </c>
      <c r="O517" s="3">
        <v>33886813250.203587</v>
      </c>
      <c r="P517" s="3">
        <v>34936307980.063034</v>
      </c>
      <c r="Q517" s="3">
        <v>36693710801.397644</v>
      </c>
      <c r="R517" s="3">
        <v>36302302877.297745</v>
      </c>
      <c r="S517" s="3">
        <v>42760235484.609314</v>
      </c>
      <c r="T517" s="3">
        <v>48843005613.709061</v>
      </c>
      <c r="U517" s="3">
        <v>45815005169.265106</v>
      </c>
      <c r="V517" s="3">
        <v>48407761036.823792</v>
      </c>
      <c r="W517" s="3">
        <v>52512343996.689957</v>
      </c>
      <c r="X517" s="3">
        <v>58522477786.68885</v>
      </c>
      <c r="Y517" s="3">
        <v>60382894697.355682</v>
      </c>
      <c r="Z517" s="3">
        <v>63027852805.420448</v>
      </c>
      <c r="AA517" s="3">
        <v>72794636649.434219</v>
      </c>
      <c r="AB517" s="3">
        <v>70922824824.006943</v>
      </c>
      <c r="AC517" s="3">
        <v>79618056323.763855</v>
      </c>
      <c r="AD517" s="3">
        <v>86538413923.394287</v>
      </c>
      <c r="AE517" t="s">
        <v>5719</v>
      </c>
      <c r="AF517" t="s">
        <v>718</v>
      </c>
    </row>
    <row r="518" spans="1:32" x14ac:dyDescent="0.3">
      <c r="A518" t="s">
        <v>1826</v>
      </c>
      <c r="B518" s="1" t="s">
        <v>1205</v>
      </c>
      <c r="C518" s="5" t="s">
        <v>2584</v>
      </c>
      <c r="D518" s="2" t="s">
        <v>4101</v>
      </c>
      <c r="E518" s="1" t="s">
        <v>1463</v>
      </c>
      <c r="F518" s="3">
        <v>65.494092629225221</v>
      </c>
      <c r="G518" s="3">
        <v>69.997446002568324</v>
      </c>
      <c r="H518" s="3">
        <v>73.204825121413919</v>
      </c>
      <c r="I518" s="3">
        <v>75.604567641886661</v>
      </c>
      <c r="J518" s="3">
        <v>73.711915012326855</v>
      </c>
      <c r="K518" s="3">
        <v>74.607614246367746</v>
      </c>
      <c r="L518" s="3">
        <v>75.621933306622566</v>
      </c>
      <c r="M518" s="3">
        <v>77.957554108609216</v>
      </c>
      <c r="N518" s="3">
        <v>82.146161637400311</v>
      </c>
      <c r="O518" s="3">
        <v>83.138305971131572</v>
      </c>
      <c r="P518" s="3">
        <v>84.398863868140111</v>
      </c>
      <c r="Q518" s="3">
        <v>89.217465504778858</v>
      </c>
      <c r="R518" s="3">
        <v>88.856939189179499</v>
      </c>
      <c r="S518" s="3">
        <v>91.413113796690737</v>
      </c>
      <c r="T518" s="3">
        <v>95.441993538424114</v>
      </c>
      <c r="U518" s="3">
        <v>100</v>
      </c>
      <c r="V518" s="3">
        <v>98.820167564343038</v>
      </c>
      <c r="W518" s="3">
        <v>97.790780362220971</v>
      </c>
      <c r="X518" s="3">
        <v>99.435598279436888</v>
      </c>
      <c r="Y518" s="3">
        <v>101.40775669645186</v>
      </c>
      <c r="Z518" s="3">
        <v>103.26187897561125</v>
      </c>
      <c r="AA518" s="3">
        <v>107.32020648010445</v>
      </c>
      <c r="AB518" s="3">
        <v>110.5398133492665</v>
      </c>
      <c r="AC518" s="3">
        <v>113.3600879019227</v>
      </c>
      <c r="AD518" s="3">
        <v>116.25077014349317</v>
      </c>
      <c r="AE518" t="s">
        <v>5720</v>
      </c>
      <c r="AF518" t="s">
        <v>718</v>
      </c>
    </row>
    <row r="519" spans="1:32" x14ac:dyDescent="0.3">
      <c r="A519" t="s">
        <v>1826</v>
      </c>
      <c r="B519" s="1" t="s">
        <v>1205</v>
      </c>
      <c r="C519" s="5" t="s">
        <v>2585</v>
      </c>
      <c r="D519" s="2" t="s">
        <v>4102</v>
      </c>
      <c r="E519" s="1" t="s">
        <v>1224</v>
      </c>
      <c r="F519" s="3">
        <v>65.438381127865398</v>
      </c>
      <c r="G519" s="3">
        <v>69.937903795758402</v>
      </c>
      <c r="H519" s="3">
        <v>73.142554608905499</v>
      </c>
      <c r="I519" s="3">
        <v>75.540255826822104</v>
      </c>
      <c r="J519" s="3">
        <v>73.649213151921003</v>
      </c>
      <c r="K519" s="3">
        <v>74.607614246367802</v>
      </c>
      <c r="L519" s="3">
        <v>75.621933306622594</v>
      </c>
      <c r="M519" s="3">
        <v>77.957554108609202</v>
      </c>
      <c r="N519" s="3">
        <v>82.146161637400297</v>
      </c>
      <c r="O519" s="3">
        <v>83.138305971131601</v>
      </c>
      <c r="P519" s="3">
        <v>84.398863868140097</v>
      </c>
      <c r="Q519" s="3">
        <v>89.2174655047789</v>
      </c>
      <c r="R519" s="3">
        <v>88.856939189179499</v>
      </c>
      <c r="S519" s="3">
        <v>91.413113796690695</v>
      </c>
      <c r="T519" s="3">
        <v>95.4419935384241</v>
      </c>
      <c r="U519" s="3">
        <v>100</v>
      </c>
      <c r="V519" s="3">
        <v>98.820167564342995</v>
      </c>
      <c r="W519" s="3">
        <v>97.790780362221</v>
      </c>
      <c r="X519" s="3">
        <v>99.435598279436903</v>
      </c>
      <c r="Y519" s="3">
        <v>101.407756696452</v>
      </c>
      <c r="Z519" s="3">
        <v>103.261878975611</v>
      </c>
      <c r="AA519" s="3">
        <v>107.32020648010401</v>
      </c>
      <c r="AB519" s="3">
        <v>110.539813349266</v>
      </c>
      <c r="AC519" s="3">
        <v>113.360087901923</v>
      </c>
      <c r="AD519" s="3">
        <v>116.250770143493</v>
      </c>
      <c r="AE519" t="s">
        <v>5721</v>
      </c>
      <c r="AF519" t="s">
        <v>1590</v>
      </c>
    </row>
    <row r="520" spans="1:32" x14ac:dyDescent="0.3">
      <c r="A520" t="s">
        <v>1826</v>
      </c>
      <c r="B520" s="1" t="s">
        <v>1205</v>
      </c>
      <c r="C520" s="5" t="s">
        <v>2586</v>
      </c>
      <c r="D520" s="2" t="s">
        <v>4103</v>
      </c>
      <c r="E520" s="1" t="s">
        <v>715</v>
      </c>
      <c r="F520" s="3">
        <v>-0.26578946227594713</v>
      </c>
      <c r="G520" s="3">
        <v>-2.1540124907730558</v>
      </c>
      <c r="H520" s="3">
        <v>-2.7305264744190083</v>
      </c>
      <c r="I520" s="3">
        <v>-4.7258665863068074</v>
      </c>
      <c r="J520" s="3">
        <v>3.1850382257539707</v>
      </c>
      <c r="K520" s="3">
        <v>0.99606556485478848</v>
      </c>
      <c r="L520" s="3">
        <v>2.8155785925232664</v>
      </c>
      <c r="M520" s="3">
        <v>1.1014297679347749</v>
      </c>
      <c r="N520" s="3">
        <v>4.7826659787671986</v>
      </c>
      <c r="O520" s="3">
        <v>3.6033215666705303</v>
      </c>
      <c r="P520" s="3">
        <v>6.8480493990701348</v>
      </c>
      <c r="Q520" s="3">
        <v>-5.3704472400057881</v>
      </c>
      <c r="R520" s="3">
        <v>7.6204117645164899</v>
      </c>
      <c r="S520" s="3">
        <v>10.760213131125582</v>
      </c>
      <c r="T520" s="3">
        <v>9.3719999424037468</v>
      </c>
      <c r="U520" s="3">
        <v>7.1949494272819123</v>
      </c>
      <c r="V520" s="3">
        <v>7.1727596395633242</v>
      </c>
      <c r="W520" s="3">
        <v>7.4107624259250429</v>
      </c>
      <c r="X520" s="3">
        <v>4.8431460588917759</v>
      </c>
      <c r="Y520" s="3">
        <v>6.721371675849781</v>
      </c>
      <c r="Z520" s="3">
        <v>0.69972859349422833</v>
      </c>
      <c r="AA520" s="3">
        <v>7.0633291020523217</v>
      </c>
      <c r="AB520" s="3">
        <v>6.3998836272053126</v>
      </c>
      <c r="AC520" s="3">
        <v>6.4504579690257486</v>
      </c>
      <c r="AD520" s="3">
        <v>5.9500000000203102</v>
      </c>
      <c r="AE520" t="s">
        <v>5722</v>
      </c>
      <c r="AF520" t="s">
        <v>718</v>
      </c>
    </row>
    <row r="521" spans="1:32" x14ac:dyDescent="0.3">
      <c r="A521" t="s">
        <v>1826</v>
      </c>
      <c r="B521" s="1" t="s">
        <v>1205</v>
      </c>
      <c r="C521" s="5" t="s">
        <v>2587</v>
      </c>
      <c r="D521" s="2" t="s">
        <v>4104</v>
      </c>
      <c r="E521" s="1" t="s">
        <v>1396</v>
      </c>
      <c r="F521" s="3">
        <v>1717.9538565123084</v>
      </c>
      <c r="G521" s="3">
        <v>1636.5731870521795</v>
      </c>
      <c r="H521" s="3">
        <v>1551.2792590283821</v>
      </c>
      <c r="I521" s="3">
        <v>1441.5880175503685</v>
      </c>
      <c r="J521" s="3">
        <v>1451.8654714189363</v>
      </c>
      <c r="K521" s="3">
        <v>1431.7332020311126</v>
      </c>
      <c r="L521" s="3">
        <v>1437.7745379858582</v>
      </c>
      <c r="M521" s="3">
        <v>1420.1738958245014</v>
      </c>
      <c r="N521" s="3">
        <v>1454.627318000822</v>
      </c>
      <c r="O521" s="3">
        <v>1473.9183699329042</v>
      </c>
      <c r="P521" s="3">
        <v>1540.5292727024596</v>
      </c>
      <c r="Q521" s="3">
        <v>1426.4646386453364</v>
      </c>
      <c r="R521" s="3">
        <v>1503.4343304668153</v>
      </c>
      <c r="S521" s="3">
        <v>1632.3271278700586</v>
      </c>
      <c r="T521" s="3">
        <v>1742.5369300117768</v>
      </c>
      <c r="U521" s="3">
        <v>1814.7185508801674</v>
      </c>
      <c r="V521" s="3">
        <v>1889.2777794993769</v>
      </c>
      <c r="W521" s="3">
        <v>1972.8143178894707</v>
      </c>
      <c r="X521" s="3">
        <v>2013.3230759849851</v>
      </c>
      <c r="Y521" s="3">
        <v>2093.0999433577913</v>
      </c>
      <c r="Z521" s="3">
        <v>2055.0848399643223</v>
      </c>
      <c r="AA521" s="3">
        <v>2146.4763531794551</v>
      </c>
      <c r="AB521" s="3">
        <v>2227.0984524698415</v>
      </c>
      <c r="AC521" s="3">
        <v>2312.1333703470386</v>
      </c>
      <c r="AD521" s="3">
        <v>2390.7471063219191</v>
      </c>
      <c r="AE521" t="s">
        <v>5723</v>
      </c>
      <c r="AF521" t="s">
        <v>1575</v>
      </c>
    </row>
    <row r="522" spans="1:32" x14ac:dyDescent="0.3">
      <c r="A522" t="s">
        <v>1826</v>
      </c>
      <c r="B522" s="1" t="s">
        <v>1205</v>
      </c>
      <c r="C522" s="5" t="s">
        <v>2588</v>
      </c>
      <c r="D522" s="2" t="s">
        <v>4105</v>
      </c>
      <c r="E522" s="1" t="s">
        <v>745</v>
      </c>
      <c r="F522" s="3">
        <v>1015674.4165942897</v>
      </c>
      <c r="G522" s="3">
        <v>967561.21281839022</v>
      </c>
      <c r="H522" s="3">
        <v>917134.44480235106</v>
      </c>
      <c r="I522" s="3">
        <v>852283.69967240666</v>
      </c>
      <c r="J522" s="3">
        <v>858359.85062515934</v>
      </c>
      <c r="K522" s="3">
        <v>846457.41745579068</v>
      </c>
      <c r="L522" s="3">
        <v>850029.12594378437</v>
      </c>
      <c r="M522" s="3">
        <v>839623.42040567822</v>
      </c>
      <c r="N522" s="3">
        <v>859992.68663245183</v>
      </c>
      <c r="O522" s="3">
        <v>871397.78220142436</v>
      </c>
      <c r="P522" s="3">
        <v>910778.92713312595</v>
      </c>
      <c r="Q522" s="3">
        <v>843342.58115046553</v>
      </c>
      <c r="R522" s="3">
        <v>888847.96334677888</v>
      </c>
      <c r="S522" s="3">
        <v>965050.89295952034</v>
      </c>
      <c r="T522" s="3">
        <v>1030208.2172199697</v>
      </c>
      <c r="U522" s="3">
        <v>1072882.8358579632</v>
      </c>
      <c r="V522" s="3">
        <v>1116963.1240114963</v>
      </c>
      <c r="W522" s="3">
        <v>1166350.9027181456</v>
      </c>
      <c r="X522" s="3">
        <v>1190300.1543756661</v>
      </c>
      <c r="Y522" s="3">
        <v>1237465.1715962635</v>
      </c>
      <c r="Z522" s="3">
        <v>1214990.1977693655</v>
      </c>
      <c r="AA522" s="3">
        <v>1269021.9294800737</v>
      </c>
      <c r="AB522" s="3">
        <v>1316686.6576978676</v>
      </c>
      <c r="AC522" s="3">
        <v>1366960.2958853359</v>
      </c>
      <c r="AD522" s="3">
        <v>1413437.6562171688</v>
      </c>
      <c r="AE522" t="s">
        <v>5724</v>
      </c>
      <c r="AF522" t="s">
        <v>1575</v>
      </c>
    </row>
    <row r="523" spans="1:32" x14ac:dyDescent="0.3">
      <c r="A523" t="s">
        <v>1826</v>
      </c>
      <c r="B523" s="1" t="s">
        <v>1205</v>
      </c>
      <c r="C523" s="5" t="s">
        <v>2589</v>
      </c>
      <c r="D523" s="2" t="s">
        <v>4106</v>
      </c>
      <c r="E523" s="1" t="s">
        <v>602</v>
      </c>
      <c r="F523" s="3">
        <v>665206.7432156069</v>
      </c>
      <c r="G523" s="3">
        <v>677268.13748434791</v>
      </c>
      <c r="H523" s="3">
        <v>671386.66644581163</v>
      </c>
      <c r="I523" s="3">
        <v>644365.40621959895</v>
      </c>
      <c r="J523" s="3">
        <v>632713.4835927533</v>
      </c>
      <c r="K523" s="3">
        <v>631521.68477518298</v>
      </c>
      <c r="L523" s="3">
        <v>642808.45870807534</v>
      </c>
      <c r="M523" s="3">
        <v>654549.88227131206</v>
      </c>
      <c r="N523" s="3">
        <v>706450.98243091535</v>
      </c>
      <c r="O523" s="3">
        <v>724465.35439227486</v>
      </c>
      <c r="P523" s="3">
        <v>768687.06685079401</v>
      </c>
      <c r="Q523" s="3">
        <v>752408.87642502831</v>
      </c>
      <c r="R523" s="3">
        <v>789803.09427530773</v>
      </c>
      <c r="S523" s="3">
        <v>882183.07097706641</v>
      </c>
      <c r="T523" s="3">
        <v>983251.26011139783</v>
      </c>
      <c r="U523" s="3">
        <v>1072882.8358579632</v>
      </c>
      <c r="V523" s="3">
        <v>1103784.8307800815</v>
      </c>
      <c r="W523" s="3">
        <v>1140583.6495298834</v>
      </c>
      <c r="X523" s="3">
        <v>1183582.0798245044</v>
      </c>
      <c r="Y523" s="3">
        <v>1254885.6704156694</v>
      </c>
      <c r="Z523" s="3">
        <v>1254621.707586142</v>
      </c>
      <c r="AA523" s="3">
        <v>1361916.9549958205</v>
      </c>
      <c r="AB523" s="3">
        <v>1455462.9738139184</v>
      </c>
      <c r="AC523" s="3">
        <v>1549587.3929999992</v>
      </c>
      <c r="AD523" s="3">
        <v>1643132.1608505982</v>
      </c>
      <c r="AE523" t="s">
        <v>5725</v>
      </c>
      <c r="AF523" t="s">
        <v>1575</v>
      </c>
    </row>
    <row r="524" spans="1:32" x14ac:dyDescent="0.3">
      <c r="A524" t="s">
        <v>1826</v>
      </c>
      <c r="B524" s="1" t="s">
        <v>1205</v>
      </c>
      <c r="C524" s="5" t="s">
        <v>2590</v>
      </c>
      <c r="D524" s="2" t="s">
        <v>4107</v>
      </c>
      <c r="E524" s="1" t="s">
        <v>1238</v>
      </c>
      <c r="F524" s="3">
        <v>936.63654134879835</v>
      </c>
      <c r="G524" s="3">
        <v>924.72729496206637</v>
      </c>
      <c r="H524" s="3">
        <v>967.81586441599109</v>
      </c>
      <c r="I524" s="3">
        <v>1111.1713508788687</v>
      </c>
      <c r="J524" s="3">
        <v>1199.8252452854629</v>
      </c>
      <c r="K524" s="3">
        <v>1197.746169794149</v>
      </c>
      <c r="L524" s="3">
        <v>1230.4305683858356</v>
      </c>
      <c r="M524" s="3">
        <v>1367.5381772232606</v>
      </c>
      <c r="N524" s="3">
        <v>1583.9706670137175</v>
      </c>
      <c r="O524" s="3">
        <v>1540.4539356959599</v>
      </c>
      <c r="P524" s="3">
        <v>1553.5488704814325</v>
      </c>
      <c r="Q524" s="3">
        <v>1596.6282656599792</v>
      </c>
      <c r="R524" s="3">
        <v>1546.9460184731029</v>
      </c>
      <c r="S524" s="3">
        <v>1786.1586203132365</v>
      </c>
      <c r="T524" s="3">
        <v>1991.3653942340416</v>
      </c>
      <c r="U524" s="3">
        <v>1814.7185508801674</v>
      </c>
      <c r="V524" s="3">
        <v>1862.5959708128676</v>
      </c>
      <c r="W524" s="3">
        <v>1964.299303383425</v>
      </c>
      <c r="X524" s="3">
        <v>2130.8661938114374</v>
      </c>
      <c r="Y524" s="3">
        <v>2141.7683617011467</v>
      </c>
      <c r="Z524" s="3">
        <v>2179.7293483293465</v>
      </c>
      <c r="AA524" s="3">
        <v>2455.9812762648835</v>
      </c>
      <c r="AB524" s="3">
        <v>2333.371283344773</v>
      </c>
      <c r="AC524" s="3">
        <v>2554.6730488557646</v>
      </c>
      <c r="AD524" s="3">
        <v>2709.8951164125233</v>
      </c>
      <c r="AE524" t="s">
        <v>5726</v>
      </c>
      <c r="AF524" t="s">
        <v>1575</v>
      </c>
    </row>
    <row r="525" spans="1:32" x14ac:dyDescent="0.3">
      <c r="A525" t="s">
        <v>1826</v>
      </c>
      <c r="B525" s="1" t="s">
        <v>1205</v>
      </c>
      <c r="C525" s="5" t="s">
        <v>2591</v>
      </c>
      <c r="D525" s="2" t="s">
        <v>4108</v>
      </c>
      <c r="E525" s="1" t="s">
        <v>1752</v>
      </c>
      <c r="F525" s="3">
        <v>-2.9878920930368622</v>
      </c>
      <c r="G525" s="3">
        <v>-4.737069575625469</v>
      </c>
      <c r="H525" s="3">
        <v>-5.2117393037234336</v>
      </c>
      <c r="I525" s="3">
        <v>-7.0710183765827423</v>
      </c>
      <c r="J525" s="3">
        <v>0.71292586671411584</v>
      </c>
      <c r="K525" s="3">
        <v>-1.3866484040114244</v>
      </c>
      <c r="L525" s="3">
        <v>0.42195961832661055</v>
      </c>
      <c r="M525" s="3">
        <v>-1.2241587047447098</v>
      </c>
      <c r="N525" s="3">
        <v>2.4260002438869464</v>
      </c>
      <c r="O525" s="3">
        <v>1.3261851811359406</v>
      </c>
      <c r="P525" s="3">
        <v>4.5193074547668033</v>
      </c>
      <c r="Q525" s="3">
        <v>-7.4042497003011363</v>
      </c>
      <c r="R525" s="3">
        <v>5.3958359524828126</v>
      </c>
      <c r="S525" s="3">
        <v>8.573224303267196</v>
      </c>
      <c r="T525" s="3">
        <v>6.7516982509214074</v>
      </c>
      <c r="U525" s="3">
        <v>4.1423294752153623</v>
      </c>
      <c r="V525" s="3">
        <v>4.1085835918218407</v>
      </c>
      <c r="W525" s="3">
        <v>4.4216122846810322</v>
      </c>
      <c r="X525" s="3">
        <v>2.053348747937477</v>
      </c>
      <c r="Y525" s="3">
        <v>3.9624473749090896</v>
      </c>
      <c r="Z525" s="3">
        <v>-1.8162106168940824</v>
      </c>
      <c r="AA525" s="3">
        <v>4.4470919855902196</v>
      </c>
      <c r="AB525" s="3">
        <v>3.7560208464894345</v>
      </c>
      <c r="AC525" s="3">
        <v>3.8181930297196232</v>
      </c>
      <c r="AD525" s="3">
        <v>3.4000519599386649</v>
      </c>
      <c r="AE525" t="s">
        <v>5727</v>
      </c>
      <c r="AF525" t="s">
        <v>1575</v>
      </c>
    </row>
    <row r="526" spans="1:32" x14ac:dyDescent="0.3">
      <c r="A526" t="s">
        <v>1826</v>
      </c>
      <c r="B526" s="1" t="s">
        <v>1205</v>
      </c>
      <c r="C526" s="5" t="s">
        <v>2592</v>
      </c>
      <c r="D526" s="2" t="s">
        <v>4109</v>
      </c>
      <c r="E526" s="1" t="s">
        <v>1188</v>
      </c>
      <c r="F526" s="3">
        <v>4838.3402372993805</v>
      </c>
      <c r="G526" s="3">
        <v>4609.144693953026</v>
      </c>
      <c r="H526" s="3">
        <v>4368.9280883727934</v>
      </c>
      <c r="I526" s="3">
        <v>4060.0003803842683</v>
      </c>
      <c r="J526" s="3">
        <v>4088.9451732847192</v>
      </c>
      <c r="K526" s="3">
        <v>4032.2458802984638</v>
      </c>
      <c r="L526" s="3">
        <v>4049.2603296249617</v>
      </c>
      <c r="M526" s="3">
        <v>3999.6909568220835</v>
      </c>
      <c r="N526" s="3">
        <v>4096.7234691893109</v>
      </c>
      <c r="O526" s="3">
        <v>4151.0536087498176</v>
      </c>
      <c r="P526" s="3">
        <v>4338.652483941416</v>
      </c>
      <c r="Q526" s="3">
        <v>4017.4078204020757</v>
      </c>
      <c r="R526" s="3">
        <v>4234.180555933187</v>
      </c>
      <c r="S526" s="3">
        <v>4597.186352398664</v>
      </c>
      <c r="T526" s="3">
        <v>4907.5745029451627</v>
      </c>
      <c r="U526" s="3">
        <v>5110.8624080988138</v>
      </c>
      <c r="V526" s="3">
        <v>5320.8464623985519</v>
      </c>
      <c r="W526" s="3">
        <v>5556.1136632289827</v>
      </c>
      <c r="X526" s="3">
        <v>5670.2000535668776</v>
      </c>
      <c r="Y526" s="3">
        <v>5894.8787467415314</v>
      </c>
      <c r="Z526" s="3">
        <v>5787.8153330901787</v>
      </c>
      <c r="AA526" s="3">
        <v>6045.2048049087944</v>
      </c>
      <c r="AB526" s="3">
        <v>6272.2639575941494</v>
      </c>
      <c r="AC526" s="3">
        <v>6511.7511028286244</v>
      </c>
      <c r="AD526" s="3">
        <v>6733.1540238266789</v>
      </c>
      <c r="AE526" t="s">
        <v>5728</v>
      </c>
      <c r="AF526" t="s">
        <v>1070</v>
      </c>
    </row>
    <row r="527" spans="1:32" x14ac:dyDescent="0.3">
      <c r="A527" t="s">
        <v>1826</v>
      </c>
      <c r="B527" s="1" t="s">
        <v>1205</v>
      </c>
      <c r="C527" s="5" t="s">
        <v>2593</v>
      </c>
      <c r="D527" s="2" t="s">
        <v>4110</v>
      </c>
      <c r="E527" s="1" t="s">
        <v>1049</v>
      </c>
      <c r="F527" s="3">
        <v>3040.5759318536275</v>
      </c>
      <c r="G527" s="3">
        <v>2961.7628727421638</v>
      </c>
      <c r="H527" s="3">
        <v>2851.03041356835</v>
      </c>
      <c r="I527" s="3">
        <v>2701.7416848785083</v>
      </c>
      <c r="J527" s="3">
        <v>2794.1732571936582</v>
      </c>
      <c r="K527" s="3">
        <v>2841.8230879817274</v>
      </c>
      <c r="L527" s="3">
        <v>2941.8214116891249</v>
      </c>
      <c r="M527" s="3">
        <v>2984.5347216156183</v>
      </c>
      <c r="N527" s="3">
        <v>3115.8378918774533</v>
      </c>
      <c r="O527" s="3">
        <v>3176.6324242061737</v>
      </c>
      <c r="P527" s="3">
        <v>3360.5440882605467</v>
      </c>
      <c r="Q527" s="3">
        <v>3175.9192237075954</v>
      </c>
      <c r="R527" s="3">
        <v>3290.7230694945711</v>
      </c>
      <c r="S527" s="3">
        <v>3619.0179085486493</v>
      </c>
      <c r="T527" s="3">
        <v>4074.2144553978933</v>
      </c>
      <c r="U527" s="3">
        <v>4403.6429661899847</v>
      </c>
      <c r="V527" s="3">
        <v>4530.6484980848745</v>
      </c>
      <c r="W527" s="3">
        <v>4690.178018610959</v>
      </c>
      <c r="X527" s="3">
        <v>4945.6252057591528</v>
      </c>
      <c r="Y527" s="3">
        <v>5516.3905512682895</v>
      </c>
      <c r="Z527" s="3">
        <v>5543.8509631893894</v>
      </c>
      <c r="AA527" s="3">
        <v>6045.2048049087944</v>
      </c>
      <c r="AB527" s="3">
        <v>6719.4438155763673</v>
      </c>
      <c r="AC527" s="3">
        <v>7227.0291171707549</v>
      </c>
      <c r="AD527" s="3">
        <v>7653.4503375602653</v>
      </c>
      <c r="AE527" t="s">
        <v>5729</v>
      </c>
      <c r="AF527" t="s">
        <v>1070</v>
      </c>
    </row>
    <row r="528" spans="1:32" x14ac:dyDescent="0.3">
      <c r="A528" t="s">
        <v>1826</v>
      </c>
      <c r="B528" s="1" t="s">
        <v>1205</v>
      </c>
      <c r="C528" s="5" t="s">
        <v>2594</v>
      </c>
      <c r="D528" s="2" t="s">
        <v>4111</v>
      </c>
      <c r="E528" s="1" t="s">
        <v>1974</v>
      </c>
      <c r="F528" s="3">
        <v>14387.390064476213</v>
      </c>
      <c r="G528" s="3">
        <v>13741.435369942785</v>
      </c>
      <c r="H528" s="3">
        <v>13052.993795216218</v>
      </c>
      <c r="I528" s="3">
        <v>12159.369263043192</v>
      </c>
      <c r="J528" s="3">
        <v>12241.451141989779</v>
      </c>
      <c r="K528" s="3">
        <v>12068.073313489962</v>
      </c>
      <c r="L528" s="3">
        <v>12097.556832680586</v>
      </c>
      <c r="M528" s="3">
        <v>11956.851465616242</v>
      </c>
      <c r="N528" s="3">
        <v>12114.441945797291</v>
      </c>
      <c r="O528" s="3">
        <v>12056.391665926671</v>
      </c>
      <c r="P528" s="3">
        <v>12388.455984645199</v>
      </c>
      <c r="Q528" s="3">
        <v>11363.701895841978</v>
      </c>
      <c r="R528" s="3">
        <v>11836.008228681443</v>
      </c>
      <c r="S528" s="3">
        <v>12358.998302787188</v>
      </c>
      <c r="T528" s="3">
        <v>13054.015367195469</v>
      </c>
      <c r="U528" s="3">
        <v>13564.660792472683</v>
      </c>
      <c r="V528" s="3">
        <v>14077.127427535546</v>
      </c>
      <c r="W528" s="3">
        <v>15083.635134021308</v>
      </c>
      <c r="X528" s="3">
        <v>15487.575538719795</v>
      </c>
      <c r="Y528" s="3">
        <v>16182.299641182128</v>
      </c>
      <c r="Z528" s="3">
        <v>15804.107386329366</v>
      </c>
      <c r="AA528" s="3">
        <v>16085.146930625664</v>
      </c>
      <c r="AB528" s="3">
        <v>16422.85708808486</v>
      </c>
      <c r="AC528" s="3">
        <v>16998.526894565814</v>
      </c>
      <c r="AD528" s="3">
        <v>17471.879687081935</v>
      </c>
      <c r="AE528" t="s">
        <v>5730</v>
      </c>
      <c r="AF528" t="s">
        <v>437</v>
      </c>
    </row>
    <row r="529" spans="1:32" x14ac:dyDescent="0.3">
      <c r="A529" t="s">
        <v>1826</v>
      </c>
      <c r="B529" s="1" t="s">
        <v>1205</v>
      </c>
      <c r="C529" s="5" t="s">
        <v>2595</v>
      </c>
      <c r="D529" s="2" t="s">
        <v>4112</v>
      </c>
      <c r="E529" s="1" t="s">
        <v>1651</v>
      </c>
      <c r="F529" s="3">
        <v>12.609744601976356</v>
      </c>
      <c r="G529" s="3">
        <v>12.829039114754906</v>
      </c>
      <c r="H529" s="3">
        <v>11.674839185891587</v>
      </c>
      <c r="I529" s="3">
        <v>11.765950316360742</v>
      </c>
      <c r="J529" s="3">
        <v>8.6147528708603645</v>
      </c>
      <c r="K529" s="3">
        <v>8.4115990526521376</v>
      </c>
      <c r="L529" s="3">
        <v>8.7945748775947266</v>
      </c>
      <c r="M529" s="3">
        <v>8.2610442063623744</v>
      </c>
      <c r="N529" s="3">
        <v>8.6122436697869418</v>
      </c>
      <c r="O529" s="3">
        <v>9.7364937730349617</v>
      </c>
      <c r="P529" s="3">
        <v>11.73900103831663</v>
      </c>
      <c r="Q529" s="3">
        <v>9.7461878177788552</v>
      </c>
      <c r="R529" s="3">
        <v>9.5755958109397223</v>
      </c>
      <c r="S529" s="3">
        <v>10.300437809381807</v>
      </c>
      <c r="T529" s="3">
        <v>11.186151137245899</v>
      </c>
      <c r="U529" s="3">
        <v>13.313254312031537</v>
      </c>
      <c r="V529" s="3">
        <v>13.585524344344883</v>
      </c>
      <c r="W529" s="3">
        <v>14.152629666936949</v>
      </c>
      <c r="X529" s="3">
        <v>15.814631237747882</v>
      </c>
      <c r="Y529" s="3">
        <v>16.188057018756254</v>
      </c>
      <c r="Z529" s="3">
        <v>15.421130663591766</v>
      </c>
      <c r="AA529" s="3">
        <v>12.905674003447576</v>
      </c>
      <c r="AB529" s="3">
        <v>13.295020528513936</v>
      </c>
      <c r="AC529" s="3"/>
      <c r="AD529" s="3"/>
      <c r="AE529" t="s">
        <v>5731</v>
      </c>
      <c r="AF529" t="s">
        <v>350</v>
      </c>
    </row>
    <row r="530" spans="1:32" x14ac:dyDescent="0.3">
      <c r="A530" t="s">
        <v>1826</v>
      </c>
      <c r="B530" s="1" t="s">
        <v>1205</v>
      </c>
      <c r="C530" s="5" t="s">
        <v>2596</v>
      </c>
      <c r="D530" s="2" t="s">
        <v>4113</v>
      </c>
      <c r="E530" s="1" t="s">
        <v>150</v>
      </c>
      <c r="F530" s="3">
        <v>7.9243881296349823</v>
      </c>
      <c r="G530" s="3">
        <v>8.2437359349746018</v>
      </c>
      <c r="H530" s="3">
        <v>7.618647164525334</v>
      </c>
      <c r="I530" s="3">
        <v>7.8296934614849931</v>
      </c>
      <c r="J530" s="3">
        <v>5.8868757268646847</v>
      </c>
      <c r="K530" s="3">
        <v>5.9282784592745852</v>
      </c>
      <c r="L530" s="3">
        <v>6.3893320200550487</v>
      </c>
      <c r="M530" s="3">
        <v>6.164319577900522</v>
      </c>
      <c r="N530" s="3">
        <v>6.5501992902913848</v>
      </c>
      <c r="O530" s="3">
        <v>7.4509425154881104</v>
      </c>
      <c r="P530" s="3">
        <v>9.092553664395318</v>
      </c>
      <c r="Q530" s="3">
        <v>7.7047456051526169</v>
      </c>
      <c r="R530" s="3">
        <v>7.4419674888592864</v>
      </c>
      <c r="S530" s="3">
        <v>8.1087574095390327</v>
      </c>
      <c r="T530" s="3">
        <v>9.2866198233531083</v>
      </c>
      <c r="U530" s="3">
        <v>11.471022701643168</v>
      </c>
      <c r="V530" s="3">
        <v>11.567940533780284</v>
      </c>
      <c r="W530" s="3">
        <v>11.946903283982255</v>
      </c>
      <c r="X530" s="3">
        <v>13.793735340958813</v>
      </c>
      <c r="Y530" s="3">
        <v>15.148682206741032</v>
      </c>
      <c r="Z530" s="3">
        <v>14.771108814416385</v>
      </c>
      <c r="AA530" s="3">
        <v>12.905674003447576</v>
      </c>
      <c r="AB530" s="3">
        <v>14.242886471657689</v>
      </c>
      <c r="AC530" s="3"/>
      <c r="AD530" s="3"/>
      <c r="AE530" t="s">
        <v>5732</v>
      </c>
      <c r="AF530" t="s">
        <v>1409</v>
      </c>
    </row>
    <row r="531" spans="1:32" x14ac:dyDescent="0.3">
      <c r="A531" t="s">
        <v>1826</v>
      </c>
      <c r="B531" s="1" t="s">
        <v>1205</v>
      </c>
      <c r="C531" s="5" t="s">
        <v>2597</v>
      </c>
      <c r="D531" s="2" t="s">
        <v>4114</v>
      </c>
      <c r="E531" s="1" t="s">
        <v>207</v>
      </c>
      <c r="F531" s="3">
        <v>85633803213.322678</v>
      </c>
      <c r="G531" s="3">
        <v>83789240395.783691</v>
      </c>
      <c r="H531" s="3">
        <v>81501353004.062225</v>
      </c>
      <c r="I531" s="3">
        <v>77649707795.055298</v>
      </c>
      <c r="J531" s="3">
        <v>80122880670.514069</v>
      </c>
      <c r="K531" s="3">
        <v>80920957094.442749</v>
      </c>
      <c r="L531" s="3">
        <v>83199350239.25882</v>
      </c>
      <c r="M531" s="3">
        <v>84115732649.522324</v>
      </c>
      <c r="N531" s="3">
        <v>88138707177.741806</v>
      </c>
      <c r="O531" s="3">
        <v>91314628222.061966</v>
      </c>
      <c r="P531" s="3">
        <v>97567899071.286026</v>
      </c>
      <c r="Q531" s="3">
        <v>92328066528.480499</v>
      </c>
      <c r="R531" s="3">
        <v>99363845372.167465</v>
      </c>
      <c r="S531" s="3">
        <v>110055606909.49472</v>
      </c>
      <c r="T531" s="3">
        <v>120370018325.66467</v>
      </c>
      <c r="U531" s="3">
        <v>129030580269.80621</v>
      </c>
      <c r="V531" s="3">
        <v>138285633654.09323</v>
      </c>
      <c r="W531" s="3">
        <v>148533653433.38312</v>
      </c>
      <c r="X531" s="3">
        <v>155727355215.76999</v>
      </c>
      <c r="Y531" s="3">
        <v>166194369560.79272</v>
      </c>
      <c r="Z531" s="3">
        <v>167357279085.38708</v>
      </c>
      <c r="AA531" s="3">
        <v>179178274483.42816</v>
      </c>
      <c r="AB531" s="3">
        <v>190645475535.60208</v>
      </c>
      <c r="AC531" s="3">
        <v>202942981804.87534</v>
      </c>
      <c r="AD531" s="3">
        <v>215018089222.30664</v>
      </c>
      <c r="AE531" t="s">
        <v>5733</v>
      </c>
      <c r="AF531" t="s">
        <v>1070</v>
      </c>
    </row>
    <row r="532" spans="1:32" x14ac:dyDescent="0.3">
      <c r="A532" t="s">
        <v>1826</v>
      </c>
      <c r="B532" s="1" t="s">
        <v>1205</v>
      </c>
      <c r="C532" s="5" t="s">
        <v>2598</v>
      </c>
      <c r="D532" s="2" t="s">
        <v>4115</v>
      </c>
      <c r="E532" s="1" t="s">
        <v>45</v>
      </c>
      <c r="F532" s="3">
        <v>53815165580.181084</v>
      </c>
      <c r="G532" s="3">
        <v>53841629590.209869</v>
      </c>
      <c r="H532" s="3">
        <v>53185319479.152863</v>
      </c>
      <c r="I532" s="3">
        <v>51672274067.294678</v>
      </c>
      <c r="J532" s="3">
        <v>54751824974.709732</v>
      </c>
      <c r="K532" s="3">
        <v>57031007284.591599</v>
      </c>
      <c r="L532" s="3">
        <v>60445022065.336937</v>
      </c>
      <c r="M532" s="3">
        <v>62766430565.951111</v>
      </c>
      <c r="N532" s="3">
        <v>67035504258.686066</v>
      </c>
      <c r="O532" s="3">
        <v>69879369469.741959</v>
      </c>
      <c r="P532" s="3">
        <v>75572133892.168915</v>
      </c>
      <c r="Q532" s="3">
        <v>72988975599.247955</v>
      </c>
      <c r="R532" s="3">
        <v>77223654948.228516</v>
      </c>
      <c r="S532" s="3">
        <v>86638474451.625244</v>
      </c>
      <c r="T532" s="3">
        <v>99929867262.254013</v>
      </c>
      <c r="U532" s="3">
        <v>111175876370.32678</v>
      </c>
      <c r="V532" s="3">
        <v>117748858729.36952</v>
      </c>
      <c r="W532" s="3">
        <v>125384273717.74968</v>
      </c>
      <c r="X532" s="3">
        <v>135827506244.12996</v>
      </c>
      <c r="Y532" s="3">
        <v>155523648459.42184</v>
      </c>
      <c r="Z532" s="3">
        <v>160302939789.70367</v>
      </c>
      <c r="AA532" s="3">
        <v>179178274483.42816</v>
      </c>
      <c r="AB532" s="3">
        <v>204237508213.33133</v>
      </c>
      <c r="AC532" s="3">
        <v>225235088913.66922</v>
      </c>
      <c r="AD532" s="3">
        <v>244407043373.22714</v>
      </c>
      <c r="AE532" t="s">
        <v>5734</v>
      </c>
      <c r="AF532" t="s">
        <v>428</v>
      </c>
    </row>
    <row r="533" spans="1:32" x14ac:dyDescent="0.3">
      <c r="A533" t="s">
        <v>1826</v>
      </c>
      <c r="B533" s="1" t="s">
        <v>1205</v>
      </c>
      <c r="C533" s="5" t="s">
        <v>2599</v>
      </c>
      <c r="D533" s="2" t="s">
        <v>4116</v>
      </c>
      <c r="E533" s="1" t="s">
        <v>1640</v>
      </c>
      <c r="F533" s="3">
        <v>11763481872428.6</v>
      </c>
      <c r="G533" s="3">
        <v>12301525544544.699</v>
      </c>
      <c r="H533" s="3">
        <v>12513910694708.801</v>
      </c>
      <c r="I533" s="3">
        <v>12313354564811.4</v>
      </c>
      <c r="J533" s="3">
        <v>12387474533169.699</v>
      </c>
      <c r="K533" s="3">
        <v>12673666407000</v>
      </c>
      <c r="L533" s="3">
        <v>13207658125000</v>
      </c>
      <c r="M533" s="3">
        <v>13765549263000</v>
      </c>
      <c r="N533" s="3">
        <v>15198896568000</v>
      </c>
      <c r="O533" s="3">
        <v>15936745398000</v>
      </c>
      <c r="P533" s="3">
        <v>17286284724000</v>
      </c>
      <c r="Q533" s="3">
        <v>17291860798000</v>
      </c>
      <c r="R533" s="3">
        <v>18534370818000</v>
      </c>
      <c r="S533" s="3">
        <v>21119264228000</v>
      </c>
      <c r="T533" s="3">
        <v>24116592041000</v>
      </c>
      <c r="U533" s="3">
        <v>27086367000000</v>
      </c>
      <c r="V533" s="3">
        <v>28686711000000</v>
      </c>
      <c r="W533" s="3">
        <v>30491647000000</v>
      </c>
      <c r="X533" s="3">
        <v>32506103000000</v>
      </c>
      <c r="Y533" s="3">
        <v>35379003000000</v>
      </c>
      <c r="Z533" s="3">
        <v>36277949999999.898</v>
      </c>
      <c r="AA533" s="3">
        <v>40366858999999.797</v>
      </c>
      <c r="AB533" s="3">
        <v>44238799999999.797</v>
      </c>
      <c r="AC533" s="3">
        <v>48293904533000.102</v>
      </c>
      <c r="AD533" s="3">
        <v>52472160344999.898</v>
      </c>
      <c r="AE533" t="s">
        <v>5735</v>
      </c>
      <c r="AF533" t="s">
        <v>1590</v>
      </c>
    </row>
    <row r="534" spans="1:32" x14ac:dyDescent="0.3">
      <c r="A534" t="s">
        <v>1826</v>
      </c>
      <c r="B534" s="1" t="s">
        <v>1205</v>
      </c>
      <c r="C534" s="5" t="s">
        <v>2600</v>
      </c>
      <c r="D534" s="2" t="s">
        <v>4117</v>
      </c>
      <c r="E534" s="1" t="s">
        <v>551</v>
      </c>
      <c r="F534" s="3"/>
      <c r="G534" s="3"/>
      <c r="H534" s="3"/>
      <c r="I534" s="3"/>
      <c r="J534" s="3"/>
      <c r="K534" s="3"/>
      <c r="L534" s="3"/>
      <c r="M534" s="3"/>
      <c r="N534" s="3"/>
      <c r="O534" s="3"/>
      <c r="P534" s="3"/>
      <c r="Q534" s="3"/>
      <c r="R534" s="3"/>
      <c r="S534" s="3"/>
      <c r="T534" s="3"/>
      <c r="U534" s="3">
        <v>9.3478759997603209</v>
      </c>
      <c r="V534" s="3">
        <v>9.865195072380379</v>
      </c>
      <c r="W534" s="3">
        <v>10.268385961571704</v>
      </c>
      <c r="X534" s="3">
        <v>10.047344032595971</v>
      </c>
      <c r="Y534" s="3">
        <v>10.827642599199304</v>
      </c>
      <c r="Z534" s="3">
        <v>11.321604445675678</v>
      </c>
      <c r="AA534" s="3">
        <v>9.9626594672624886</v>
      </c>
      <c r="AB534" s="3">
        <v>9.4690367641075266</v>
      </c>
      <c r="AC534" s="3">
        <v>9.0122340493839417</v>
      </c>
      <c r="AD534" s="3">
        <v>8.9637116933535701</v>
      </c>
      <c r="AE534" t="s">
        <v>5736</v>
      </c>
      <c r="AF534" t="s">
        <v>718</v>
      </c>
    </row>
    <row r="535" spans="1:32" x14ac:dyDescent="0.3">
      <c r="A535" t="s">
        <v>1826</v>
      </c>
      <c r="B535" s="1" t="s">
        <v>1205</v>
      </c>
      <c r="C535" s="5" t="s">
        <v>2601</v>
      </c>
      <c r="D535" s="2" t="s">
        <v>4118</v>
      </c>
      <c r="E535" s="1" t="s">
        <v>1697</v>
      </c>
      <c r="F535" s="3"/>
      <c r="G535" s="3"/>
      <c r="H535" s="3"/>
      <c r="I535" s="3"/>
      <c r="J535" s="3"/>
      <c r="K535" s="3"/>
      <c r="L535" s="3"/>
      <c r="M535" s="3"/>
      <c r="N535" s="3"/>
      <c r="O535" s="3">
        <v>4.7195873782416982</v>
      </c>
      <c r="P535" s="3">
        <v>4.1064501213048175</v>
      </c>
      <c r="Q535" s="3">
        <v>-10.550593196539566</v>
      </c>
      <c r="R535" s="3">
        <v>35.606372766482991</v>
      </c>
      <c r="S535" s="3">
        <v>-17.179818772963628</v>
      </c>
      <c r="T535" s="3">
        <v>10.170422177905252</v>
      </c>
      <c r="U535" s="3">
        <v>5.3533195238726421</v>
      </c>
      <c r="V535" s="3">
        <v>4.3830055933631371</v>
      </c>
      <c r="W535" s="3">
        <v>9.7879858643948836</v>
      </c>
      <c r="X535" s="3">
        <v>5.0782497598055301</v>
      </c>
      <c r="Y535" s="3">
        <v>12.21212499293118</v>
      </c>
      <c r="Z535" s="3">
        <v>1.4619452830921205</v>
      </c>
      <c r="AA535" s="3">
        <v>6.1078994604447701</v>
      </c>
      <c r="AB535" s="3">
        <v>4.0125088320660751</v>
      </c>
      <c r="AC535" s="3">
        <v>3.866512074373901</v>
      </c>
      <c r="AD535" s="3">
        <v>3.117116632505045</v>
      </c>
      <c r="AE535" t="s">
        <v>5737</v>
      </c>
      <c r="AF535" t="s">
        <v>718</v>
      </c>
    </row>
    <row r="536" spans="1:32" x14ac:dyDescent="0.3">
      <c r="A536" t="s">
        <v>1826</v>
      </c>
      <c r="B536" s="1" t="s">
        <v>1205</v>
      </c>
      <c r="C536" s="5" t="s">
        <v>2602</v>
      </c>
      <c r="D536" s="2" t="s">
        <v>4119</v>
      </c>
      <c r="E536" s="1" t="s">
        <v>1581</v>
      </c>
      <c r="F536" s="3"/>
      <c r="G536" s="3"/>
      <c r="H536" s="3"/>
      <c r="I536" s="3"/>
      <c r="J536" s="3"/>
      <c r="K536" s="3"/>
      <c r="L536" s="3"/>
      <c r="M536" s="3"/>
      <c r="N536" s="3">
        <v>3369055333.1513314</v>
      </c>
      <c r="O536" s="3">
        <v>3528060843.4207206</v>
      </c>
      <c r="P536" s="3">
        <v>3672938902.2050786</v>
      </c>
      <c r="Q536" s="3">
        <v>3285422060.2759743</v>
      </c>
      <c r="R536" s="3">
        <v>4455241686.0101032</v>
      </c>
      <c r="S536" s="3">
        <v>3689839238.4560385</v>
      </c>
      <c r="T536" s="3">
        <v>4065111466.6930213</v>
      </c>
      <c r="U536" s="3">
        <v>4282729872.5066838</v>
      </c>
      <c r="V536" s="3">
        <v>4470442162.3672857</v>
      </c>
      <c r="W536" s="3">
        <v>4908008409.2957449</v>
      </c>
      <c r="X536" s="3">
        <v>5157249334.5520411</v>
      </c>
      <c r="Y536" s="3">
        <v>5787059069.4846478</v>
      </c>
      <c r="Z536" s="3">
        <v>5871662706.5807333</v>
      </c>
      <c r="AA536" s="3">
        <v>6230297961.355114</v>
      </c>
      <c r="AB536" s="3">
        <v>6480289217.3185205</v>
      </c>
      <c r="AC536" s="3">
        <v>6730850382.3604908</v>
      </c>
      <c r="AD536" s="3">
        <v>6940658839.1380787</v>
      </c>
      <c r="AE536" t="s">
        <v>5738</v>
      </c>
      <c r="AF536" t="s">
        <v>718</v>
      </c>
    </row>
    <row r="537" spans="1:32" x14ac:dyDescent="0.3">
      <c r="A537" t="s">
        <v>1826</v>
      </c>
      <c r="B537" s="1" t="s">
        <v>1205</v>
      </c>
      <c r="C537" s="5" t="s">
        <v>2603</v>
      </c>
      <c r="D537" s="2" t="s">
        <v>4120</v>
      </c>
      <c r="E537" s="1" t="s">
        <v>1491</v>
      </c>
      <c r="F537" s="3"/>
      <c r="G537" s="3"/>
      <c r="H537" s="3"/>
      <c r="I537" s="3"/>
      <c r="J537" s="3"/>
      <c r="K537" s="3"/>
      <c r="L537" s="3"/>
      <c r="M537" s="3"/>
      <c r="N537" s="3">
        <v>1862800767400</v>
      </c>
      <c r="O537" s="3">
        <v>1950717277300</v>
      </c>
      <c r="P537" s="3">
        <v>2030822509300</v>
      </c>
      <c r="Q537" s="3">
        <v>1816558687800</v>
      </c>
      <c r="R537" s="3">
        <v>2463369345700</v>
      </c>
      <c r="S537" s="3">
        <v>2040166956400</v>
      </c>
      <c r="T537" s="3">
        <v>2247660549000</v>
      </c>
      <c r="U537" s="3">
        <v>2367985000000</v>
      </c>
      <c r="V537" s="3">
        <v>2471773915000</v>
      </c>
      <c r="W537" s="3">
        <v>2713710796400</v>
      </c>
      <c r="X537" s="3">
        <v>2851519808400</v>
      </c>
      <c r="Y537" s="3">
        <v>3199750971600</v>
      </c>
      <c r="Z537" s="3">
        <v>3246529580000</v>
      </c>
      <c r="AA537" s="3">
        <v>3444824342700</v>
      </c>
      <c r="AB537" s="3">
        <v>3583048223700</v>
      </c>
      <c r="AC537" s="3">
        <v>3721587215900</v>
      </c>
      <c r="AD537" s="3">
        <v>3837593430000</v>
      </c>
      <c r="AE537" t="s">
        <v>5739</v>
      </c>
      <c r="AF537" t="s">
        <v>718</v>
      </c>
    </row>
    <row r="538" spans="1:32" x14ac:dyDescent="0.3">
      <c r="A538" t="s">
        <v>1826</v>
      </c>
      <c r="B538" s="1" t="s">
        <v>1205</v>
      </c>
      <c r="C538" s="5" t="s">
        <v>2604</v>
      </c>
      <c r="D538" s="2" t="s">
        <v>4121</v>
      </c>
      <c r="E538" s="1" t="s">
        <v>1345</v>
      </c>
      <c r="F538" s="3"/>
      <c r="G538" s="3"/>
      <c r="H538" s="3"/>
      <c r="I538" s="3"/>
      <c r="J538" s="3"/>
      <c r="K538" s="3"/>
      <c r="L538" s="3"/>
      <c r="M538" s="3"/>
      <c r="N538" s="3"/>
      <c r="O538" s="3"/>
      <c r="P538" s="3"/>
      <c r="Q538" s="3"/>
      <c r="R538" s="3"/>
      <c r="S538" s="3"/>
      <c r="T538" s="3"/>
      <c r="U538" s="3">
        <v>2532000000000</v>
      </c>
      <c r="V538" s="3">
        <v>2830000000000</v>
      </c>
      <c r="W538" s="3">
        <v>3131000000000</v>
      </c>
      <c r="X538" s="3">
        <v>3266000000000</v>
      </c>
      <c r="Y538" s="3">
        <v>3830712000000</v>
      </c>
      <c r="Z538" s="3">
        <v>4107246000000</v>
      </c>
      <c r="AA538" s="3">
        <v>4021612699800</v>
      </c>
      <c r="AB538" s="3">
        <v>4188988236000</v>
      </c>
      <c r="AC538" s="3">
        <v>4352359708100.0005</v>
      </c>
      <c r="AD538" s="3">
        <v>4703453172600</v>
      </c>
      <c r="AE538" t="s">
        <v>5740</v>
      </c>
      <c r="AF538" t="s">
        <v>718</v>
      </c>
    </row>
    <row r="539" spans="1:32" ht="28.8" x14ac:dyDescent="0.3">
      <c r="A539" t="s">
        <v>1826</v>
      </c>
      <c r="B539" s="1" t="s">
        <v>1205</v>
      </c>
      <c r="C539" s="5" t="s">
        <v>2605</v>
      </c>
      <c r="D539" s="2" t="s">
        <v>4122</v>
      </c>
      <c r="E539" s="1" t="s">
        <v>1426</v>
      </c>
      <c r="F539" s="3"/>
      <c r="G539" s="3"/>
      <c r="H539" s="3"/>
      <c r="I539" s="3"/>
      <c r="J539" s="3"/>
      <c r="K539" s="3"/>
      <c r="L539" s="3"/>
      <c r="M539" s="3"/>
      <c r="N539" s="3"/>
      <c r="O539" s="3"/>
      <c r="P539" s="3"/>
      <c r="Q539" s="3"/>
      <c r="R539" s="3"/>
      <c r="S539" s="3"/>
      <c r="T539" s="3"/>
      <c r="U539" s="3">
        <v>4282729872.5066838</v>
      </c>
      <c r="V539" s="3">
        <v>4775520056.4544096</v>
      </c>
      <c r="W539" s="3">
        <v>5392170159.0483532</v>
      </c>
      <c r="X539" s="3">
        <v>5879954679.6281843</v>
      </c>
      <c r="Y539" s="3">
        <v>6538044028.8805428</v>
      </c>
      <c r="Z539" s="3">
        <v>7135764185.2324047</v>
      </c>
      <c r="AA539" s="3">
        <v>7252281759.814188</v>
      </c>
      <c r="AB539" s="3">
        <v>6715708356.728796</v>
      </c>
      <c r="AC539" s="3">
        <v>7175365581.4679308</v>
      </c>
      <c r="AD539" s="3">
        <v>7757053928.0940084</v>
      </c>
      <c r="AE539" t="s">
        <v>5741</v>
      </c>
      <c r="AF539" t="s">
        <v>718</v>
      </c>
    </row>
    <row r="540" spans="1:32" x14ac:dyDescent="0.3">
      <c r="A540" t="s">
        <v>1826</v>
      </c>
      <c r="B540" s="1" t="s">
        <v>1205</v>
      </c>
      <c r="C540" s="5" t="s">
        <v>2606</v>
      </c>
      <c r="D540" s="2" t="s">
        <v>4123</v>
      </c>
      <c r="E540" s="1" t="s">
        <v>281</v>
      </c>
      <c r="F540" s="3"/>
      <c r="G540" s="3"/>
      <c r="H540" s="3">
        <v>41.3</v>
      </c>
      <c r="I540" s="3"/>
      <c r="J540" s="3"/>
      <c r="K540" s="3"/>
      <c r="L540" s="3"/>
      <c r="M540" s="3"/>
      <c r="N540" s="3">
        <v>43.2</v>
      </c>
      <c r="O540" s="3"/>
      <c r="P540" s="3"/>
      <c r="Q540" s="3"/>
      <c r="R540" s="3"/>
      <c r="S540" s="3"/>
      <c r="T540" s="3"/>
      <c r="U540" s="3">
        <v>41.5</v>
      </c>
      <c r="V540" s="3"/>
      <c r="W540" s="3"/>
      <c r="X540" s="3">
        <v>37.200000000000003</v>
      </c>
      <c r="Y540" s="3"/>
      <c r="Z540" s="3"/>
      <c r="AA540" s="3">
        <v>35.299999999999997</v>
      </c>
      <c r="AB540" s="3"/>
      <c r="AC540" s="3"/>
      <c r="AD540" s="3"/>
      <c r="AE540" t="s">
        <v>5742</v>
      </c>
      <c r="AF540" t="s">
        <v>1538</v>
      </c>
    </row>
    <row r="541" spans="1:32" x14ac:dyDescent="0.3">
      <c r="A541" t="s">
        <v>1826</v>
      </c>
      <c r="B541" s="1" t="s">
        <v>1205</v>
      </c>
      <c r="C541" s="5" t="s">
        <v>2607</v>
      </c>
      <c r="D541" s="2" t="s">
        <v>4124</v>
      </c>
      <c r="E541" s="1" t="s">
        <v>739</v>
      </c>
      <c r="F541" s="3"/>
      <c r="G541" s="3"/>
      <c r="H541" s="3"/>
      <c r="I541" s="3"/>
      <c r="J541" s="3"/>
      <c r="K541" s="3"/>
      <c r="L541" s="3"/>
      <c r="M541" s="3"/>
      <c r="N541" s="3">
        <v>19622355487.972485</v>
      </c>
      <c r="O541" s="3">
        <v>21126012105.954597</v>
      </c>
      <c r="P541" s="3">
        <v>23805636710.245419</v>
      </c>
      <c r="Q541" s="3">
        <v>22009621292.401188</v>
      </c>
      <c r="R541" s="3">
        <v>23640469871.582138</v>
      </c>
      <c r="S541" s="3">
        <v>26704645412.295517</v>
      </c>
      <c r="T541" s="3">
        <v>40935194187.200348</v>
      </c>
      <c r="U541" s="3">
        <v>44807751702.504372</v>
      </c>
      <c r="V541" s="3">
        <v>48344686553.12513</v>
      </c>
      <c r="W541" s="3">
        <v>50181267691.207375</v>
      </c>
      <c r="X541" s="3">
        <v>52282816515.084</v>
      </c>
      <c r="Y541" s="3">
        <v>55736881994.960617</v>
      </c>
      <c r="Z541" s="3">
        <v>57159778528.935265</v>
      </c>
      <c r="AA541" s="3">
        <v>60560535191.795769</v>
      </c>
      <c r="AB541" s="3">
        <v>63327641000.303986</v>
      </c>
      <c r="AC541" s="3">
        <v>68075457238.284012</v>
      </c>
      <c r="AD541" s="3">
        <v>75628607654.132095</v>
      </c>
      <c r="AE541" t="s">
        <v>5743</v>
      </c>
      <c r="AF541" t="s">
        <v>718</v>
      </c>
    </row>
    <row r="542" spans="1:32" x14ac:dyDescent="0.3">
      <c r="A542" t="s">
        <v>1826</v>
      </c>
      <c r="B542" s="1" t="s">
        <v>1205</v>
      </c>
      <c r="C542" s="5" t="s">
        <v>2608</v>
      </c>
      <c r="D542" s="2" t="s">
        <v>4125</v>
      </c>
      <c r="E542" s="1" t="s">
        <v>107</v>
      </c>
      <c r="F542" s="3"/>
      <c r="G542" s="3"/>
      <c r="H542" s="3"/>
      <c r="I542" s="3"/>
      <c r="J542" s="3"/>
      <c r="K542" s="3"/>
      <c r="L542" s="3"/>
      <c r="M542" s="3"/>
      <c r="N542" s="3">
        <v>11600965770789.193</v>
      </c>
      <c r="O542" s="3">
        <v>12489945127366.609</v>
      </c>
      <c r="P542" s="3">
        <v>14074170493785.879</v>
      </c>
      <c r="Q542" s="3">
        <v>13012345199723.109</v>
      </c>
      <c r="R542" s="3">
        <v>13976521929474.797</v>
      </c>
      <c r="S542" s="3">
        <v>15788098301398.857</v>
      </c>
      <c r="T542" s="3">
        <v>24201364962397.211</v>
      </c>
      <c r="U542" s="3">
        <v>26490866200308.813</v>
      </c>
      <c r="V542" s="3">
        <v>28581943398492.961</v>
      </c>
      <c r="W542" s="3">
        <v>29667751620203.59</v>
      </c>
      <c r="X542" s="3">
        <v>30910211832810.52</v>
      </c>
      <c r="Y542" s="3">
        <v>32952295691023.891</v>
      </c>
      <c r="Z542" s="3">
        <v>33793528742587.574</v>
      </c>
      <c r="AA542" s="3">
        <v>35804095805487.344</v>
      </c>
      <c r="AB542" s="3">
        <v>37440041081697.031</v>
      </c>
      <c r="AC542" s="3">
        <v>40247005500243.227</v>
      </c>
      <c r="AD542" s="3">
        <v>44712516253505.484</v>
      </c>
      <c r="AE542" t="s">
        <v>5744</v>
      </c>
      <c r="AF542" t="s">
        <v>718</v>
      </c>
    </row>
    <row r="543" spans="1:32" x14ac:dyDescent="0.3">
      <c r="A543" t="s">
        <v>1826</v>
      </c>
      <c r="B543" s="1" t="s">
        <v>1205</v>
      </c>
      <c r="C543" s="5" t="s">
        <v>2609</v>
      </c>
      <c r="D543" s="2" t="s">
        <v>4126</v>
      </c>
      <c r="E543" s="1" t="s">
        <v>2027</v>
      </c>
      <c r="F543" s="3">
        <v>6916900000000</v>
      </c>
      <c r="G543" s="3">
        <v>7265700000000</v>
      </c>
      <c r="H543" s="3">
        <v>7532123491800</v>
      </c>
      <c r="I543" s="3">
        <v>7565929049700</v>
      </c>
      <c r="J543" s="3">
        <v>7799126050200</v>
      </c>
      <c r="K543" s="3">
        <v>8667806270600</v>
      </c>
      <c r="L543" s="3">
        <v>8936858566300</v>
      </c>
      <c r="M543" s="3">
        <v>9362656960000</v>
      </c>
      <c r="N543" s="3">
        <v>10445985336000</v>
      </c>
      <c r="O543" s="3">
        <v>11022146571000</v>
      </c>
      <c r="P543" s="3">
        <v>11872880917000</v>
      </c>
      <c r="Q543" s="3">
        <v>11510377231000</v>
      </c>
      <c r="R543" s="3">
        <v>13237020447000</v>
      </c>
      <c r="S543" s="3">
        <v>14748723307800</v>
      </c>
      <c r="T543" s="3">
        <v>23667592041000</v>
      </c>
      <c r="U543" s="3">
        <v>26490866967600</v>
      </c>
      <c r="V543" s="3">
        <v>28048930434200</v>
      </c>
      <c r="W543" s="3">
        <v>29597936000000</v>
      </c>
      <c r="X543" s="3">
        <v>31601242838300</v>
      </c>
      <c r="Y543" s="3">
        <v>34393245000000</v>
      </c>
      <c r="Z543" s="3">
        <v>35215183690900</v>
      </c>
      <c r="AA543" s="3">
        <v>39126159000000</v>
      </c>
      <c r="AB543" s="3">
        <v>42804800000000</v>
      </c>
      <c r="AC543" s="3">
        <v>46442804533000</v>
      </c>
      <c r="AD543" s="3">
        <v>50366060345000</v>
      </c>
      <c r="AE543" t="s">
        <v>5745</v>
      </c>
      <c r="AF543" t="s">
        <v>718</v>
      </c>
    </row>
    <row r="544" spans="1:32" x14ac:dyDescent="0.3">
      <c r="A544" t="s">
        <v>1826</v>
      </c>
      <c r="B544" s="1" t="s">
        <v>1205</v>
      </c>
      <c r="C544" s="5" t="s">
        <v>2610</v>
      </c>
      <c r="D544" s="2" t="s">
        <v>4127</v>
      </c>
      <c r="E544" s="1" t="s">
        <v>597</v>
      </c>
      <c r="F544" s="3">
        <v>9739259799.9501209</v>
      </c>
      <c r="G544" s="3">
        <v>9920429937.7824497</v>
      </c>
      <c r="H544" s="3">
        <v>10857690467.245481</v>
      </c>
      <c r="I544" s="3">
        <v>13047012644.784529</v>
      </c>
      <c r="J544" s="3">
        <v>14789614207.457731</v>
      </c>
      <c r="K544" s="3">
        <v>16439390778.520472</v>
      </c>
      <c r="L544" s="3">
        <v>17106470545.544163</v>
      </c>
      <c r="M544" s="3">
        <v>19561214782.615879</v>
      </c>
      <c r="N544" s="3">
        <v>23421489631.656784</v>
      </c>
      <c r="O544" s="3">
        <v>23436744023.953743</v>
      </c>
      <c r="P544" s="3">
        <v>23995591357.524677</v>
      </c>
      <c r="Q544" s="3">
        <v>24425274888.759041</v>
      </c>
      <c r="R544" s="3">
        <v>25926659727.412884</v>
      </c>
      <c r="S544" s="3">
        <v>29861782822.090183</v>
      </c>
      <c r="T544" s="3">
        <v>47933652024.97348</v>
      </c>
      <c r="U544" s="3">
        <v>44807751702.504372</v>
      </c>
      <c r="V544" s="3">
        <v>47331529982.550034</v>
      </c>
      <c r="W544" s="3">
        <v>50973205770.879265</v>
      </c>
      <c r="X544" s="3">
        <v>56893409586.383568</v>
      </c>
      <c r="Y544" s="3">
        <v>58700458323.694283</v>
      </c>
      <c r="Z544" s="3">
        <v>61181445318.323891</v>
      </c>
      <c r="AA544" s="3">
        <v>70557249150.670624</v>
      </c>
      <c r="AB544" s="3">
        <v>68623862582.770157</v>
      </c>
      <c r="AC544" s="3">
        <v>76566305062.686768</v>
      </c>
      <c r="AD544" s="3">
        <v>83064980537.65744</v>
      </c>
      <c r="AE544" t="s">
        <v>5746</v>
      </c>
      <c r="AF544" t="s">
        <v>718</v>
      </c>
    </row>
    <row r="545" spans="1:32" x14ac:dyDescent="0.3">
      <c r="A545" t="s">
        <v>1826</v>
      </c>
      <c r="B545" s="1" t="s">
        <v>1205</v>
      </c>
      <c r="C545" s="5" t="s">
        <v>2611</v>
      </c>
      <c r="D545" s="2" t="s">
        <v>4128</v>
      </c>
      <c r="E545" s="1" t="s">
        <v>247</v>
      </c>
      <c r="F545" s="3"/>
      <c r="G545" s="3"/>
      <c r="H545" s="3"/>
      <c r="I545" s="3"/>
      <c r="J545" s="3"/>
      <c r="K545" s="3"/>
      <c r="L545" s="3"/>
      <c r="M545" s="3"/>
      <c r="N545" s="3"/>
      <c r="O545" s="3">
        <v>7.662977153297291</v>
      </c>
      <c r="P545" s="3">
        <v>12.684005816391348</v>
      </c>
      <c r="Q545" s="3">
        <v>-7.5444964556283622</v>
      </c>
      <c r="R545" s="3">
        <v>7.4097075888534221</v>
      </c>
      <c r="S545" s="3">
        <v>12.961567842595116</v>
      </c>
      <c r="T545" s="3">
        <v>53.288664032785505</v>
      </c>
      <c r="U545" s="3">
        <v>9.4602153286349875</v>
      </c>
      <c r="V545" s="3">
        <v>7.8935780444950865</v>
      </c>
      <c r="W545" s="3">
        <v>3.79893069751121</v>
      </c>
      <c r="X545" s="3">
        <v>4.1879149741863841</v>
      </c>
      <c r="Y545" s="3">
        <v>6.6065023082298779</v>
      </c>
      <c r="Z545" s="3">
        <v>2.5528814728159546</v>
      </c>
      <c r="AA545" s="3">
        <v>5.9495623502791943</v>
      </c>
      <c r="AB545" s="3">
        <v>4.5691567945110876</v>
      </c>
      <c r="AC545" s="3">
        <v>7.4972257974321792</v>
      </c>
      <c r="AD545" s="3">
        <v>11.095262113936073</v>
      </c>
      <c r="AE545" t="s">
        <v>5747</v>
      </c>
      <c r="AF545" t="s">
        <v>718</v>
      </c>
    </row>
    <row r="546" spans="1:32" x14ac:dyDescent="0.3">
      <c r="A546" t="s">
        <v>1826</v>
      </c>
      <c r="B546" s="1" t="s">
        <v>1205</v>
      </c>
      <c r="C546" s="5" t="s">
        <v>2612</v>
      </c>
      <c r="D546" s="2" t="s">
        <v>4129</v>
      </c>
      <c r="E546" s="1" t="s">
        <v>1574</v>
      </c>
      <c r="F546" s="3"/>
      <c r="G546" s="3"/>
      <c r="H546" s="3"/>
      <c r="I546" s="3"/>
      <c r="J546" s="3"/>
      <c r="K546" s="3"/>
      <c r="L546" s="3"/>
      <c r="M546" s="3"/>
      <c r="N546" s="3">
        <v>912.05517782603977</v>
      </c>
      <c r="O546" s="3">
        <v>960.36320246143941</v>
      </c>
      <c r="P546" s="3">
        <v>1058.5898213227958</v>
      </c>
      <c r="Q546" s="3">
        <v>957.68955236277031</v>
      </c>
      <c r="R546" s="3">
        <v>1007.3887286513531</v>
      </c>
      <c r="S546" s="3">
        <v>1115.4927484613168</v>
      </c>
      <c r="T546" s="3">
        <v>1668.9580849168999</v>
      </c>
      <c r="U546" s="3">
        <v>1774.821544543141</v>
      </c>
      <c r="V546" s="3">
        <v>1860.1690401579078</v>
      </c>
      <c r="W546" s="3">
        <v>1877.1020614686158</v>
      </c>
      <c r="X546" s="3">
        <v>1903.6734335704921</v>
      </c>
      <c r="Y546" s="3">
        <v>1976.9752847225573</v>
      </c>
      <c r="Z546" s="3">
        <v>1976.7902801348603</v>
      </c>
      <c r="AA546" s="3">
        <v>2043.2211404243199</v>
      </c>
      <c r="AB546" s="3">
        <v>2083.488627515273</v>
      </c>
      <c r="AC546" s="3">
        <v>2184.3102422392294</v>
      </c>
      <c r="AD546" s="3">
        <v>2368.2615066695548</v>
      </c>
      <c r="AE546" t="s">
        <v>5748</v>
      </c>
      <c r="AF546" t="s">
        <v>1575</v>
      </c>
    </row>
    <row r="547" spans="1:32" x14ac:dyDescent="0.3">
      <c r="A547" t="s">
        <v>1826</v>
      </c>
      <c r="B547" s="1" t="s">
        <v>1205</v>
      </c>
      <c r="C547" s="5" t="s">
        <v>2613</v>
      </c>
      <c r="D547" s="2" t="s">
        <v>4130</v>
      </c>
      <c r="E547" s="1" t="s">
        <v>1482</v>
      </c>
      <c r="F547" s="3"/>
      <c r="G547" s="3"/>
      <c r="H547" s="3"/>
      <c r="I547" s="3"/>
      <c r="J547" s="3"/>
      <c r="K547" s="3"/>
      <c r="L547" s="3"/>
      <c r="M547" s="3"/>
      <c r="N547" s="3">
        <v>539217.67473412596</v>
      </c>
      <c r="O547" s="3">
        <v>567777.94317861623</v>
      </c>
      <c r="P547" s="3">
        <v>625850.66762239789</v>
      </c>
      <c r="Q547" s="3">
        <v>566197.25000970799</v>
      </c>
      <c r="R547" s="3">
        <v>595579.98356143001</v>
      </c>
      <c r="S547" s="3">
        <v>659492.34282272321</v>
      </c>
      <c r="T547" s="3">
        <v>986707.51469518919</v>
      </c>
      <c r="U547" s="3">
        <v>1049295.2286041602</v>
      </c>
      <c r="V547" s="3">
        <v>1099753.6649451174</v>
      </c>
      <c r="W547" s="3">
        <v>1109764.6649365292</v>
      </c>
      <c r="X547" s="3">
        <v>1125473.9705000592</v>
      </c>
      <c r="Y547" s="3">
        <v>1168810.8811309885</v>
      </c>
      <c r="Z547" s="3">
        <v>1168701.5042577265</v>
      </c>
      <c r="AA547" s="3">
        <v>1207976.2048314919</v>
      </c>
      <c r="AB547" s="3">
        <v>1231782.8135591843</v>
      </c>
      <c r="AC547" s="3">
        <v>1291389.7298687596</v>
      </c>
      <c r="AD547" s="3">
        <v>1400143.8661118643</v>
      </c>
      <c r="AE547" t="s">
        <v>5749</v>
      </c>
      <c r="AF547" t="s">
        <v>1575</v>
      </c>
    </row>
    <row r="548" spans="1:32" x14ac:dyDescent="0.3">
      <c r="A548" t="s">
        <v>1826</v>
      </c>
      <c r="B548" s="1" t="s">
        <v>1205</v>
      </c>
      <c r="C548" s="5" t="s">
        <v>2614</v>
      </c>
      <c r="D548" s="2" t="s">
        <v>4131</v>
      </c>
      <c r="E548" s="1" t="s">
        <v>1341</v>
      </c>
      <c r="F548" s="3">
        <v>390807.30192501226</v>
      </c>
      <c r="G548" s="3">
        <v>399677.36244735867</v>
      </c>
      <c r="H548" s="3">
        <v>403763.92140112573</v>
      </c>
      <c r="I548" s="3">
        <v>395592.92226594151</v>
      </c>
      <c r="J548" s="3">
        <v>398016.12912477675</v>
      </c>
      <c r="K548" s="3">
        <v>431911.9222114624</v>
      </c>
      <c r="L548" s="3">
        <v>434951.315844675</v>
      </c>
      <c r="M548" s="3">
        <v>445192.98822218605</v>
      </c>
      <c r="N548" s="3">
        <v>485533.70766488498</v>
      </c>
      <c r="O548" s="3">
        <v>501053.57915332069</v>
      </c>
      <c r="P548" s="3">
        <v>527963.65169702237</v>
      </c>
      <c r="Q548" s="3">
        <v>500843.14815942914</v>
      </c>
      <c r="R548" s="3">
        <v>564067.68865727552</v>
      </c>
      <c r="S548" s="3">
        <v>616076.10379796801</v>
      </c>
      <c r="T548" s="3">
        <v>964945.19866459526</v>
      </c>
      <c r="U548" s="3">
        <v>1049295.258996333</v>
      </c>
      <c r="V548" s="3">
        <v>1079244.808959651</v>
      </c>
      <c r="W548" s="3">
        <v>1107153.1118483669</v>
      </c>
      <c r="X548" s="3">
        <v>1150635.1506852219</v>
      </c>
      <c r="Y548" s="3">
        <v>1219921.0449654381</v>
      </c>
      <c r="Z548" s="3">
        <v>1217867.434494965</v>
      </c>
      <c r="AA548" s="3">
        <v>1320057.6078005554</v>
      </c>
      <c r="AB548" s="3">
        <v>1408284.1646136427</v>
      </c>
      <c r="AC548" s="3">
        <v>1490191.8802345684</v>
      </c>
      <c r="AD548" s="3">
        <v>1577180.985575666</v>
      </c>
      <c r="AE548" t="s">
        <v>5750</v>
      </c>
      <c r="AF548" t="s">
        <v>1575</v>
      </c>
    </row>
    <row r="549" spans="1:32" x14ac:dyDescent="0.3">
      <c r="A549" t="s">
        <v>1826</v>
      </c>
      <c r="B549" s="1" t="s">
        <v>1205</v>
      </c>
      <c r="C549" s="5" t="s">
        <v>2615</v>
      </c>
      <c r="D549" s="2" t="s">
        <v>4132</v>
      </c>
      <c r="E549" s="1" t="s">
        <v>1217</v>
      </c>
      <c r="F549" s="3"/>
      <c r="G549" s="3"/>
      <c r="H549" s="3"/>
      <c r="I549" s="3"/>
      <c r="J549" s="3"/>
      <c r="K549" s="3"/>
      <c r="L549" s="3"/>
      <c r="M549" s="3"/>
      <c r="N549" s="3"/>
      <c r="O549" s="3">
        <v>5.2966120701760389</v>
      </c>
      <c r="P549" s="3">
        <v>10.228069818751777</v>
      </c>
      <c r="Q549" s="3">
        <v>-9.531573696216185</v>
      </c>
      <c r="R549" s="3">
        <v>5.1894871533230145</v>
      </c>
      <c r="S549" s="3">
        <v>10.731112701120708</v>
      </c>
      <c r="T549" s="3">
        <v>49.61622002644296</v>
      </c>
      <c r="U549" s="3">
        <v>6.3430867786899796</v>
      </c>
      <c r="V549" s="3">
        <v>4.8087930799113821</v>
      </c>
      <c r="W549" s="3">
        <v>0.91029476059181036</v>
      </c>
      <c r="X549" s="3">
        <v>1.4155528698896092</v>
      </c>
      <c r="Y549" s="3">
        <v>3.8505475707869294</v>
      </c>
      <c r="Z549" s="3">
        <v>-9.3579615853798259E-3</v>
      </c>
      <c r="AA549" s="3">
        <v>3.3605416293795116</v>
      </c>
      <c r="AB549" s="3">
        <v>1.9707845760929814</v>
      </c>
      <c r="AC549" s="3">
        <v>4.8390767961231376</v>
      </c>
      <c r="AD549" s="3">
        <v>8.4214806520226233</v>
      </c>
      <c r="AE549" t="s">
        <v>5751</v>
      </c>
      <c r="AF549" t="s">
        <v>1575</v>
      </c>
    </row>
    <row r="550" spans="1:32" x14ac:dyDescent="0.3">
      <c r="A550" t="s">
        <v>1826</v>
      </c>
      <c r="B550" s="1" t="s">
        <v>1205</v>
      </c>
      <c r="C550" s="5" t="s">
        <v>2616</v>
      </c>
      <c r="D550" s="2" t="s">
        <v>4133</v>
      </c>
      <c r="E550" s="1" t="s">
        <v>1415</v>
      </c>
      <c r="F550" s="3">
        <v>610</v>
      </c>
      <c r="G550" s="3">
        <v>550</v>
      </c>
      <c r="H550" s="3">
        <v>530</v>
      </c>
      <c r="I550" s="3">
        <v>580</v>
      </c>
      <c r="J550" s="3">
        <v>710</v>
      </c>
      <c r="K550" s="3">
        <v>850</v>
      </c>
      <c r="L550" s="3">
        <v>850</v>
      </c>
      <c r="M550" s="3">
        <v>880</v>
      </c>
      <c r="N550" s="3">
        <v>1000</v>
      </c>
      <c r="O550" s="3">
        <v>1080</v>
      </c>
      <c r="P550" s="3">
        <v>1120</v>
      </c>
      <c r="Q550" s="3">
        <v>1020</v>
      </c>
      <c r="R550" s="3">
        <v>1140</v>
      </c>
      <c r="S550" s="3">
        <v>1240</v>
      </c>
      <c r="T550" s="3">
        <v>1860</v>
      </c>
      <c r="U550" s="3">
        <v>1880</v>
      </c>
      <c r="V550" s="3">
        <v>1880</v>
      </c>
      <c r="W550" s="3">
        <v>1870</v>
      </c>
      <c r="X550" s="3">
        <v>2010</v>
      </c>
      <c r="Y550" s="3">
        <v>2120</v>
      </c>
      <c r="Z550" s="3">
        <v>2120</v>
      </c>
      <c r="AA550" s="3">
        <v>2300</v>
      </c>
      <c r="AB550" s="3">
        <v>2440</v>
      </c>
      <c r="AC550" s="3">
        <v>2500</v>
      </c>
      <c r="AD550" s="3">
        <v>2510</v>
      </c>
      <c r="AE550" t="s">
        <v>5752</v>
      </c>
      <c r="AF550" t="s">
        <v>1922</v>
      </c>
    </row>
    <row r="551" spans="1:32" x14ac:dyDescent="0.3">
      <c r="A551" t="s">
        <v>1826</v>
      </c>
      <c r="B551" s="1" t="s">
        <v>1205</v>
      </c>
      <c r="C551" s="5" t="s">
        <v>2617</v>
      </c>
      <c r="D551" s="2" t="s">
        <v>4134</v>
      </c>
      <c r="E551" s="1" t="s">
        <v>129</v>
      </c>
      <c r="F551" s="3"/>
      <c r="G551" s="3"/>
      <c r="H551" s="3"/>
      <c r="I551" s="3"/>
      <c r="J551" s="3"/>
      <c r="K551" s="3"/>
      <c r="L551" s="3"/>
      <c r="M551" s="3"/>
      <c r="N551" s="3">
        <v>2615.5258488578143</v>
      </c>
      <c r="O551" s="3">
        <v>2754.0601066669919</v>
      </c>
      <c r="P551" s="3">
        <v>3035.7472972272813</v>
      </c>
      <c r="Q551" s="3">
        <v>2746.392806361172</v>
      </c>
      <c r="R551" s="3">
        <v>2888.9165082270724</v>
      </c>
      <c r="S551" s="3">
        <v>3198.9293945661998</v>
      </c>
      <c r="T551" s="3">
        <v>4786.1172414647262</v>
      </c>
      <c r="U551" s="3">
        <v>5089.7048114206773</v>
      </c>
      <c r="V551" s="3">
        <v>5334.4581841801919</v>
      </c>
      <c r="W551" s="3">
        <v>5383.0174775367441</v>
      </c>
      <c r="X551" s="3">
        <v>5459.2169359266754</v>
      </c>
      <c r="Y551" s="3">
        <v>5669.42668103699</v>
      </c>
      <c r="Z551" s="3">
        <v>5668.8961382660673</v>
      </c>
      <c r="AA551" s="3">
        <v>5859.401752918785</v>
      </c>
      <c r="AB551" s="3">
        <v>5974.8779389166293</v>
      </c>
      <c r="AC551" s="3">
        <v>6264.0068708554254</v>
      </c>
      <c r="AD551" s="3">
        <v>6791.5289975258829</v>
      </c>
      <c r="AE551" t="s">
        <v>5753</v>
      </c>
      <c r="AF551" t="s">
        <v>828</v>
      </c>
    </row>
    <row r="552" spans="1:32" x14ac:dyDescent="0.3">
      <c r="A552" t="s">
        <v>1826</v>
      </c>
      <c r="B552" s="1" t="s">
        <v>1205</v>
      </c>
      <c r="C552" s="5" t="s">
        <v>2618</v>
      </c>
      <c r="D552" s="2" t="s">
        <v>4135</v>
      </c>
      <c r="E552" s="1" t="s">
        <v>2042</v>
      </c>
      <c r="F552" s="3">
        <v>1790</v>
      </c>
      <c r="G552" s="3">
        <v>1750</v>
      </c>
      <c r="H552" s="3">
        <v>1710</v>
      </c>
      <c r="I552" s="3">
        <v>1660</v>
      </c>
      <c r="J552" s="3">
        <v>1760</v>
      </c>
      <c r="K552" s="3">
        <v>1940</v>
      </c>
      <c r="L552" s="3">
        <v>1990</v>
      </c>
      <c r="M552" s="3">
        <v>2030</v>
      </c>
      <c r="N552" s="3">
        <v>2140</v>
      </c>
      <c r="O552" s="3">
        <v>2200</v>
      </c>
      <c r="P552" s="3">
        <v>2310</v>
      </c>
      <c r="Q552" s="3">
        <v>2110</v>
      </c>
      <c r="R552" s="3">
        <v>2350</v>
      </c>
      <c r="S552" s="3">
        <v>2530</v>
      </c>
      <c r="T552" s="3">
        <v>4000</v>
      </c>
      <c r="U552" s="3">
        <v>4310</v>
      </c>
      <c r="V552" s="3">
        <v>4430</v>
      </c>
      <c r="W552" s="3">
        <v>4550</v>
      </c>
      <c r="X552" s="3">
        <v>4810</v>
      </c>
      <c r="Y552" s="3">
        <v>5360</v>
      </c>
      <c r="Z552" s="3">
        <v>5380</v>
      </c>
      <c r="AA552" s="3">
        <v>5860</v>
      </c>
      <c r="AB552" s="3">
        <v>6500</v>
      </c>
      <c r="AC552" s="3">
        <v>6950</v>
      </c>
      <c r="AD552" s="3">
        <v>7350</v>
      </c>
      <c r="AE552" t="s">
        <v>5754</v>
      </c>
      <c r="AF552" t="s">
        <v>1545</v>
      </c>
    </row>
    <row r="553" spans="1:32" x14ac:dyDescent="0.3">
      <c r="A553" t="s">
        <v>1826</v>
      </c>
      <c r="B553" s="1" t="s">
        <v>1205</v>
      </c>
      <c r="C553" s="5" t="s">
        <v>2619</v>
      </c>
      <c r="D553" s="2" t="s">
        <v>4136</v>
      </c>
      <c r="E553" s="1" t="s">
        <v>701</v>
      </c>
      <c r="F553" s="3">
        <v>10715842936.189922</v>
      </c>
      <c r="G553" s="3">
        <v>10046144124.092455</v>
      </c>
      <c r="H553" s="3">
        <v>9906939123.0257454</v>
      </c>
      <c r="I553" s="3">
        <v>11085269948.323545</v>
      </c>
      <c r="J553" s="3">
        <v>13896865770.175821</v>
      </c>
      <c r="K553" s="3">
        <v>17008726792.423199</v>
      </c>
      <c r="L553" s="3">
        <v>17550779929.795395</v>
      </c>
      <c r="M553" s="3">
        <v>18516796834.036442</v>
      </c>
      <c r="N553" s="3">
        <v>21452404130.194271</v>
      </c>
      <c r="O553" s="3">
        <v>23771712531.74762</v>
      </c>
      <c r="P553" s="3">
        <v>25191501226.302681</v>
      </c>
      <c r="Q553" s="3">
        <v>23341807787.398693</v>
      </c>
      <c r="R553" s="3">
        <v>26806058979.998154</v>
      </c>
      <c r="S553" s="3">
        <v>29766420355.937408</v>
      </c>
      <c r="T553" s="3">
        <v>45707802572.559845</v>
      </c>
      <c r="U553" s="3">
        <v>47540059401.86219</v>
      </c>
      <c r="V553" s="3">
        <v>48916733337.102997</v>
      </c>
      <c r="W553" s="3">
        <v>50063915043.600449</v>
      </c>
      <c r="X553" s="3">
        <v>55125815646.73497</v>
      </c>
      <c r="Y553" s="3">
        <v>59848852036.562485</v>
      </c>
      <c r="Z553" s="3">
        <v>61171952028.007607</v>
      </c>
      <c r="AA553" s="3">
        <v>68303480070.951958</v>
      </c>
      <c r="AB553" s="3">
        <v>74090329055.80188</v>
      </c>
      <c r="AC553" s="3">
        <v>77791676742.674683</v>
      </c>
      <c r="AD553" s="3">
        <v>80243465049.420715</v>
      </c>
      <c r="AE553" t="s">
        <v>5755</v>
      </c>
      <c r="AF553" t="s">
        <v>718</v>
      </c>
    </row>
    <row r="554" spans="1:32" x14ac:dyDescent="0.3">
      <c r="A554" t="s">
        <v>1826</v>
      </c>
      <c r="B554" s="1" t="s">
        <v>1205</v>
      </c>
      <c r="C554" s="5" t="s">
        <v>2620</v>
      </c>
      <c r="D554" s="2" t="s">
        <v>4137</v>
      </c>
      <c r="E554" s="1" t="s">
        <v>1163</v>
      </c>
      <c r="F554" s="3"/>
      <c r="G554" s="3"/>
      <c r="H554" s="3"/>
      <c r="I554" s="3"/>
      <c r="J554" s="3"/>
      <c r="K554" s="3"/>
      <c r="L554" s="3"/>
      <c r="M554" s="3"/>
      <c r="N554" s="3">
        <v>56271571328.174667</v>
      </c>
      <c r="O554" s="3">
        <v>60583648982.854088</v>
      </c>
      <c r="P554" s="3">
        <v>68268082543.621422</v>
      </c>
      <c r="Q554" s="3">
        <v>63117599475.79245</v>
      </c>
      <c r="R554" s="3">
        <v>67794429034.052353</v>
      </c>
      <c r="S554" s="3">
        <v>76581649946.801041</v>
      </c>
      <c r="T554" s="3">
        <v>117390988097.71573</v>
      </c>
      <c r="U554" s="3">
        <v>128496428348.17192</v>
      </c>
      <c r="V554" s="3">
        <v>138639394204.2236</v>
      </c>
      <c r="W554" s="3">
        <v>143906208709.49142</v>
      </c>
      <c r="X554" s="3">
        <v>149932878372.82013</v>
      </c>
      <c r="Y554" s="3">
        <v>159838197443.31598</v>
      </c>
      <c r="Z554" s="3">
        <v>163918677172.32941</v>
      </c>
      <c r="AA554" s="3">
        <v>173671121074.45001</v>
      </c>
      <c r="AB554" s="3">
        <v>181606426903.12683</v>
      </c>
      <c r="AC554" s="3">
        <v>195221870790.70288</v>
      </c>
      <c r="AD554" s="3">
        <v>216882249058.66098</v>
      </c>
      <c r="AE554" t="s">
        <v>5756</v>
      </c>
      <c r="AF554" t="s">
        <v>1545</v>
      </c>
    </row>
    <row r="555" spans="1:32" x14ac:dyDescent="0.3">
      <c r="A555" t="s">
        <v>1826</v>
      </c>
      <c r="B555" s="1" t="s">
        <v>1205</v>
      </c>
      <c r="C555" s="5" t="s">
        <v>2621</v>
      </c>
      <c r="D555" s="2" t="s">
        <v>4138</v>
      </c>
      <c r="E555" s="1" t="s">
        <v>1012</v>
      </c>
      <c r="F555" s="3">
        <v>31597376300.878441</v>
      </c>
      <c r="G555" s="3">
        <v>31754861872.415379</v>
      </c>
      <c r="H555" s="3">
        <v>31966966777.307785</v>
      </c>
      <c r="I555" s="3">
        <v>31705988245.581932</v>
      </c>
      <c r="J555" s="3">
        <v>34425012203.388771</v>
      </c>
      <c r="K555" s="3">
        <v>39004792037.684044</v>
      </c>
      <c r="L555" s="3">
        <v>40899651408.474014</v>
      </c>
      <c r="M555" s="3">
        <v>42690672690.570686</v>
      </c>
      <c r="N555" s="3">
        <v>46072548184.315025</v>
      </c>
      <c r="O555" s="3">
        <v>48329858659.925514</v>
      </c>
      <c r="P555" s="3">
        <v>51905829429.013245</v>
      </c>
      <c r="Q555" s="3">
        <v>48585323041.044189</v>
      </c>
      <c r="R555" s="3">
        <v>55152187769.38649</v>
      </c>
      <c r="S555" s="3">
        <v>60504327882.919281</v>
      </c>
      <c r="T555" s="3">
        <v>98069384225.327728</v>
      </c>
      <c r="U555" s="3">
        <v>108731649059.19908</v>
      </c>
      <c r="V555" s="3">
        <v>115130993832.17996</v>
      </c>
      <c r="W555" s="3">
        <v>121709257256.73123</v>
      </c>
      <c r="X555" s="3">
        <v>132046527045.75078</v>
      </c>
      <c r="Y555" s="3">
        <v>151190324519.85062</v>
      </c>
      <c r="Z555" s="3">
        <v>155606848537.07822</v>
      </c>
      <c r="AA555" s="3">
        <v>173671121074.45001</v>
      </c>
      <c r="AB555" s="3">
        <v>197617152625.52338</v>
      </c>
      <c r="AC555" s="3">
        <v>216601852957.29309</v>
      </c>
      <c r="AD555" s="3">
        <v>234597161892.00079</v>
      </c>
      <c r="AE555" t="s">
        <v>5757</v>
      </c>
      <c r="AF555" t="s">
        <v>1545</v>
      </c>
    </row>
    <row r="556" spans="1:32" x14ac:dyDescent="0.3">
      <c r="A556" t="s">
        <v>1826</v>
      </c>
      <c r="B556" s="1" t="s">
        <v>1205</v>
      </c>
      <c r="C556" s="5" t="s">
        <v>2622</v>
      </c>
      <c r="D556" s="2" t="s">
        <v>4139</v>
      </c>
      <c r="E556" s="1" t="s">
        <v>1134</v>
      </c>
      <c r="F556" s="3">
        <v>6906885063428.5801</v>
      </c>
      <c r="G556" s="3">
        <v>7255226995544.6504</v>
      </c>
      <c r="H556" s="3">
        <v>7521469671508.7695</v>
      </c>
      <c r="I556" s="3">
        <v>7555445974511.4297</v>
      </c>
      <c r="J556" s="3">
        <v>7788579872369.7305</v>
      </c>
      <c r="K556" s="3">
        <v>8667806270600</v>
      </c>
      <c r="L556" s="3">
        <v>8936858566300.0098</v>
      </c>
      <c r="M556" s="3">
        <v>9362656960000.0098</v>
      </c>
      <c r="N556" s="3">
        <v>10445985336000</v>
      </c>
      <c r="O556" s="3">
        <v>11022146571000</v>
      </c>
      <c r="P556" s="3">
        <v>11872880917000</v>
      </c>
      <c r="Q556" s="3">
        <v>11510377231000</v>
      </c>
      <c r="R556" s="3">
        <v>13237020447000</v>
      </c>
      <c r="S556" s="3">
        <v>14748723307800</v>
      </c>
      <c r="T556" s="3">
        <v>23667592041000</v>
      </c>
      <c r="U556" s="3">
        <v>26490866967600</v>
      </c>
      <c r="V556" s="3">
        <v>28048930434200</v>
      </c>
      <c r="W556" s="3">
        <v>29597936000000</v>
      </c>
      <c r="X556" s="3">
        <v>31601242838300</v>
      </c>
      <c r="Y556" s="3">
        <v>34393245000000</v>
      </c>
      <c r="Z556" s="3">
        <v>35215183690899.898</v>
      </c>
      <c r="AA556" s="3">
        <v>39126158999999.797</v>
      </c>
      <c r="AB556" s="3">
        <v>42804799999999.797</v>
      </c>
      <c r="AC556" s="3">
        <v>46442804533000.102</v>
      </c>
      <c r="AD556" s="3">
        <v>50366060344999.898</v>
      </c>
      <c r="AE556" t="s">
        <v>5758</v>
      </c>
      <c r="AF556" t="s">
        <v>1590</v>
      </c>
    </row>
    <row r="557" spans="1:32" x14ac:dyDescent="0.3">
      <c r="A557" t="s">
        <v>1826</v>
      </c>
      <c r="B557" s="1" t="s">
        <v>1205</v>
      </c>
      <c r="C557" s="5" t="s">
        <v>2623</v>
      </c>
      <c r="D557" s="2" t="s">
        <v>4140</v>
      </c>
      <c r="E557" s="1" t="s">
        <v>2061</v>
      </c>
      <c r="F557" s="3"/>
      <c r="G557" s="3">
        <v>20.394997120955139</v>
      </c>
      <c r="H557" s="3">
        <v>23.139039943457828</v>
      </c>
      <c r="I557" s="3">
        <v>32.429032004403552</v>
      </c>
      <c r="J557" s="3">
        <v>34.833612640651182</v>
      </c>
      <c r="K557" s="3">
        <v>31.702016038372182</v>
      </c>
      <c r="L557" s="3">
        <v>33.63092927567736</v>
      </c>
      <c r="M557" s="3">
        <v>31.847914963205231</v>
      </c>
      <c r="N557" s="3">
        <v>34.939399367126391</v>
      </c>
      <c r="O557" s="3">
        <v>21.274581427100049</v>
      </c>
      <c r="P557" s="3">
        <v>20.222626326420613</v>
      </c>
      <c r="Q557" s="3">
        <v>18.006583539946561</v>
      </c>
      <c r="R557" s="3">
        <v>18.51766600901648</v>
      </c>
      <c r="S557" s="3">
        <v>17.974652762877454</v>
      </c>
      <c r="T557" s="3">
        <v>21.368996011917883</v>
      </c>
      <c r="U557" s="3">
        <v>16.943491302368489</v>
      </c>
      <c r="V557" s="3">
        <v>16.974053430740966</v>
      </c>
      <c r="W557" s="3">
        <v>16.276071014933777</v>
      </c>
      <c r="X557" s="3">
        <v>13.073409987536836</v>
      </c>
      <c r="Y557" s="3">
        <v>11.875613566159519</v>
      </c>
      <c r="Z557" s="3">
        <v>13.65749331971792</v>
      </c>
      <c r="AA557" s="3">
        <v>17.439415803987472</v>
      </c>
      <c r="AB557" s="3">
        <v>17.734989562516496</v>
      </c>
      <c r="AC557" s="3">
        <v>16.20698692683424</v>
      </c>
      <c r="AD557" s="3"/>
      <c r="AE557" t="s">
        <v>5759</v>
      </c>
      <c r="AF557" t="s">
        <v>115</v>
      </c>
    </row>
    <row r="558" spans="1:32" x14ac:dyDescent="0.3">
      <c r="A558" t="s">
        <v>1826</v>
      </c>
      <c r="B558" s="1" t="s">
        <v>1205</v>
      </c>
      <c r="C558" s="5" t="s">
        <v>2624</v>
      </c>
      <c r="D558" s="2" t="s">
        <v>4141</v>
      </c>
      <c r="E558" s="1" t="s">
        <v>788</v>
      </c>
      <c r="F558" s="3"/>
      <c r="G558" s="3">
        <v>208268000000</v>
      </c>
      <c r="H558" s="3">
        <v>263220000000</v>
      </c>
      <c r="I558" s="3">
        <v>412400000000</v>
      </c>
      <c r="J558" s="3">
        <v>436500000000</v>
      </c>
      <c r="K558" s="3">
        <v>423000000000</v>
      </c>
      <c r="L558" s="3">
        <v>433200000000</v>
      </c>
      <c r="M558" s="3">
        <v>467400000000</v>
      </c>
      <c r="N558" s="3">
        <v>585200000000</v>
      </c>
      <c r="O558" s="3">
        <v>355277000000</v>
      </c>
      <c r="P558" s="3">
        <v>371431000000</v>
      </c>
      <c r="Q558" s="3">
        <v>299219000000</v>
      </c>
      <c r="R558" s="3">
        <v>388571000000</v>
      </c>
      <c r="S558" s="3">
        <v>376977000000</v>
      </c>
      <c r="T558" s="3">
        <v>474961003672</v>
      </c>
      <c r="U558" s="3">
        <v>617481812007</v>
      </c>
      <c r="V558" s="3">
        <v>652495298000</v>
      </c>
      <c r="W558" s="3">
        <v>741806234454</v>
      </c>
      <c r="X558" s="3">
        <v>626273597499</v>
      </c>
      <c r="Y558" s="3">
        <v>572539383436.99597</v>
      </c>
      <c r="Z558" s="3">
        <v>794334251393.62</v>
      </c>
      <c r="AA558" s="3">
        <v>1152924079087.3701</v>
      </c>
      <c r="AB558" s="3">
        <v>1444685392957.1899</v>
      </c>
      <c r="AC558" s="3">
        <v>1419992193960</v>
      </c>
      <c r="AD558" s="3"/>
      <c r="AE558" t="s">
        <v>5760</v>
      </c>
      <c r="AF558" t="s">
        <v>115</v>
      </c>
    </row>
    <row r="559" spans="1:32" x14ac:dyDescent="0.3">
      <c r="A559" t="s">
        <v>1826</v>
      </c>
      <c r="B559" s="1" t="s">
        <v>1205</v>
      </c>
      <c r="C559" s="5" t="s">
        <v>2625</v>
      </c>
      <c r="D559" s="2" t="s">
        <v>4142</v>
      </c>
      <c r="E559" s="1" t="s">
        <v>1125</v>
      </c>
      <c r="F559" s="3"/>
      <c r="G559" s="3"/>
      <c r="H559" s="3"/>
      <c r="I559" s="3"/>
      <c r="J559" s="3"/>
      <c r="K559" s="3">
        <v>7592014244.9405699</v>
      </c>
      <c r="L559" s="3">
        <v>8369453548.2966003</v>
      </c>
      <c r="M559" s="3">
        <v>8559332232.3930798</v>
      </c>
      <c r="N559" s="3">
        <v>10292930966.9804</v>
      </c>
      <c r="O559" s="3">
        <v>11212909112.703501</v>
      </c>
      <c r="P559" s="3">
        <v>11421347029.180401</v>
      </c>
      <c r="Q559" s="3">
        <v>12651630158.543301</v>
      </c>
      <c r="R559" s="3">
        <v>12122759836.2616</v>
      </c>
      <c r="S559" s="3">
        <v>12052756795.389299</v>
      </c>
      <c r="T559" s="3">
        <v>12984780627.313499</v>
      </c>
      <c r="U559" s="3">
        <v>11735247561.179399</v>
      </c>
      <c r="V559" s="3">
        <v>10882922075.104099</v>
      </c>
      <c r="W559" s="3">
        <v>11882442225.8025</v>
      </c>
      <c r="X559" s="3">
        <v>11917663544.6429</v>
      </c>
      <c r="Y559" s="3">
        <v>12628493496.5634</v>
      </c>
      <c r="Z559" s="3">
        <v>12499992627.5662</v>
      </c>
      <c r="AA559" s="3">
        <v>15320271125.231701</v>
      </c>
      <c r="AB559" s="3">
        <v>16297631979.2801</v>
      </c>
      <c r="AC559" s="3"/>
      <c r="AD559" s="3"/>
      <c r="AE559" t="s">
        <v>5761</v>
      </c>
      <c r="AF559" t="s">
        <v>613</v>
      </c>
    </row>
    <row r="560" spans="1:32" x14ac:dyDescent="0.3">
      <c r="A560" t="s">
        <v>1826</v>
      </c>
      <c r="B560" s="1" t="s">
        <v>1205</v>
      </c>
      <c r="C560" s="5" t="s">
        <v>2626</v>
      </c>
      <c r="D560" s="2" t="s">
        <v>4143</v>
      </c>
      <c r="E560" s="1" t="s">
        <v>1926</v>
      </c>
      <c r="F560" s="3"/>
      <c r="G560" s="3"/>
      <c r="H560" s="3"/>
      <c r="I560" s="3"/>
      <c r="J560" s="3"/>
      <c r="K560" s="3">
        <v>5098826667.2339096</v>
      </c>
      <c r="L560" s="3">
        <v>5214045541.0213804</v>
      </c>
      <c r="M560" s="3">
        <v>5944854575.6237202</v>
      </c>
      <c r="N560" s="3">
        <v>6910104407.55968</v>
      </c>
      <c r="O560" s="3">
        <v>6939025074.9864101</v>
      </c>
      <c r="P560" s="3">
        <v>7796223789.3865004</v>
      </c>
      <c r="Q560" s="3">
        <v>6675286621.9296904</v>
      </c>
      <c r="R560" s="3">
        <v>9056226020.3980904</v>
      </c>
      <c r="S560" s="3">
        <v>9057773559.3552399</v>
      </c>
      <c r="T560" s="3">
        <v>9106696214.0625801</v>
      </c>
      <c r="U560" s="3">
        <v>8565435529.7739897</v>
      </c>
      <c r="V560" s="3">
        <v>7815414471.7434998</v>
      </c>
      <c r="W560" s="3">
        <v>8508141106.6117201</v>
      </c>
      <c r="X560" s="3">
        <v>9714987733.5814095</v>
      </c>
      <c r="Y560" s="3">
        <v>9477167039.24366</v>
      </c>
      <c r="Z560" s="3">
        <v>9517832243.7176609</v>
      </c>
      <c r="AA560" s="3">
        <v>12267029418.1649</v>
      </c>
      <c r="AB560" s="3">
        <v>15223032458.303101</v>
      </c>
      <c r="AC560" s="3"/>
      <c r="AD560" s="3"/>
      <c r="AE560" t="s">
        <v>5762</v>
      </c>
      <c r="AF560" t="s">
        <v>613</v>
      </c>
    </row>
    <row r="561" spans="1:32" x14ac:dyDescent="0.3">
      <c r="A561" t="s">
        <v>1826</v>
      </c>
      <c r="B561" s="1" t="s">
        <v>1205</v>
      </c>
      <c r="C561" s="5" t="s">
        <v>2627</v>
      </c>
      <c r="D561" s="2" t="s">
        <v>4144</v>
      </c>
      <c r="E561" s="1" t="s">
        <v>1536</v>
      </c>
      <c r="F561" s="3">
        <v>-1.00785183906555</v>
      </c>
      <c r="G561" s="3"/>
      <c r="H561" s="3">
        <v>-0.94114857912063599</v>
      </c>
      <c r="I561" s="3">
        <v>-1.1344960927963299</v>
      </c>
      <c r="J561" s="3">
        <v>-1.2796034812927199</v>
      </c>
      <c r="K561" s="3">
        <v>-1.34959387779236</v>
      </c>
      <c r="L561" s="3">
        <v>-1.16377902030945</v>
      </c>
      <c r="M561" s="3">
        <v>-1.2189140319824201</v>
      </c>
      <c r="N561" s="3">
        <v>-1.2527209520339999</v>
      </c>
      <c r="O561" s="3">
        <v>-1.1265180110931401</v>
      </c>
      <c r="P561" s="3">
        <v>-1.29745149612427</v>
      </c>
      <c r="Q561" s="3">
        <v>-1.1807554960250899</v>
      </c>
      <c r="R561" s="3">
        <v>-1.1081509590148899</v>
      </c>
      <c r="S561" s="3">
        <v>-0.93821817636489901</v>
      </c>
      <c r="T561" s="3">
        <v>-0.85729163885116599</v>
      </c>
      <c r="U561" s="3">
        <v>-0.74754053354263295</v>
      </c>
      <c r="V561" s="3">
        <v>-0.73637920618057295</v>
      </c>
      <c r="W561" s="3">
        <v>-0.81221818923950195</v>
      </c>
      <c r="X561" s="3">
        <v>-0.64745038747787498</v>
      </c>
      <c r="Y561" s="3">
        <v>-0.55917167663574197</v>
      </c>
      <c r="Z561" s="3">
        <v>-0.539148509502411</v>
      </c>
      <c r="AA561" s="3">
        <v>-0.53695148229598999</v>
      </c>
      <c r="AB561" s="3">
        <v>-0.33377242088317899</v>
      </c>
      <c r="AC561" s="3">
        <v>-0.35951203107833901</v>
      </c>
      <c r="AD561" s="3"/>
      <c r="AE561" t="s">
        <v>5763</v>
      </c>
    </row>
    <row r="562" spans="1:32" x14ac:dyDescent="0.3">
      <c r="A562" t="s">
        <v>1826</v>
      </c>
      <c r="B562" s="1" t="s">
        <v>1205</v>
      </c>
      <c r="C562" s="5" t="s">
        <v>2628</v>
      </c>
      <c r="D562" s="2" t="s">
        <v>4145</v>
      </c>
      <c r="E562" s="1" t="s">
        <v>1307</v>
      </c>
      <c r="F562" s="3">
        <v>3</v>
      </c>
      <c r="G562" s="3"/>
      <c r="H562" s="3">
        <v>4</v>
      </c>
      <c r="I562" s="3">
        <v>4</v>
      </c>
      <c r="J562" s="3">
        <v>6</v>
      </c>
      <c r="K562" s="3">
        <v>7</v>
      </c>
      <c r="L562" s="3">
        <v>8</v>
      </c>
      <c r="M562" s="3">
        <v>7</v>
      </c>
      <c r="N562" s="3">
        <v>9</v>
      </c>
      <c r="O562" s="3">
        <v>10</v>
      </c>
      <c r="P562" s="3">
        <v>10</v>
      </c>
      <c r="Q562" s="3">
        <v>11</v>
      </c>
      <c r="R562" s="3">
        <v>11</v>
      </c>
      <c r="S562" s="3">
        <v>12</v>
      </c>
      <c r="T562" s="3">
        <v>12</v>
      </c>
      <c r="U562" s="3">
        <v>12</v>
      </c>
      <c r="V562" s="3">
        <v>12</v>
      </c>
      <c r="W562" s="3">
        <v>11</v>
      </c>
      <c r="X562" s="3">
        <v>11</v>
      </c>
      <c r="Y562" s="3">
        <v>12</v>
      </c>
      <c r="Z562" s="3">
        <v>11</v>
      </c>
      <c r="AA562" s="3">
        <v>11</v>
      </c>
      <c r="AB562" s="3">
        <v>11</v>
      </c>
      <c r="AC562" s="3">
        <v>12</v>
      </c>
      <c r="AD562" s="3"/>
      <c r="AE562" t="s">
        <v>5764</v>
      </c>
      <c r="AF562" t="s">
        <v>751</v>
      </c>
    </row>
    <row r="563" spans="1:32" x14ac:dyDescent="0.3">
      <c r="A563" t="s">
        <v>1826</v>
      </c>
      <c r="B563" s="1" t="s">
        <v>1205</v>
      </c>
      <c r="C563" s="5" t="s">
        <v>2629</v>
      </c>
      <c r="D563" s="2" t="s">
        <v>4146</v>
      </c>
      <c r="E563" s="1" t="s">
        <v>1034</v>
      </c>
      <c r="F563" s="3">
        <v>16.3934421539307</v>
      </c>
      <c r="G563" s="3"/>
      <c r="H563" s="3">
        <v>17.297296524047901</v>
      </c>
      <c r="I563" s="3">
        <v>11.8918914794922</v>
      </c>
      <c r="J563" s="3">
        <v>6.4676618576049796</v>
      </c>
      <c r="K563" s="3">
        <v>6.8627452850341797</v>
      </c>
      <c r="L563" s="3">
        <v>11.2195119857788</v>
      </c>
      <c r="M563" s="3">
        <v>9.7087383270263707</v>
      </c>
      <c r="N563" s="3">
        <v>8.2524271011352504</v>
      </c>
      <c r="O563" s="3">
        <v>11.961722373962401</v>
      </c>
      <c r="P563" s="3">
        <v>6.6985645294189498</v>
      </c>
      <c r="Q563" s="3">
        <v>10.900473594665501</v>
      </c>
      <c r="R563" s="3">
        <v>13.2701425552368</v>
      </c>
      <c r="S563" s="3">
        <v>18.483411788940401</v>
      </c>
      <c r="T563" s="3">
        <v>19.230770111083999</v>
      </c>
      <c r="U563" s="3">
        <v>24.2857151031494</v>
      </c>
      <c r="V563" s="3">
        <v>24.761905670166001</v>
      </c>
      <c r="W563" s="3">
        <v>20.476190567016602</v>
      </c>
      <c r="X563" s="3">
        <v>28.571428298950199</v>
      </c>
      <c r="Y563" s="3">
        <v>33.333332061767599</v>
      </c>
      <c r="Z563" s="3">
        <v>33.333332061767599</v>
      </c>
      <c r="AA563" s="3">
        <v>32.380950927734403</v>
      </c>
      <c r="AB563" s="3">
        <v>37.735847473144503</v>
      </c>
      <c r="AC563" s="3">
        <v>37.264152526855497</v>
      </c>
      <c r="AD563" s="3"/>
      <c r="AE563" t="s">
        <v>5765</v>
      </c>
    </row>
    <row r="564" spans="1:32" x14ac:dyDescent="0.3">
      <c r="A564" t="s">
        <v>1826</v>
      </c>
      <c r="B564" s="1" t="s">
        <v>1205</v>
      </c>
      <c r="C564" s="5" t="s">
        <v>2630</v>
      </c>
      <c r="D564" s="2" t="s">
        <v>4147</v>
      </c>
      <c r="E564" s="1" t="s">
        <v>1531</v>
      </c>
      <c r="F564" s="3">
        <v>4.3715848922729501</v>
      </c>
      <c r="G564" s="3"/>
      <c r="H564" s="3">
        <v>5.9459457397460902</v>
      </c>
      <c r="I564" s="3">
        <v>2.7027027606964098</v>
      </c>
      <c r="J564" s="3">
        <v>1.9900497198104901</v>
      </c>
      <c r="K564" s="3">
        <v>0.49019607901573198</v>
      </c>
      <c r="L564" s="3">
        <v>2.92682933807373</v>
      </c>
      <c r="M564" s="3">
        <v>2.42718458175659</v>
      </c>
      <c r="N564" s="3">
        <v>1.45631062984467</v>
      </c>
      <c r="O564" s="3">
        <v>3.8277511596679701</v>
      </c>
      <c r="P564" s="3">
        <v>2.39234447479248</v>
      </c>
      <c r="Q564" s="3">
        <v>4.7393364906311</v>
      </c>
      <c r="R564" s="3">
        <v>5.2132701873779297</v>
      </c>
      <c r="S564" s="3">
        <v>10.900473594665501</v>
      </c>
      <c r="T564" s="3">
        <v>12.9807691574097</v>
      </c>
      <c r="U564" s="3">
        <v>13.8095235824585</v>
      </c>
      <c r="V564" s="3">
        <v>14.761904716491699</v>
      </c>
      <c r="W564" s="3">
        <v>11.904762268066399</v>
      </c>
      <c r="X564" s="3">
        <v>16.190475463867202</v>
      </c>
      <c r="Y564" s="3">
        <v>18.095237731933601</v>
      </c>
      <c r="Z564" s="3">
        <v>17.142856597900401</v>
      </c>
      <c r="AA564" s="3">
        <v>17.619047164916999</v>
      </c>
      <c r="AB564" s="3">
        <v>26.886793136596701</v>
      </c>
      <c r="AC564" s="3">
        <v>26.415094375610401</v>
      </c>
      <c r="AD564" s="3"/>
      <c r="AE564" t="s">
        <v>5766</v>
      </c>
      <c r="AF564" t="s">
        <v>453</v>
      </c>
    </row>
    <row r="565" spans="1:32" x14ac:dyDescent="0.3">
      <c r="A565" t="s">
        <v>1826</v>
      </c>
      <c r="B565" s="1" t="s">
        <v>1205</v>
      </c>
      <c r="C565" s="5" t="s">
        <v>2631</v>
      </c>
      <c r="D565" s="2" t="s">
        <v>4148</v>
      </c>
      <c r="E565" s="1" t="s">
        <v>1039</v>
      </c>
      <c r="F565" s="3">
        <v>31.147541046142599</v>
      </c>
      <c r="G565" s="3"/>
      <c r="H565" s="3">
        <v>31.891891479492202</v>
      </c>
      <c r="I565" s="3">
        <v>24.864864349365199</v>
      </c>
      <c r="J565" s="3">
        <v>13.9303483963013</v>
      </c>
      <c r="K565" s="3">
        <v>14.215685844421399</v>
      </c>
      <c r="L565" s="3">
        <v>21.951219558715799</v>
      </c>
      <c r="M565" s="3">
        <v>18.9320392608643</v>
      </c>
      <c r="N565" s="3">
        <v>16.990291595458999</v>
      </c>
      <c r="O565" s="3">
        <v>21.531101226806602</v>
      </c>
      <c r="P565" s="3">
        <v>16.267942428588899</v>
      </c>
      <c r="Q565" s="3">
        <v>19.9052124023438</v>
      </c>
      <c r="R565" s="3">
        <v>23.222749710083001</v>
      </c>
      <c r="S565" s="3">
        <v>29.383886337280298</v>
      </c>
      <c r="T565" s="3">
        <v>28.846153259277301</v>
      </c>
      <c r="U565" s="3">
        <v>35.238094329833999</v>
      </c>
      <c r="V565" s="3">
        <v>35.238094329833999</v>
      </c>
      <c r="W565" s="3">
        <v>32.857143402099602</v>
      </c>
      <c r="X565" s="3">
        <v>38.5714302062988</v>
      </c>
      <c r="Y565" s="3">
        <v>39.523811340332003</v>
      </c>
      <c r="Z565" s="3">
        <v>43.333332061767599</v>
      </c>
      <c r="AA565" s="3">
        <v>42.857143402099602</v>
      </c>
      <c r="AB565" s="3">
        <v>52.358489990234403</v>
      </c>
      <c r="AC565" s="3">
        <v>50.4716987609863</v>
      </c>
      <c r="AD565" s="3"/>
      <c r="AE565" t="s">
        <v>5767</v>
      </c>
      <c r="AF565" t="s">
        <v>126</v>
      </c>
    </row>
    <row r="566" spans="1:32" x14ac:dyDescent="0.3">
      <c r="A566" t="s">
        <v>1826</v>
      </c>
      <c r="B566" s="1" t="s">
        <v>1205</v>
      </c>
      <c r="C566" s="5" t="s">
        <v>2632</v>
      </c>
      <c r="D566" s="2" t="s">
        <v>4149</v>
      </c>
      <c r="E566" s="1" t="s">
        <v>9</v>
      </c>
      <c r="F566" s="3">
        <v>0.238578706979752</v>
      </c>
      <c r="G566" s="3"/>
      <c r="H566" s="3">
        <v>0.19964283704757699</v>
      </c>
      <c r="I566" s="3">
        <v>0.21055151522159599</v>
      </c>
      <c r="J566" s="3">
        <v>0.17902886867523199</v>
      </c>
      <c r="K566" s="3">
        <v>0.18385966122150399</v>
      </c>
      <c r="L566" s="3">
        <v>0.194080591201782</v>
      </c>
      <c r="M566" s="3">
        <v>0.20792891085147899</v>
      </c>
      <c r="N566" s="3">
        <v>0.184193760156631</v>
      </c>
      <c r="O566" s="3">
        <v>0.17293778061866799</v>
      </c>
      <c r="P566" s="3">
        <v>0.177766993641853</v>
      </c>
      <c r="Q566" s="3">
        <v>0.17807973921299</v>
      </c>
      <c r="R566" s="3">
        <v>0.180305510759354</v>
      </c>
      <c r="S566" s="3">
        <v>0.164917722344398</v>
      </c>
      <c r="T566" s="3">
        <v>0.17450143396854401</v>
      </c>
      <c r="U566" s="3">
        <v>0.16789478063583399</v>
      </c>
      <c r="V566" s="3">
        <v>0.167195454239845</v>
      </c>
      <c r="W566" s="3">
        <v>0.18065413832664501</v>
      </c>
      <c r="X566" s="3">
        <v>0.178170725703239</v>
      </c>
      <c r="Y566" s="3">
        <v>0.18027873337268799</v>
      </c>
      <c r="Z566" s="3">
        <v>0.19579844176769301</v>
      </c>
      <c r="AA566" s="3">
        <v>0.19851355254650099</v>
      </c>
      <c r="AB566" s="3">
        <v>0.203998982906342</v>
      </c>
      <c r="AC566" s="3">
        <v>0.20653010904788999</v>
      </c>
      <c r="AD566" s="3"/>
      <c r="AE566" t="s">
        <v>5768</v>
      </c>
      <c r="AF566" t="s">
        <v>202</v>
      </c>
    </row>
    <row r="567" spans="1:32" x14ac:dyDescent="0.3">
      <c r="A567" t="s">
        <v>1826</v>
      </c>
      <c r="B567" s="1" t="s">
        <v>1205</v>
      </c>
      <c r="C567" s="5" t="s">
        <v>2633</v>
      </c>
      <c r="D567" s="2" t="s">
        <v>4150</v>
      </c>
      <c r="E567" s="1" t="s">
        <v>2018</v>
      </c>
      <c r="F567" s="3">
        <v>2.4003100395202601</v>
      </c>
      <c r="G567" s="3">
        <v>2.4447700977325399</v>
      </c>
      <c r="H567" s="3">
        <v>2.8104801177978498</v>
      </c>
      <c r="I567" s="3">
        <v>2.8643701076507599</v>
      </c>
      <c r="J567" s="3">
        <v>2.9117600917816202</v>
      </c>
      <c r="K567" s="3">
        <v>2.9194400310516402</v>
      </c>
      <c r="L567" s="3">
        <v>2.8199999332428001</v>
      </c>
      <c r="M567" s="3">
        <v>3.0161399841308598</v>
      </c>
      <c r="N567" s="3">
        <v>3.0985300540924099</v>
      </c>
      <c r="O567" s="3">
        <v>3.1739399433136</v>
      </c>
      <c r="P567" s="3">
        <v>3.24651002883911</v>
      </c>
      <c r="Q567" s="3">
        <v>2.8657600879669198</v>
      </c>
      <c r="R567" s="3">
        <v>3.4344699382782</v>
      </c>
      <c r="S567" s="3">
        <v>3.4586000442504901</v>
      </c>
      <c r="T567" s="3">
        <v>3.31416988372803</v>
      </c>
      <c r="U567" s="3">
        <v>3.49412989616394</v>
      </c>
      <c r="V567" s="3">
        <v>3.9359300136566202</v>
      </c>
      <c r="W567" s="3">
        <v>3.73654007911682</v>
      </c>
      <c r="X567" s="3">
        <v>3.2116498947143599</v>
      </c>
      <c r="Y567" s="3">
        <v>3.4130699634552002</v>
      </c>
      <c r="Z567" s="3">
        <v>3.7867400646209699</v>
      </c>
      <c r="AA567" s="3">
        <v>3.3271899223327601</v>
      </c>
      <c r="AB567" s="3">
        <v>3.5119700431823699</v>
      </c>
      <c r="AC567" s="3">
        <v>3.4299299716949498</v>
      </c>
      <c r="AD567" s="3"/>
      <c r="AE567" t="s">
        <v>5769</v>
      </c>
      <c r="AF567" t="s">
        <v>28</v>
      </c>
    </row>
    <row r="568" spans="1:32" x14ac:dyDescent="0.3">
      <c r="A568" t="s">
        <v>1826</v>
      </c>
      <c r="B568" s="1" t="s">
        <v>1205</v>
      </c>
      <c r="C568" s="5" t="s">
        <v>2634</v>
      </c>
      <c r="D568" s="2" t="s">
        <v>4151</v>
      </c>
      <c r="E568" s="1" t="s">
        <v>433</v>
      </c>
      <c r="F568" s="3">
        <v>20.806949615478501</v>
      </c>
      <c r="G568" s="3">
        <v>23.202030181884801</v>
      </c>
      <c r="H568" s="3">
        <v>22.592300415039102</v>
      </c>
      <c r="I568" s="3">
        <v>22.648229598998999</v>
      </c>
      <c r="J568" s="3">
        <v>22.107160568237301</v>
      </c>
      <c r="K568" s="3">
        <v>21.845689773559599</v>
      </c>
      <c r="L568" s="3">
        <v>20.017890930175799</v>
      </c>
      <c r="M568" s="3">
        <v>20.755880355835</v>
      </c>
      <c r="N568" s="3">
        <v>21.526910781860401</v>
      </c>
      <c r="O568" s="3">
        <v>22.189559936523398</v>
      </c>
      <c r="P568" s="3">
        <v>22.772750854492202</v>
      </c>
      <c r="Q568" s="3">
        <v>22.4268608093262</v>
      </c>
      <c r="R568" s="3">
        <v>20.858760833740199</v>
      </c>
      <c r="S568" s="3">
        <v>21.574729919433601</v>
      </c>
      <c r="T568" s="3">
        <v>21.766780853271499</v>
      </c>
      <c r="U568" s="3">
        <v>21.173219680786101</v>
      </c>
      <c r="V568" s="3">
        <v>22.387599945068398</v>
      </c>
      <c r="W568" s="3">
        <v>20.633499145507798</v>
      </c>
      <c r="X568" s="3">
        <v>18.2889003753662</v>
      </c>
      <c r="Y568" s="3">
        <v>19.8460693359375</v>
      </c>
      <c r="Z568" s="3">
        <v>18.5902500152588</v>
      </c>
      <c r="AA568" s="3">
        <v>16.266279220581101</v>
      </c>
      <c r="AB568" s="3">
        <v>15.9030103683472</v>
      </c>
      <c r="AC568" s="3">
        <v>15.9464101791382</v>
      </c>
      <c r="AD568" s="3"/>
      <c r="AE568" t="s">
        <v>5770</v>
      </c>
      <c r="AF568" t="s">
        <v>1402</v>
      </c>
    </row>
    <row r="569" spans="1:32" x14ac:dyDescent="0.3">
      <c r="A569" t="s">
        <v>1826</v>
      </c>
      <c r="B569" s="1" t="s">
        <v>1205</v>
      </c>
      <c r="C569" s="5" t="s">
        <v>2635</v>
      </c>
      <c r="D569" s="2" t="s">
        <v>4152</v>
      </c>
      <c r="E569" s="1" t="s">
        <v>1839</v>
      </c>
      <c r="F569" s="3">
        <v>13.0342</v>
      </c>
      <c r="G569" s="3">
        <v>12.75154</v>
      </c>
      <c r="H569" s="3"/>
      <c r="I569" s="3"/>
      <c r="J569" s="3"/>
      <c r="K569" s="3"/>
      <c r="L569" s="3">
        <v>16.267610000000001</v>
      </c>
      <c r="M569" s="3">
        <v>16.463280000000001</v>
      </c>
      <c r="N569" s="3">
        <v>15.56569</v>
      </c>
      <c r="O569" s="3">
        <v>15.510949999999999</v>
      </c>
      <c r="P569" s="3"/>
      <c r="Q569" s="3">
        <v>12.48176</v>
      </c>
      <c r="R569" s="3">
        <v>13.596069999999999</v>
      </c>
      <c r="S569" s="3">
        <v>13.579660000000001</v>
      </c>
      <c r="T569" s="3">
        <v>12.757580000000001</v>
      </c>
      <c r="U569" s="3">
        <v>13.78098</v>
      </c>
      <c r="V569" s="3">
        <v>15.791700000000001</v>
      </c>
      <c r="W569" s="3">
        <v>13.17057</v>
      </c>
      <c r="X569" s="3">
        <v>13.27872</v>
      </c>
      <c r="Y569" s="3"/>
      <c r="Z569" s="3"/>
      <c r="AA569" s="3"/>
      <c r="AB569" s="3"/>
      <c r="AC569" s="3"/>
      <c r="AD569" s="3"/>
      <c r="AE569" t="s">
        <v>5771</v>
      </c>
      <c r="AF569" t="s">
        <v>1245</v>
      </c>
    </row>
    <row r="570" spans="1:32" x14ac:dyDescent="0.3">
      <c r="A570" t="s">
        <v>1826</v>
      </c>
      <c r="B570" s="1" t="s">
        <v>1205</v>
      </c>
      <c r="C570" s="5" t="s">
        <v>2636</v>
      </c>
      <c r="D570" s="2" t="s">
        <v>4153</v>
      </c>
      <c r="E570" s="1" t="s">
        <v>27</v>
      </c>
      <c r="F570" s="3"/>
      <c r="G570" s="3"/>
      <c r="H570" s="3"/>
      <c r="I570" s="3"/>
      <c r="J570" s="3"/>
      <c r="K570" s="3"/>
      <c r="L570" s="3"/>
      <c r="M570" s="3"/>
      <c r="N570" s="3"/>
      <c r="O570" s="3"/>
      <c r="P570" s="3"/>
      <c r="Q570" s="3"/>
      <c r="R570" s="3"/>
      <c r="S570" s="3"/>
      <c r="T570" s="3">
        <v>27.175909999999998</v>
      </c>
      <c r="U570" s="3">
        <v>24.168530000000001</v>
      </c>
      <c r="V570" s="3">
        <v>22.822749999999999</v>
      </c>
      <c r="W570" s="3">
        <v>20.809709999999999</v>
      </c>
      <c r="X570" s="3">
        <v>18.847249999999999</v>
      </c>
      <c r="Y570" s="3"/>
      <c r="Z570" s="3"/>
      <c r="AA570" s="3"/>
      <c r="AB570" s="3"/>
      <c r="AC570" s="3"/>
      <c r="AD570" s="3"/>
      <c r="AE570" t="s">
        <v>5771</v>
      </c>
      <c r="AF570" t="s">
        <v>627</v>
      </c>
    </row>
    <row r="571" spans="1:32" x14ac:dyDescent="0.3">
      <c r="A571" t="s">
        <v>1826</v>
      </c>
      <c r="B571" s="1" t="s">
        <v>1205</v>
      </c>
      <c r="C571" s="5" t="s">
        <v>2637</v>
      </c>
      <c r="D571" s="2" t="s">
        <v>4154</v>
      </c>
      <c r="E571" s="1" t="s">
        <v>315</v>
      </c>
      <c r="F571" s="3"/>
      <c r="G571" s="3"/>
      <c r="H571" s="3"/>
      <c r="I571" s="3"/>
      <c r="J571" s="3"/>
      <c r="K571" s="3"/>
      <c r="L571" s="3"/>
      <c r="M571" s="3">
        <v>124.47136999999999</v>
      </c>
      <c r="N571" s="3">
        <v>133.41634999999999</v>
      </c>
      <c r="O571" s="3">
        <v>126.97593999999999</v>
      </c>
      <c r="P571" s="3">
        <v>144.09475</v>
      </c>
      <c r="Q571" s="3">
        <v>339.70936</v>
      </c>
      <c r="R571" s="3"/>
      <c r="S571" s="3">
        <v>153.55842999999999</v>
      </c>
      <c r="T571" s="3">
        <v>123.47373</v>
      </c>
      <c r="U571" s="3">
        <v>124.84419</v>
      </c>
      <c r="V571" s="3">
        <v>138.96225000000001</v>
      </c>
      <c r="W571" s="3">
        <v>150.17055999999999</v>
      </c>
      <c r="X571" s="3"/>
      <c r="Y571" s="3"/>
      <c r="Z571" s="3"/>
      <c r="AA571" s="3"/>
      <c r="AB571" s="3"/>
      <c r="AC571" s="3"/>
      <c r="AD571" s="3"/>
      <c r="AE571" t="s">
        <v>5771</v>
      </c>
      <c r="AF571" t="s">
        <v>1774</v>
      </c>
    </row>
    <row r="572" spans="1:32" x14ac:dyDescent="0.3">
      <c r="A572" t="s">
        <v>1826</v>
      </c>
      <c r="B572" s="1" t="s">
        <v>1205</v>
      </c>
      <c r="C572" s="5" t="s">
        <v>2638</v>
      </c>
      <c r="D572" s="2" t="s">
        <v>4155</v>
      </c>
      <c r="E572" s="1" t="s">
        <v>1318</v>
      </c>
      <c r="F572" s="3"/>
      <c r="G572" s="3">
        <v>6.9972877047340925</v>
      </c>
      <c r="H572" s="3">
        <v>6.2810627880012433</v>
      </c>
      <c r="I572" s="3">
        <v>7.9155060352831947</v>
      </c>
      <c r="J572" s="3">
        <v>11.37288498607839</v>
      </c>
      <c r="K572" s="3">
        <v>13.66271046094397</v>
      </c>
      <c r="L572" s="3">
        <v>8.6505885346224396</v>
      </c>
      <c r="M572" s="3">
        <v>14.550110580840414</v>
      </c>
      <c r="N572" s="3">
        <v>18.752083426621091</v>
      </c>
      <c r="O572" s="3">
        <v>22.431530500155269</v>
      </c>
      <c r="P572" s="3">
        <v>15.898988263089702</v>
      </c>
      <c r="Q572" s="3">
        <v>14.451980502084394</v>
      </c>
      <c r="R572" s="3">
        <v>15.377981091271803</v>
      </c>
      <c r="S572" s="3">
        <v>16.033695180848994</v>
      </c>
      <c r="T572" s="3">
        <v>15.322286560121102</v>
      </c>
      <c r="U572" s="3">
        <v>15.373623759459504</v>
      </c>
      <c r="V572" s="3">
        <v>10.11884557028759</v>
      </c>
      <c r="W572" s="3">
        <v>8.3481638215090559</v>
      </c>
      <c r="X572" s="3">
        <v>8.3150256841756605</v>
      </c>
      <c r="Y572" s="3">
        <v>8.4334640141532429</v>
      </c>
      <c r="Z572" s="3">
        <v>6.7859423740055904</v>
      </c>
      <c r="AA572" s="3">
        <v>5.5802261482826747</v>
      </c>
      <c r="AB572" s="3">
        <v>6.0073227326868466</v>
      </c>
      <c r="AC572" s="3">
        <v>6.9743104751062432</v>
      </c>
      <c r="AD572" s="3"/>
      <c r="AE572" t="s">
        <v>5772</v>
      </c>
      <c r="AF572" t="s">
        <v>115</v>
      </c>
    </row>
    <row r="573" spans="1:32" x14ac:dyDescent="0.3">
      <c r="A573" t="s">
        <v>1826</v>
      </c>
      <c r="B573" s="1" t="s">
        <v>1205</v>
      </c>
      <c r="C573" s="5" t="s">
        <v>2639</v>
      </c>
      <c r="D573" s="2" t="s">
        <v>4156</v>
      </c>
      <c r="E573" s="1" t="s">
        <v>91</v>
      </c>
      <c r="F573" s="3"/>
      <c r="G573" s="3">
        <v>88336300000</v>
      </c>
      <c r="H573" s="3">
        <v>84400272000</v>
      </c>
      <c r="I573" s="3">
        <v>102300000000</v>
      </c>
      <c r="J573" s="3">
        <v>159300000000</v>
      </c>
      <c r="K573" s="3">
        <v>198000000000</v>
      </c>
      <c r="L573" s="3">
        <v>129200000000</v>
      </c>
      <c r="M573" s="3">
        <v>250000000000</v>
      </c>
      <c r="N573" s="3">
        <v>376900000000</v>
      </c>
      <c r="O573" s="3">
        <v>483967000000</v>
      </c>
      <c r="P573" s="3">
        <v>333777000000</v>
      </c>
      <c r="Q573" s="3">
        <v>221176000000</v>
      </c>
      <c r="R573" s="3">
        <v>357678000000</v>
      </c>
      <c r="S573" s="3">
        <v>428927000000</v>
      </c>
      <c r="T573" s="3">
        <v>441502534000</v>
      </c>
      <c r="U573" s="3">
        <v>549917160126</v>
      </c>
      <c r="V573" s="3">
        <v>370119321897</v>
      </c>
      <c r="W573" s="3">
        <v>326515609093.54688</v>
      </c>
      <c r="X573" s="3">
        <v>343915727292</v>
      </c>
      <c r="Y573" s="3">
        <v>380117611627.59302</v>
      </c>
      <c r="Z573" s="3">
        <v>311288651590</v>
      </c>
      <c r="AA573" s="3">
        <v>295572838355.72498</v>
      </c>
      <c r="AB573" s="3">
        <v>334155831171.20001</v>
      </c>
      <c r="AC573" s="3">
        <v>478926319313.62903</v>
      </c>
      <c r="AD573" s="3"/>
      <c r="AE573" t="s">
        <v>5773</v>
      </c>
      <c r="AF573" t="s">
        <v>115</v>
      </c>
    </row>
    <row r="574" spans="1:32" x14ac:dyDescent="0.3">
      <c r="A574" t="s">
        <v>1826</v>
      </c>
      <c r="B574" s="1" t="s">
        <v>1205</v>
      </c>
      <c r="C574" s="5" t="s">
        <v>2640</v>
      </c>
      <c r="D574" s="2" t="s">
        <v>4157</v>
      </c>
      <c r="E574" s="1" t="s">
        <v>326</v>
      </c>
      <c r="F574" s="3">
        <v>238030000</v>
      </c>
      <c r="G574" s="3">
        <v>214880000</v>
      </c>
      <c r="H574" s="3">
        <v>672580000</v>
      </c>
      <c r="I574" s="3">
        <v>285980000</v>
      </c>
      <c r="J574" s="3">
        <v>223410000</v>
      </c>
      <c r="K574" s="3">
        <v>158310000</v>
      </c>
      <c r="L574" s="3">
        <v>199480000</v>
      </c>
      <c r="M574" s="3">
        <v>238900000</v>
      </c>
      <c r="N574" s="3">
        <v>397210000</v>
      </c>
      <c r="O574" s="3">
        <v>1117300000</v>
      </c>
      <c r="P574" s="3">
        <v>642270000</v>
      </c>
      <c r="Q574" s="3">
        <v>717100000</v>
      </c>
      <c r="R574" s="3">
        <v>2734560000</v>
      </c>
      <c r="S574" s="3">
        <v>1817300000</v>
      </c>
      <c r="T574" s="3">
        <v>860230000</v>
      </c>
      <c r="U574" s="3">
        <v>598190000</v>
      </c>
      <c r="V574" s="3">
        <v>721170000</v>
      </c>
      <c r="W574" s="3">
        <v>888920000</v>
      </c>
      <c r="X574" s="3">
        <v>736340000</v>
      </c>
      <c r="Y574" s="3">
        <v>670220000</v>
      </c>
      <c r="Z574" s="3">
        <v>628160000</v>
      </c>
      <c r="AA574" s="3">
        <v>588390000</v>
      </c>
      <c r="AB574" s="3">
        <v>793460000</v>
      </c>
      <c r="AC574" s="3"/>
      <c r="AD574" s="3"/>
      <c r="AE574" t="s">
        <v>5774</v>
      </c>
      <c r="AF574" t="s">
        <v>524</v>
      </c>
    </row>
    <row r="575" spans="1:32" x14ac:dyDescent="0.3">
      <c r="A575" t="s">
        <v>1826</v>
      </c>
      <c r="B575" s="1" t="s">
        <v>1205</v>
      </c>
      <c r="C575" s="5" t="s">
        <v>2641</v>
      </c>
      <c r="D575" s="2" t="s">
        <v>4158</v>
      </c>
      <c r="E575" s="1" t="s">
        <v>198</v>
      </c>
      <c r="F575" s="3">
        <v>15.892407273340265</v>
      </c>
      <c r="G575" s="3">
        <v>14.220340922978775</v>
      </c>
      <c r="H575" s="3">
        <v>12.023475484488731</v>
      </c>
      <c r="I575" s="3">
        <v>13.968441903296611</v>
      </c>
      <c r="J575" s="3">
        <v>14.718292636670526</v>
      </c>
      <c r="K575" s="3">
        <v>13.842141447174672</v>
      </c>
      <c r="L575" s="3">
        <v>14.180827117676472</v>
      </c>
      <c r="M575" s="3">
        <v>13.726273510776075</v>
      </c>
      <c r="N575" s="3">
        <v>18.180020685959576</v>
      </c>
      <c r="O575" s="3">
        <v>14.743549585694399</v>
      </c>
      <c r="P575" s="3">
        <v>21.681054529875624</v>
      </c>
      <c r="Q575" s="3">
        <v>16.593718912147814</v>
      </c>
      <c r="R575" s="3">
        <v>20.450817103102594</v>
      </c>
      <c r="S575" s="3">
        <v>22.909801328614734</v>
      </c>
      <c r="T575" s="3">
        <v>22.62045582529079</v>
      </c>
      <c r="U575" s="3">
        <v>23.388149470174426</v>
      </c>
      <c r="V575" s="3">
        <v>23.195409191384819</v>
      </c>
      <c r="W575" s="3">
        <v>20.818816379449757</v>
      </c>
      <c r="X575" s="3">
        <v>22.25279049906413</v>
      </c>
      <c r="Y575" s="3">
        <v>21.989938495440363</v>
      </c>
      <c r="Z575" s="3">
        <v>21.742893410460074</v>
      </c>
      <c r="AA575" s="3">
        <v>23.575317068885642</v>
      </c>
      <c r="AB575" s="3">
        <v>27.485311536479291</v>
      </c>
      <c r="AC575" s="3">
        <v>26.096510918863792</v>
      </c>
      <c r="AD575" s="3">
        <v>24.476335992565659</v>
      </c>
      <c r="AE575" t="s">
        <v>5775</v>
      </c>
      <c r="AF575" t="s">
        <v>718</v>
      </c>
    </row>
    <row r="576" spans="1:32" x14ac:dyDescent="0.3">
      <c r="A576" t="s">
        <v>1826</v>
      </c>
      <c r="B576" s="1" t="s">
        <v>1205</v>
      </c>
      <c r="C576" s="5" t="s">
        <v>2642</v>
      </c>
      <c r="D576" s="2" t="s">
        <v>4159</v>
      </c>
      <c r="E576" s="1" t="s">
        <v>1816</v>
      </c>
      <c r="F576" s="3"/>
      <c r="G576" s="3"/>
      <c r="H576" s="3"/>
      <c r="I576" s="3"/>
      <c r="J576" s="3"/>
      <c r="K576" s="3"/>
      <c r="L576" s="3"/>
      <c r="M576" s="3"/>
      <c r="N576" s="3"/>
      <c r="O576" s="3">
        <v>-26.538063925755978</v>
      </c>
      <c r="P576" s="3">
        <v>63.620050473249279</v>
      </c>
      <c r="Q576" s="3">
        <v>-65.82722197317679</v>
      </c>
      <c r="R576" s="3">
        <v>218.75437327931525</v>
      </c>
      <c r="S576" s="3">
        <v>23.212584255898378</v>
      </c>
      <c r="T576" s="3">
        <v>21.67407194933017</v>
      </c>
      <c r="U576" s="3">
        <v>10.542658960506571</v>
      </c>
      <c r="V576" s="3">
        <v>11.993533379717732</v>
      </c>
      <c r="W576" s="3">
        <v>-1.1295595896088315</v>
      </c>
      <c r="X576" s="3">
        <v>11.586400964379237</v>
      </c>
      <c r="Y576" s="3">
        <v>4.5723135765865806</v>
      </c>
      <c r="Z576" s="3">
        <v>9.3021644627758491</v>
      </c>
      <c r="AA576" s="3">
        <v>10.406227233764014</v>
      </c>
      <c r="AB576" s="3">
        <v>20.237967432960289</v>
      </c>
      <c r="AC576" s="3">
        <v>12.156929308093865</v>
      </c>
      <c r="AD576" s="3">
        <v>9.3214549774400837</v>
      </c>
      <c r="AE576" t="s">
        <v>5776</v>
      </c>
      <c r="AF576" t="s">
        <v>718</v>
      </c>
    </row>
    <row r="577" spans="1:32" x14ac:dyDescent="0.3">
      <c r="A577" t="s">
        <v>1826</v>
      </c>
      <c r="B577" s="1" t="s">
        <v>1205</v>
      </c>
      <c r="C577" s="5" t="s">
        <v>2643</v>
      </c>
      <c r="D577" s="2" t="s">
        <v>4160</v>
      </c>
      <c r="E577" s="1" t="s">
        <v>1206</v>
      </c>
      <c r="F577" s="3"/>
      <c r="G577" s="3"/>
      <c r="H577" s="3"/>
      <c r="I577" s="3"/>
      <c r="J577" s="3"/>
      <c r="K577" s="3"/>
      <c r="L577" s="3"/>
      <c r="M577" s="3"/>
      <c r="N577" s="3">
        <v>4938388528.5312176</v>
      </c>
      <c r="O577" s="3">
        <v>3627835823.9274035</v>
      </c>
      <c r="P577" s="3">
        <v>5935866806.1966362</v>
      </c>
      <c r="Q577" s="3">
        <v>2028450587.6494577</v>
      </c>
      <c r="R577" s="3">
        <v>6465774957.9426155</v>
      </c>
      <c r="S577" s="3">
        <v>7966648417.8518229</v>
      </c>
      <c r="T577" s="3">
        <v>9693345527.8872013</v>
      </c>
      <c r="U577" s="3">
        <v>10715281888.755863</v>
      </c>
      <c r="V577" s="3">
        <v>12000422798.814646</v>
      </c>
      <c r="W577" s="3">
        <v>11864870872.297031</v>
      </c>
      <c r="X577" s="3">
        <v>13239582385.467207</v>
      </c>
      <c r="Y577" s="3">
        <v>13844937608.36129</v>
      </c>
      <c r="Z577" s="3">
        <v>15132816474.459763</v>
      </c>
      <c r="AA577" s="3">
        <v>16707571743.660521</v>
      </c>
      <c r="AB577" s="3">
        <v>20088844671.981014</v>
      </c>
      <c r="AC577" s="3">
        <v>22531031317.566528</v>
      </c>
      <c r="AD577" s="3">
        <v>24631251257.786415</v>
      </c>
      <c r="AE577" t="s">
        <v>5777</v>
      </c>
      <c r="AF577" t="s">
        <v>718</v>
      </c>
    </row>
    <row r="578" spans="1:32" x14ac:dyDescent="0.3">
      <c r="A578" t="s">
        <v>1826</v>
      </c>
      <c r="B578" s="1" t="s">
        <v>1205</v>
      </c>
      <c r="C578" s="5" t="s">
        <v>2644</v>
      </c>
      <c r="D578" s="2" t="s">
        <v>4161</v>
      </c>
      <c r="E578" s="1" t="s">
        <v>570</v>
      </c>
      <c r="F578" s="3"/>
      <c r="G578" s="3"/>
      <c r="H578" s="3"/>
      <c r="I578" s="3"/>
      <c r="J578" s="3"/>
      <c r="K578" s="3"/>
      <c r="L578" s="3"/>
      <c r="M578" s="3"/>
      <c r="N578" s="3">
        <v>2919846912600</v>
      </c>
      <c r="O578" s="3">
        <v>2144976072400</v>
      </c>
      <c r="P578" s="3">
        <v>3509610932300</v>
      </c>
      <c r="Q578" s="3">
        <v>1199331553500</v>
      </c>
      <c r="R578" s="3">
        <v>3822921776900</v>
      </c>
      <c r="S578" s="3">
        <v>4710320715400</v>
      </c>
      <c r="T578" s="3">
        <v>5731239016300</v>
      </c>
      <c r="U578" s="3">
        <v>6335464000000</v>
      </c>
      <c r="V578" s="3">
        <v>7095309989600</v>
      </c>
      <c r="W578" s="3">
        <v>7015164235200</v>
      </c>
      <c r="X578" s="3">
        <v>7827969291800</v>
      </c>
      <c r="Y578" s="3">
        <v>8185888594500</v>
      </c>
      <c r="Z578" s="3">
        <v>8947353414300</v>
      </c>
      <c r="AA578" s="3">
        <v>9878435342000</v>
      </c>
      <c r="AB578" s="3">
        <v>11877629869400</v>
      </c>
      <c r="AC578" s="3">
        <v>13321584936100</v>
      </c>
      <c r="AD578" s="3">
        <v>14563350478200</v>
      </c>
      <c r="AE578" t="s">
        <v>5778</v>
      </c>
      <c r="AF578" t="s">
        <v>718</v>
      </c>
    </row>
    <row r="579" spans="1:32" x14ac:dyDescent="0.3">
      <c r="A579" t="s">
        <v>1826</v>
      </c>
      <c r="B579" s="1" t="s">
        <v>1205</v>
      </c>
      <c r="C579" s="5" t="s">
        <v>2645</v>
      </c>
      <c r="D579" s="2" t="s">
        <v>4162</v>
      </c>
      <c r="E579" s="1" t="s">
        <v>421</v>
      </c>
      <c r="F579" s="3">
        <v>1871092063200</v>
      </c>
      <c r="G579" s="3">
        <v>1750808168100</v>
      </c>
      <c r="H579" s="3">
        <v>1505887944000</v>
      </c>
      <c r="I579" s="3">
        <v>1721448101000</v>
      </c>
      <c r="J579" s="3">
        <v>1824776969400</v>
      </c>
      <c r="K579" s="3">
        <v>1754306830600</v>
      </c>
      <c r="L579" s="3">
        <v>1872955165000</v>
      </c>
      <c r="M579" s="3">
        <v>1889496942100</v>
      </c>
      <c r="N579" s="3">
        <v>2763162540100</v>
      </c>
      <c r="O579" s="3">
        <v>2349641960100</v>
      </c>
      <c r="P579" s="3">
        <v>3747848817200</v>
      </c>
      <c r="Q579" s="3">
        <v>2869362775500</v>
      </c>
      <c r="R579" s="3">
        <v>3790430277200</v>
      </c>
      <c r="S579" s="3">
        <v>4838381476700</v>
      </c>
      <c r="T579" s="3">
        <v>5455283049200</v>
      </c>
      <c r="U579" s="3">
        <v>6335000000000</v>
      </c>
      <c r="V579" s="3">
        <v>6654000000000</v>
      </c>
      <c r="W579" s="3">
        <v>6348000000000</v>
      </c>
      <c r="X579" s="3">
        <v>7233515000000</v>
      </c>
      <c r="Y579" s="3">
        <v>7779821000000</v>
      </c>
      <c r="Z579" s="3">
        <v>7887876000000</v>
      </c>
      <c r="AA579" s="3">
        <v>9516615000000</v>
      </c>
      <c r="AB579" s="3">
        <v>12159172000000</v>
      </c>
      <c r="AC579" s="3">
        <v>12603024069600</v>
      </c>
      <c r="AD579" s="3">
        <v>12843262268600</v>
      </c>
      <c r="AE579" t="s">
        <v>5779</v>
      </c>
      <c r="AF579" t="s">
        <v>718</v>
      </c>
    </row>
    <row r="580" spans="1:32" x14ac:dyDescent="0.3">
      <c r="A580" t="s">
        <v>1826</v>
      </c>
      <c r="B580" s="1" t="s">
        <v>1205</v>
      </c>
      <c r="C580" s="5" t="s">
        <v>2646</v>
      </c>
      <c r="D580" s="2" t="s">
        <v>4163</v>
      </c>
      <c r="E580" s="1" t="s">
        <v>1077</v>
      </c>
      <c r="F580" s="3">
        <v>2634569201.9733539</v>
      </c>
      <c r="G580" s="3">
        <v>2390515678.6177917</v>
      </c>
      <c r="H580" s="3">
        <v>2170764352.457705</v>
      </c>
      <c r="I580" s="3">
        <v>2968538958.4743562</v>
      </c>
      <c r="J580" s="3">
        <v>3460355329.3497329</v>
      </c>
      <c r="K580" s="3">
        <v>3327224286.435832</v>
      </c>
      <c r="L580" s="3">
        <v>3585113507.7840028</v>
      </c>
      <c r="M580" s="3">
        <v>3947688746.1990299</v>
      </c>
      <c r="N580" s="3">
        <v>6195431134.7249403</v>
      </c>
      <c r="O580" s="3">
        <v>4996119114.5554247</v>
      </c>
      <c r="P580" s="3">
        <v>7574559983.8827553</v>
      </c>
      <c r="Q580" s="3">
        <v>6088851228.8203468</v>
      </c>
      <c r="R580" s="3">
        <v>7424117565.6505127</v>
      </c>
      <c r="S580" s="3">
        <v>9796284997.171814</v>
      </c>
      <c r="T580" s="3">
        <v>11048510508.593361</v>
      </c>
      <c r="U580" s="3">
        <v>10715281888.755863</v>
      </c>
      <c r="V580" s="3">
        <v>11228378252.879026</v>
      </c>
      <c r="W580" s="3">
        <v>10932448473.215889</v>
      </c>
      <c r="X580" s="3">
        <v>13022884376.733212</v>
      </c>
      <c r="Y580" s="3">
        <v>13278161405.715034</v>
      </c>
      <c r="Z580" s="3">
        <v>13704078854.384237</v>
      </c>
      <c r="AA580" s="3">
        <v>17161566399.247349</v>
      </c>
      <c r="AB580" s="3">
        <v>19493359353.349777</v>
      </c>
      <c r="AC580" s="3">
        <v>20777534761.918159</v>
      </c>
      <c r="AD580" s="3">
        <v>21181432954.52721</v>
      </c>
      <c r="AE580" t="s">
        <v>5780</v>
      </c>
      <c r="AF580" t="s">
        <v>718</v>
      </c>
    </row>
    <row r="581" spans="1:32" x14ac:dyDescent="0.3">
      <c r="A581" t="s">
        <v>1826</v>
      </c>
      <c r="B581" s="1" t="s">
        <v>1205</v>
      </c>
      <c r="C581" s="5" t="s">
        <v>2647</v>
      </c>
      <c r="D581" s="2" t="s">
        <v>4164</v>
      </c>
      <c r="E581" s="1" t="s">
        <v>1076</v>
      </c>
      <c r="F581" s="3">
        <v>15803782783132.781</v>
      </c>
      <c r="G581" s="3">
        <v>15729731986200.363</v>
      </c>
      <c r="H581" s="3">
        <v>15779127958307.338</v>
      </c>
      <c r="I581" s="3">
        <v>15151078137264.764</v>
      </c>
      <c r="J581" s="3">
        <v>15106277461110.137</v>
      </c>
      <c r="K581" s="3">
        <v>15060745383465.508</v>
      </c>
      <c r="L581" s="3">
        <v>15277054170067.953</v>
      </c>
      <c r="M581" s="3">
        <v>15726655026029.928</v>
      </c>
      <c r="N581" s="3">
        <v>17005018383237.232</v>
      </c>
      <c r="O581" s="3">
        <v>17955986223105.07</v>
      </c>
      <c r="P581" s="3">
        <v>19912404949446.613</v>
      </c>
      <c r="Q581" s="3">
        <v>18589017588690.18</v>
      </c>
      <c r="R581" s="3">
        <v>19669598073609.289</v>
      </c>
      <c r="S581" s="3">
        <v>22319840644950.438</v>
      </c>
      <c r="T581" s="3">
        <v>24631376967054.781</v>
      </c>
      <c r="U581" s="3">
        <v>27086367000000</v>
      </c>
      <c r="V581" s="3">
        <v>29258348756548.535</v>
      </c>
      <c r="W581" s="3">
        <v>30586291791966.484</v>
      </c>
      <c r="X581" s="3">
        <v>31789622963560.633</v>
      </c>
      <c r="Y581" s="3">
        <v>33911687373879.914</v>
      </c>
      <c r="Z581" s="3">
        <v>34815759768968.699</v>
      </c>
      <c r="AA581" s="3">
        <v>36909315773396.281</v>
      </c>
      <c r="AB581" s="3">
        <v>38583131881395.328</v>
      </c>
      <c r="AC581" s="3">
        <v>41712910428912.555</v>
      </c>
      <c r="AD581" s="3">
        <v>46594129240439.102</v>
      </c>
      <c r="AE581" t="s">
        <v>5781</v>
      </c>
      <c r="AF581" t="s">
        <v>718</v>
      </c>
    </row>
    <row r="582" spans="1:32" x14ac:dyDescent="0.3">
      <c r="A582" t="s">
        <v>1826</v>
      </c>
      <c r="B582" s="1" t="s">
        <v>1205</v>
      </c>
      <c r="C582" s="5" t="s">
        <v>2648</v>
      </c>
      <c r="D582" s="2" t="s">
        <v>4165</v>
      </c>
      <c r="E582" s="1" t="s">
        <v>698</v>
      </c>
      <c r="F582" s="3">
        <v>16.508532768397508</v>
      </c>
      <c r="G582" s="3">
        <v>16.045865463170141</v>
      </c>
      <c r="H582" s="3">
        <v>18.843850132860286</v>
      </c>
      <c r="I582" s="3">
        <v>18.190408032671876</v>
      </c>
      <c r="J582" s="3">
        <v>16.882574063962618</v>
      </c>
      <c r="K582" s="3">
        <v>14.779165853422324</v>
      </c>
      <c r="L582" s="3">
        <v>16.172310524580602</v>
      </c>
      <c r="M582" s="3">
        <v>13.277236614978943</v>
      </c>
      <c r="N582" s="3">
        <v>18.266737533074316</v>
      </c>
      <c r="O582" s="3">
        <v>18.896128449023994</v>
      </c>
      <c r="P582" s="3">
        <v>21.207263628547416</v>
      </c>
      <c r="Q582" s="3">
        <v>22.4405685560967</v>
      </c>
      <c r="R582" s="3">
        <v>20.114708584438983</v>
      </c>
      <c r="S582" s="3">
        <v>22.877927392916369</v>
      </c>
      <c r="T582" s="3">
        <v>25.253955793778317</v>
      </c>
      <c r="U582" s="3">
        <v>25.383127238879986</v>
      </c>
      <c r="V582" s="3">
        <v>25.512548301546317</v>
      </c>
      <c r="W582" s="3">
        <v>23.152724416624658</v>
      </c>
      <c r="X582" s="3">
        <v>21.60368162249409</v>
      </c>
      <c r="Y582" s="3">
        <v>22.650347156475835</v>
      </c>
      <c r="Z582" s="3">
        <v>21.787198560006836</v>
      </c>
      <c r="AA582" s="3">
        <v>23.053819966522539</v>
      </c>
      <c r="AB582" s="3">
        <v>23.153641147589898</v>
      </c>
      <c r="AC582" s="3">
        <v>22.595437302948877</v>
      </c>
      <c r="AD582" s="3">
        <v>25.005625501848204</v>
      </c>
      <c r="AE582" t="s">
        <v>5782</v>
      </c>
      <c r="AF582" t="s">
        <v>718</v>
      </c>
    </row>
    <row r="583" spans="1:32" x14ac:dyDescent="0.3">
      <c r="A583" t="s">
        <v>1826</v>
      </c>
      <c r="B583" s="1" t="s">
        <v>1205</v>
      </c>
      <c r="C583" s="5" t="s">
        <v>2649</v>
      </c>
      <c r="D583" s="2" t="s">
        <v>4166</v>
      </c>
      <c r="E583" s="1" t="s">
        <v>1526</v>
      </c>
      <c r="F583" s="3">
        <v>1943631578700</v>
      </c>
      <c r="G583" s="3">
        <v>1975566723000</v>
      </c>
      <c r="H583" s="3">
        <v>2360110167000</v>
      </c>
      <c r="I583" s="3">
        <v>2241756352000</v>
      </c>
      <c r="J583" s="3">
        <v>2093105029000</v>
      </c>
      <c r="K583" s="3">
        <v>1873062178000</v>
      </c>
      <c r="L583" s="3">
        <v>2135983485000</v>
      </c>
      <c r="M583" s="3">
        <v>1827684547000</v>
      </c>
      <c r="N583" s="3">
        <v>2776342544000</v>
      </c>
      <c r="O583" s="3">
        <v>3011427881000</v>
      </c>
      <c r="P583" s="3">
        <v>3665947973000</v>
      </c>
      <c r="Q583" s="3">
        <v>3880391877000</v>
      </c>
      <c r="R583" s="3">
        <v>3728134678000</v>
      </c>
      <c r="S583" s="3">
        <v>4831649936000</v>
      </c>
      <c r="T583" s="3">
        <v>6090393493000</v>
      </c>
      <c r="U583" s="3">
        <v>6875367000000</v>
      </c>
      <c r="V583" s="3">
        <v>7318711000000</v>
      </c>
      <c r="W583" s="3">
        <v>7059647000000</v>
      </c>
      <c r="X583" s="3">
        <v>7022515000000</v>
      </c>
      <c r="Y583" s="3">
        <v>8013467000000</v>
      </c>
      <c r="Z583" s="3">
        <v>7903949000000</v>
      </c>
      <c r="AA583" s="3">
        <v>9306103000000</v>
      </c>
      <c r="AB583" s="3">
        <v>10242893000000</v>
      </c>
      <c r="AC583" s="3">
        <v>10912218919900</v>
      </c>
      <c r="AD583" s="3">
        <v>13120991908600</v>
      </c>
      <c r="AE583" t="s">
        <v>5783</v>
      </c>
      <c r="AF583" t="s">
        <v>718</v>
      </c>
    </row>
    <row r="584" spans="1:32" x14ac:dyDescent="0.3">
      <c r="A584" t="s">
        <v>1826</v>
      </c>
      <c r="B584" s="1" t="s">
        <v>1205</v>
      </c>
      <c r="C584" s="5" t="s">
        <v>2650</v>
      </c>
      <c r="D584" s="2" t="s">
        <v>4167</v>
      </c>
      <c r="E584" s="1" t="s">
        <v>1604</v>
      </c>
      <c r="F584" s="3">
        <v>2736707614.7329726</v>
      </c>
      <c r="G584" s="3">
        <v>2697396157.6910648</v>
      </c>
      <c r="H584" s="3">
        <v>3402140935.3926015</v>
      </c>
      <c r="I584" s="3">
        <v>3865780828.6253715</v>
      </c>
      <c r="J584" s="3">
        <v>3969190352.2710457</v>
      </c>
      <c r="K584" s="3">
        <v>3552456081.1944861</v>
      </c>
      <c r="L584" s="3">
        <v>4088588657.9549007</v>
      </c>
      <c r="M584" s="3">
        <v>3818545326.553864</v>
      </c>
      <c r="N584" s="3">
        <v>6224982710.2594366</v>
      </c>
      <c r="O584" s="3">
        <v>6403295759.0393515</v>
      </c>
      <c r="P584" s="3">
        <v>7409034935.4132166</v>
      </c>
      <c r="Q584" s="3">
        <v>8234277328.1634989</v>
      </c>
      <c r="R584" s="3">
        <v>7302102433.2088499</v>
      </c>
      <c r="S584" s="3">
        <v>9782655627.2089806</v>
      </c>
      <c r="T584" s="3">
        <v>12334791046.03875</v>
      </c>
      <c r="U584" s="3">
        <v>11629281056.614006</v>
      </c>
      <c r="V584" s="3">
        <v>12350053416.216787</v>
      </c>
      <c r="W584" s="3">
        <v>12158038290.263569</v>
      </c>
      <c r="X584" s="3">
        <v>12643009778.631084</v>
      </c>
      <c r="Y584" s="3">
        <v>13676935272.080301</v>
      </c>
      <c r="Z584" s="3">
        <v>13732003438.825792</v>
      </c>
      <c r="AA584" s="3">
        <v>16781944478.444799</v>
      </c>
      <c r="AB584" s="3">
        <v>16421216351.484375</v>
      </c>
      <c r="AC584" s="3">
        <v>17990047998.462585</v>
      </c>
      <c r="AD584" s="3">
        <v>21639471700.923241</v>
      </c>
      <c r="AE584" t="s">
        <v>5784</v>
      </c>
      <c r="AF584" t="s">
        <v>718</v>
      </c>
    </row>
    <row r="585" spans="1:32" x14ac:dyDescent="0.3">
      <c r="A585" t="s">
        <v>1826</v>
      </c>
      <c r="B585" s="1" t="s">
        <v>1205</v>
      </c>
      <c r="C585" s="5" t="s">
        <v>2651</v>
      </c>
      <c r="D585" s="2" t="s">
        <v>4168</v>
      </c>
      <c r="E585" s="1" t="s">
        <v>1091</v>
      </c>
      <c r="F585" s="3">
        <v>16.362068052096586</v>
      </c>
      <c r="G585" s="3">
        <v>15.340768245569746</v>
      </c>
      <c r="H585" s="3">
        <v>15.458863948372578</v>
      </c>
      <c r="I585" s="3">
        <v>12.84385079987146</v>
      </c>
      <c r="J585" s="3">
        <v>13.493331357445898</v>
      </c>
      <c r="K585" s="3">
        <v>13.737473755332372</v>
      </c>
      <c r="L585" s="3">
        <v>14.243639203827438</v>
      </c>
      <c r="M585" s="3">
        <v>16.697147142380615</v>
      </c>
      <c r="N585" s="3">
        <v>16.11778346237115</v>
      </c>
      <c r="O585" s="3">
        <v>16.108160775550591</v>
      </c>
      <c r="P585" s="3">
        <v>20.703173969078726</v>
      </c>
      <c r="Q585" s="3">
        <v>17.847059231224794</v>
      </c>
      <c r="R585" s="3">
        <v>17.11227153726627</v>
      </c>
      <c r="S585" s="3">
        <v>20.731202224342947</v>
      </c>
      <c r="T585" s="3">
        <v>22.476070174362992</v>
      </c>
      <c r="U585" s="3">
        <v>23.561668495446437</v>
      </c>
      <c r="V585" s="3">
        <v>23.296501296366809</v>
      </c>
      <c r="W585" s="3">
        <v>21.910918750961532</v>
      </c>
      <c r="X585" s="3">
        <v>22.46655035825119</v>
      </c>
      <c r="Y585" s="3">
        <v>22.176648109614622</v>
      </c>
      <c r="Z585" s="3">
        <v>20.344763141246954</v>
      </c>
      <c r="AA585" s="3">
        <v>21.057179603694209</v>
      </c>
      <c r="AB585" s="3">
        <v>22.289521867681763</v>
      </c>
      <c r="AC585" s="3">
        <v>23.141511114851568</v>
      </c>
      <c r="AD585" s="3">
        <v>24.482465992700686</v>
      </c>
      <c r="AE585" t="s">
        <v>5785</v>
      </c>
      <c r="AF585" t="s">
        <v>718</v>
      </c>
    </row>
    <row r="586" spans="1:32" x14ac:dyDescent="0.3">
      <c r="A586" t="s">
        <v>1826</v>
      </c>
      <c r="B586" s="1" t="s">
        <v>1205</v>
      </c>
      <c r="C586" s="5" t="s">
        <v>2652</v>
      </c>
      <c r="D586" s="2" t="s">
        <v>4169</v>
      </c>
      <c r="E586" s="1" t="s">
        <v>868</v>
      </c>
      <c r="F586" s="3">
        <v>-16.184888188406489</v>
      </c>
      <c r="G586" s="3">
        <v>-3.9779490635471006</v>
      </c>
      <c r="H586" s="3">
        <v>5.4394132368509105</v>
      </c>
      <c r="I586" s="3">
        <v>-16.984168952848634</v>
      </c>
      <c r="J586" s="3">
        <v>10.698578426345875</v>
      </c>
      <c r="K586" s="3">
        <v>2.4289945003780389</v>
      </c>
      <c r="L586" s="3">
        <v>12.833563889204427</v>
      </c>
      <c r="M586" s="3">
        <v>20.950784982163853</v>
      </c>
      <c r="N586" s="3">
        <v>9.6887636161644934</v>
      </c>
      <c r="O586" s="3">
        <v>4.5615627212875438</v>
      </c>
      <c r="P586" s="3">
        <v>41.012232635868571</v>
      </c>
      <c r="Q586" s="3">
        <v>-19.846314587540519</v>
      </c>
      <c r="R586" s="3">
        <v>-1.8962675977310397</v>
      </c>
      <c r="S586" s="3">
        <v>40.406268571595376</v>
      </c>
      <c r="T586" s="3">
        <v>18.338945710656702</v>
      </c>
      <c r="U586" s="3">
        <v>16.026894044447545</v>
      </c>
      <c r="V586" s="3">
        <v>9.307427138827947</v>
      </c>
      <c r="W586" s="3">
        <v>1.2269938646789029</v>
      </c>
      <c r="X586" s="3">
        <v>6.8702290074606367</v>
      </c>
      <c r="Y586" s="3">
        <v>6.9171710262927206</v>
      </c>
      <c r="Z586" s="3">
        <v>3.7807373218937244</v>
      </c>
      <c r="AA586" s="3">
        <v>14.932723523901387</v>
      </c>
      <c r="AB586" s="3">
        <v>13.214910233795678</v>
      </c>
      <c r="AC586" s="3">
        <v>8.5193472073224825</v>
      </c>
      <c r="AD586" s="3">
        <v>10.501741995005801</v>
      </c>
      <c r="AE586" t="s">
        <v>5786</v>
      </c>
      <c r="AF586" t="s">
        <v>718</v>
      </c>
    </row>
    <row r="587" spans="1:32" x14ac:dyDescent="0.3">
      <c r="A587" t="s">
        <v>1826</v>
      </c>
      <c r="B587" s="1" t="s">
        <v>1205</v>
      </c>
      <c r="C587" s="5" t="s">
        <v>2653</v>
      </c>
      <c r="D587" s="2" t="s">
        <v>4170</v>
      </c>
      <c r="E587" s="1" t="s">
        <v>71</v>
      </c>
      <c r="F587" s="3">
        <v>3385275911.2692661</v>
      </c>
      <c r="G587" s="3">
        <v>3250611359.8584447</v>
      </c>
      <c r="H587" s="3">
        <v>3427425544.4451642</v>
      </c>
      <c r="I587" s="3">
        <v>2845305799.2435055</v>
      </c>
      <c r="J587" s="3">
        <v>3149713071.6449389</v>
      </c>
      <c r="K587" s="3">
        <v>3226219428.9328828</v>
      </c>
      <c r="L587" s="3">
        <v>3640258360.5509105</v>
      </c>
      <c r="M587" s="3">
        <v>4402921062.4651747</v>
      </c>
      <c r="N587" s="3">
        <v>4829509676.413743</v>
      </c>
      <c r="O587" s="3">
        <v>5049810789.4340067</v>
      </c>
      <c r="P587" s="3">
        <v>7120850938.067873</v>
      </c>
      <c r="Q587" s="3">
        <v>5707624459.5890923</v>
      </c>
      <c r="R587" s="3">
        <v>5599392626.3617334</v>
      </c>
      <c r="S587" s="3">
        <v>7861898249.3475628</v>
      </c>
      <c r="T587" s="3">
        <v>9303687501.1224823</v>
      </c>
      <c r="U587" s="3">
        <v>10794779639.153893</v>
      </c>
      <c r="V587" s="3">
        <v>11799495888.865175</v>
      </c>
      <c r="W587" s="3">
        <v>11944274979.484591</v>
      </c>
      <c r="X587" s="3">
        <v>12764874023.856005</v>
      </c>
      <c r="Y587" s="3">
        <v>13647842191.376938</v>
      </c>
      <c r="Z587" s="3">
        <v>14163831254.739485</v>
      </c>
      <c r="AA587" s="3">
        <v>16278877016.401665</v>
      </c>
      <c r="AB587" s="3">
        <v>18430116001.18914</v>
      </c>
      <c r="AC587" s="3">
        <v>20000241574.04274</v>
      </c>
      <c r="AD587" s="3">
        <v>22100615342.526596</v>
      </c>
      <c r="AE587" t="s">
        <v>5787</v>
      </c>
      <c r="AF587" t="s">
        <v>718</v>
      </c>
    </row>
    <row r="588" spans="1:32" x14ac:dyDescent="0.3">
      <c r="A588" t="s">
        <v>1826</v>
      </c>
      <c r="B588" s="1" t="s">
        <v>1205</v>
      </c>
      <c r="C588" s="5" t="s">
        <v>2654</v>
      </c>
      <c r="D588" s="2" t="s">
        <v>4171</v>
      </c>
      <c r="E588" s="1" t="s">
        <v>2060</v>
      </c>
      <c r="F588" s="3">
        <v>2001414719700</v>
      </c>
      <c r="G588" s="3">
        <v>1921799461600</v>
      </c>
      <c r="H588" s="3">
        <v>2026334075900</v>
      </c>
      <c r="I588" s="3">
        <v>1682178072900</v>
      </c>
      <c r="J588" s="3">
        <v>1862147213300</v>
      </c>
      <c r="K588" s="3">
        <v>1907378666700</v>
      </c>
      <c r="L588" s="3">
        <v>2152163326500</v>
      </c>
      <c r="M588" s="3">
        <v>2603058437500</v>
      </c>
      <c r="N588" s="3">
        <v>2855262616300</v>
      </c>
      <c r="O588" s="3">
        <v>2985507211400</v>
      </c>
      <c r="P588" s="3">
        <v>4209930374300.0005</v>
      </c>
      <c r="Q588" s="3">
        <v>3374414348300</v>
      </c>
      <c r="R588" s="3">
        <v>3310426422400</v>
      </c>
      <c r="S588" s="3">
        <v>4648046213500</v>
      </c>
      <c r="T588" s="3">
        <v>5500448885200</v>
      </c>
      <c r="U588" s="3">
        <v>6382000000000</v>
      </c>
      <c r="V588" s="3">
        <v>6976000000000</v>
      </c>
      <c r="W588" s="3">
        <v>7061595092000</v>
      </c>
      <c r="X588" s="3">
        <v>7546742846400</v>
      </c>
      <c r="Y588" s="3">
        <v>8068763956000</v>
      </c>
      <c r="Z588" s="3">
        <v>8373822726300</v>
      </c>
      <c r="AA588" s="3">
        <v>9624262522400</v>
      </c>
      <c r="AB588" s="3">
        <v>10896100175400</v>
      </c>
      <c r="AC588" s="3">
        <v>11824376781400</v>
      </c>
      <c r="AD588" s="3">
        <v>13066142323500</v>
      </c>
      <c r="AE588" t="s">
        <v>5788</v>
      </c>
      <c r="AF588" t="s">
        <v>718</v>
      </c>
    </row>
    <row r="589" spans="1:32" x14ac:dyDescent="0.3">
      <c r="A589" t="s">
        <v>1826</v>
      </c>
      <c r="B589" s="1" t="s">
        <v>1205</v>
      </c>
      <c r="C589" s="5" t="s">
        <v>2655</v>
      </c>
      <c r="D589" s="2" t="s">
        <v>4172</v>
      </c>
      <c r="E589" s="1" t="s">
        <v>1895</v>
      </c>
      <c r="F589" s="3">
        <v>1926387560000</v>
      </c>
      <c r="G589" s="3">
        <v>1888755163800</v>
      </c>
      <c r="H589" s="3">
        <v>1936155388500</v>
      </c>
      <c r="I589" s="3">
        <v>1582855319300</v>
      </c>
      <c r="J589" s="3">
        <v>1672906016300</v>
      </c>
      <c r="K589" s="3">
        <v>1741041596500</v>
      </c>
      <c r="L589" s="3">
        <v>1881251170600</v>
      </c>
      <c r="M589" s="3">
        <v>2298454015400</v>
      </c>
      <c r="N589" s="3">
        <v>2449725237500</v>
      </c>
      <c r="O589" s="3">
        <v>2567116571100</v>
      </c>
      <c r="P589" s="3">
        <v>3578809599200</v>
      </c>
      <c r="Q589" s="3">
        <v>3086088638800</v>
      </c>
      <c r="R589" s="3">
        <v>3171651862100</v>
      </c>
      <c r="S589" s="3">
        <v>4378277375400.0005</v>
      </c>
      <c r="T589" s="3">
        <v>5420462150800</v>
      </c>
      <c r="U589" s="3">
        <v>6382000000000</v>
      </c>
      <c r="V589" s="3">
        <v>6683000000000</v>
      </c>
      <c r="W589" s="3">
        <v>6681000000000</v>
      </c>
      <c r="X589" s="3">
        <v>7303000000000</v>
      </c>
      <c r="Y589" s="3">
        <v>7845877000000</v>
      </c>
      <c r="Z589" s="3">
        <v>7380663000000</v>
      </c>
      <c r="AA589" s="3">
        <v>8500122000000</v>
      </c>
      <c r="AB589" s="3">
        <v>9860617000000</v>
      </c>
      <c r="AC589" s="3">
        <v>11175939285300</v>
      </c>
      <c r="AD589" s="3">
        <v>12846478812100</v>
      </c>
      <c r="AE589" t="s">
        <v>5789</v>
      </c>
      <c r="AF589" t="s">
        <v>718</v>
      </c>
    </row>
    <row r="590" spans="1:32" x14ac:dyDescent="0.3">
      <c r="A590" t="s">
        <v>1826</v>
      </c>
      <c r="B590" s="1" t="s">
        <v>1205</v>
      </c>
      <c r="C590" s="5" t="s">
        <v>2656</v>
      </c>
      <c r="D590" s="2" t="s">
        <v>4173</v>
      </c>
      <c r="E590" s="1" t="s">
        <v>1986</v>
      </c>
      <c r="F590" s="3">
        <v>2712427376.7485437</v>
      </c>
      <c r="G590" s="3">
        <v>2578865528.7312598</v>
      </c>
      <c r="H590" s="3">
        <v>2791002554.2874651</v>
      </c>
      <c r="I590" s="3">
        <v>2729543619.840106</v>
      </c>
      <c r="J590" s="3">
        <v>3172359880.730165</v>
      </c>
      <c r="K590" s="3">
        <v>3302065398.4392085</v>
      </c>
      <c r="L590" s="3">
        <v>3600993290.8631735</v>
      </c>
      <c r="M590" s="3">
        <v>4802114704.7563419</v>
      </c>
      <c r="N590" s="3">
        <v>5492656978.2535067</v>
      </c>
      <c r="O590" s="3">
        <v>5458542360.0533743</v>
      </c>
      <c r="P590" s="3">
        <v>7232924619.4855833</v>
      </c>
      <c r="Q590" s="3">
        <v>6548748300.859767</v>
      </c>
      <c r="R590" s="3">
        <v>6212148642.6440172</v>
      </c>
      <c r="S590" s="3">
        <v>8864710889.9196091</v>
      </c>
      <c r="T590" s="3">
        <v>10977988217.005304</v>
      </c>
      <c r="U590" s="3">
        <v>10794779639.153893</v>
      </c>
      <c r="V590" s="3">
        <v>11277314677.485802</v>
      </c>
      <c r="W590" s="3">
        <v>11505937027.340162</v>
      </c>
      <c r="X590" s="3">
        <v>13147981942.842815</v>
      </c>
      <c r="Y590" s="3">
        <v>13390902075.431717</v>
      </c>
      <c r="Z590" s="3">
        <v>12822867366.276566</v>
      </c>
      <c r="AA590" s="3">
        <v>15328497381.127972</v>
      </c>
      <c r="AB590" s="3">
        <v>15808358548.324657</v>
      </c>
      <c r="AC590" s="3">
        <v>18424821353.592594</v>
      </c>
      <c r="AD590" s="3">
        <v>21186737759.417564</v>
      </c>
      <c r="AE590" t="s">
        <v>5790</v>
      </c>
      <c r="AF590" t="s">
        <v>718</v>
      </c>
    </row>
    <row r="591" spans="1:32" x14ac:dyDescent="0.3">
      <c r="A591" t="s">
        <v>1826</v>
      </c>
      <c r="B591" s="1" t="s">
        <v>1205</v>
      </c>
      <c r="C591" s="5" t="s">
        <v>2657</v>
      </c>
      <c r="D591" s="2" t="s">
        <v>4174</v>
      </c>
      <c r="E591" s="1" t="s">
        <v>1279</v>
      </c>
      <c r="F591" s="3"/>
      <c r="G591" s="3"/>
      <c r="H591" s="3"/>
      <c r="I591" s="3"/>
      <c r="J591" s="3"/>
      <c r="K591" s="3"/>
      <c r="L591" s="3"/>
      <c r="M591" s="3"/>
      <c r="N591" s="3"/>
      <c r="O591" s="3"/>
      <c r="P591" s="3"/>
      <c r="Q591" s="3"/>
      <c r="R591" s="3"/>
      <c r="S591" s="3"/>
      <c r="T591" s="3"/>
      <c r="U591" s="3">
        <v>18.577611386569487</v>
      </c>
      <c r="V591" s="3">
        <v>18.001366556103278</v>
      </c>
      <c r="W591" s="3">
        <v>16.184760370602479</v>
      </c>
      <c r="X591" s="3">
        <v>16.532280107523192</v>
      </c>
      <c r="Y591" s="3">
        <v>17.273115356020632</v>
      </c>
      <c r="Z591" s="3">
        <v>14.93653582961551</v>
      </c>
      <c r="AA591" s="3">
        <v>15.376249611098055</v>
      </c>
      <c r="AB591" s="3">
        <v>14.060659421141622</v>
      </c>
      <c r="AC591" s="3">
        <v>14.885453912693682</v>
      </c>
      <c r="AD591" s="3">
        <v>16.122507660781164</v>
      </c>
      <c r="AE591" t="s">
        <v>5791</v>
      </c>
      <c r="AF591" t="s">
        <v>718</v>
      </c>
    </row>
    <row r="592" spans="1:32" x14ac:dyDescent="0.3">
      <c r="A592" t="s">
        <v>1826</v>
      </c>
      <c r="B592" s="1" t="s">
        <v>1205</v>
      </c>
      <c r="C592" s="5" t="s">
        <v>2658</v>
      </c>
      <c r="D592" s="2" t="s">
        <v>4175</v>
      </c>
      <c r="E592" s="1" t="s">
        <v>61</v>
      </c>
      <c r="F592" s="3"/>
      <c r="G592" s="3"/>
      <c r="H592" s="3"/>
      <c r="I592" s="3"/>
      <c r="J592" s="3"/>
      <c r="K592" s="3"/>
      <c r="L592" s="3"/>
      <c r="M592" s="3"/>
      <c r="N592" s="3"/>
      <c r="O592" s="3"/>
      <c r="P592" s="3"/>
      <c r="Q592" s="3"/>
      <c r="R592" s="3"/>
      <c r="S592" s="3"/>
      <c r="T592" s="3"/>
      <c r="U592" s="3">
        <v>5032000000000</v>
      </c>
      <c r="V592" s="3">
        <v>5164000000000</v>
      </c>
      <c r="W592" s="3">
        <v>4935000000000</v>
      </c>
      <c r="X592" s="3">
        <v>5374000000000</v>
      </c>
      <c r="Y592" s="3">
        <v>6111056000000</v>
      </c>
      <c r="Z592" s="3">
        <v>5418669000000</v>
      </c>
      <c r="AA592" s="3">
        <v>6206909000000</v>
      </c>
      <c r="AB592" s="3">
        <v>6220267000000</v>
      </c>
      <c r="AC592" s="3">
        <v>7188766901900</v>
      </c>
      <c r="AD592" s="3">
        <v>8459828071400</v>
      </c>
      <c r="AE592" t="s">
        <v>5792</v>
      </c>
      <c r="AF592" t="s">
        <v>718</v>
      </c>
    </row>
    <row r="593" spans="1:32" ht="28.8" x14ac:dyDescent="0.3">
      <c r="A593" t="s">
        <v>1826</v>
      </c>
      <c r="B593" s="1" t="s">
        <v>1205</v>
      </c>
      <c r="C593" s="5" t="s">
        <v>2659</v>
      </c>
      <c r="D593" s="2" t="s">
        <v>4176</v>
      </c>
      <c r="E593" s="1" t="s">
        <v>1072</v>
      </c>
      <c r="F593" s="3">
        <v>57.82282</v>
      </c>
      <c r="G593" s="3">
        <v>57.838679999999997</v>
      </c>
      <c r="H593" s="3">
        <v>60.653289999999998</v>
      </c>
      <c r="I593" s="3">
        <v>65.531009999999995</v>
      </c>
      <c r="J593" s="3"/>
      <c r="K593" s="3"/>
      <c r="L593" s="3">
        <v>56.374600000000001</v>
      </c>
      <c r="M593" s="3">
        <v>58.38297</v>
      </c>
      <c r="N593" s="3">
        <v>66.156350000000003</v>
      </c>
      <c r="O593" s="3">
        <v>64.279110000000003</v>
      </c>
      <c r="P593" s="3"/>
      <c r="Q593" s="3">
        <v>69.951849999999993</v>
      </c>
      <c r="R593" s="3">
        <v>77.602270000000004</v>
      </c>
      <c r="S593" s="3">
        <v>78.585279999999997</v>
      </c>
      <c r="T593" s="3">
        <v>92.345330000000004</v>
      </c>
      <c r="U593" s="3">
        <v>94.126559999999998</v>
      </c>
      <c r="V593" s="3">
        <v>104.61812</v>
      </c>
      <c r="W593" s="3">
        <v>99.769850000000005</v>
      </c>
      <c r="X593" s="3">
        <v>98.954229999999995</v>
      </c>
      <c r="Y593" s="3"/>
      <c r="Z593" s="3"/>
      <c r="AA593" s="3"/>
      <c r="AB593" s="3"/>
      <c r="AC593" s="3"/>
      <c r="AD593" s="3"/>
      <c r="AE593" t="s">
        <v>5793</v>
      </c>
      <c r="AF593" t="s">
        <v>1262</v>
      </c>
    </row>
    <row r="594" spans="1:32" ht="28.8" x14ac:dyDescent="0.3">
      <c r="A594" t="s">
        <v>1826</v>
      </c>
      <c r="B594" s="1" t="s">
        <v>1205</v>
      </c>
      <c r="C594" s="5" t="s">
        <v>2660</v>
      </c>
      <c r="D594" s="2" t="s">
        <v>4177</v>
      </c>
      <c r="E594" s="1" t="s">
        <v>1831</v>
      </c>
      <c r="F594" s="3">
        <v>73.235029999999995</v>
      </c>
      <c r="G594" s="3">
        <v>70.558750000000003</v>
      </c>
      <c r="H594" s="3">
        <v>68.436189999999996</v>
      </c>
      <c r="I594" s="3">
        <v>71.963849999999994</v>
      </c>
      <c r="J594" s="3"/>
      <c r="K594" s="3"/>
      <c r="L594" s="3">
        <v>67.767650000000003</v>
      </c>
      <c r="M594" s="3">
        <v>69.356890000000007</v>
      </c>
      <c r="N594" s="3">
        <v>78.753680000000003</v>
      </c>
      <c r="O594" s="3">
        <v>74.542400000000001</v>
      </c>
      <c r="P594" s="3"/>
      <c r="Q594" s="3">
        <v>79.808009999999996</v>
      </c>
      <c r="R594" s="3">
        <v>87.234989999999996</v>
      </c>
      <c r="S594" s="3">
        <v>86.514110000000002</v>
      </c>
      <c r="T594" s="3">
        <v>100.99236000000001</v>
      </c>
      <c r="U594" s="3">
        <v>102.43980000000001</v>
      </c>
      <c r="V594" s="3">
        <v>111.53037999999999</v>
      </c>
      <c r="W594" s="3">
        <v>105.52515</v>
      </c>
      <c r="X594" s="3">
        <v>105.20904</v>
      </c>
      <c r="Y594" s="3"/>
      <c r="Z594" s="3"/>
      <c r="AA594" s="3"/>
      <c r="AB594" s="3"/>
      <c r="AC594" s="3"/>
      <c r="AD594" s="3"/>
      <c r="AE594" t="s">
        <v>5793</v>
      </c>
      <c r="AF594" t="s">
        <v>1262</v>
      </c>
    </row>
    <row r="595" spans="1:32" ht="28.8" x14ac:dyDescent="0.3">
      <c r="A595" t="s">
        <v>1826</v>
      </c>
      <c r="B595" s="1" t="s">
        <v>1205</v>
      </c>
      <c r="C595" s="5" t="s">
        <v>2661</v>
      </c>
      <c r="D595" s="2" t="s">
        <v>4178</v>
      </c>
      <c r="E595" s="1" t="s">
        <v>1136</v>
      </c>
      <c r="F595" s="3">
        <v>65.543360000000007</v>
      </c>
      <c r="G595" s="3">
        <v>64.207329999999999</v>
      </c>
      <c r="H595" s="3">
        <v>64.550079999999994</v>
      </c>
      <c r="I595" s="3">
        <v>68.750889999999998</v>
      </c>
      <c r="J595" s="3"/>
      <c r="K595" s="3"/>
      <c r="L595" s="3">
        <v>62.070430000000002</v>
      </c>
      <c r="M595" s="3">
        <v>63.869810000000001</v>
      </c>
      <c r="N595" s="3">
        <v>72.45711</v>
      </c>
      <c r="O595" s="3">
        <v>69.414929999999998</v>
      </c>
      <c r="P595" s="3"/>
      <c r="Q595" s="3">
        <v>74.887749999999997</v>
      </c>
      <c r="R595" s="3">
        <v>82.42944</v>
      </c>
      <c r="S595" s="3">
        <v>82.561009999999996</v>
      </c>
      <c r="T595" s="3">
        <v>96.683430000000001</v>
      </c>
      <c r="U595" s="3">
        <v>98.298779999999994</v>
      </c>
      <c r="V595" s="3">
        <v>108.08795000000001</v>
      </c>
      <c r="W595" s="3">
        <v>102.66033</v>
      </c>
      <c r="X595" s="3">
        <v>102.0966</v>
      </c>
      <c r="Y595" s="3"/>
      <c r="Z595" s="3"/>
      <c r="AA595" s="3"/>
      <c r="AB595" s="3"/>
      <c r="AC595" s="3"/>
      <c r="AD595" s="3"/>
      <c r="AE595" t="s">
        <v>5793</v>
      </c>
      <c r="AF595" t="s">
        <v>1262</v>
      </c>
    </row>
    <row r="596" spans="1:32" x14ac:dyDescent="0.3">
      <c r="A596" t="s">
        <v>1826</v>
      </c>
      <c r="B596" s="1" t="s">
        <v>1205</v>
      </c>
      <c r="C596" s="5" t="s">
        <v>2662</v>
      </c>
      <c r="D596" s="2" t="s">
        <v>4179</v>
      </c>
      <c r="E596" s="1" t="s">
        <v>293</v>
      </c>
      <c r="F596" s="3">
        <v>99.383874504942753</v>
      </c>
      <c r="G596" s="3">
        <v>98.174475459808633</v>
      </c>
      <c r="H596" s="3">
        <v>93.179625351628445</v>
      </c>
      <c r="I596" s="3">
        <v>95.778033870624739</v>
      </c>
      <c r="J596" s="3">
        <v>97.835718572707904</v>
      </c>
      <c r="K596" s="3">
        <v>99.062975593752341</v>
      </c>
      <c r="L596" s="3">
        <v>98.008516593095877</v>
      </c>
      <c r="M596" s="3">
        <v>100.44903689579714</v>
      </c>
      <c r="N596" s="3">
        <v>99.913283152885256</v>
      </c>
      <c r="O596" s="3">
        <v>95.847421136670405</v>
      </c>
      <c r="P596" s="3">
        <v>100.47379090132821</v>
      </c>
      <c r="Q596" s="3">
        <v>94.153150356051114</v>
      </c>
      <c r="R596" s="3">
        <v>100.33610851866361</v>
      </c>
      <c r="S596" s="3">
        <v>100.03187393569837</v>
      </c>
      <c r="T596" s="3">
        <v>97.366500031512473</v>
      </c>
      <c r="U596" s="3">
        <v>98.005022231294433</v>
      </c>
      <c r="V596" s="3">
        <v>97.682860889838508</v>
      </c>
      <c r="W596" s="3">
        <v>97.666091962825092</v>
      </c>
      <c r="X596" s="3">
        <v>100.64910887657004</v>
      </c>
      <c r="Y596" s="3">
        <v>99.339591338964524</v>
      </c>
      <c r="Z596" s="3">
        <v>99.955694850453241</v>
      </c>
      <c r="AA596" s="3">
        <v>100.52149710236311</v>
      </c>
      <c r="AB596" s="3">
        <v>104.33167038888939</v>
      </c>
      <c r="AC596" s="3">
        <v>103.50107361591492</v>
      </c>
      <c r="AD596" s="3">
        <v>99.470710490717451</v>
      </c>
      <c r="AE596" t="s">
        <v>5794</v>
      </c>
      <c r="AF596" t="s">
        <v>718</v>
      </c>
    </row>
    <row r="597" spans="1:32" x14ac:dyDescent="0.3">
      <c r="A597" t="s">
        <v>1826</v>
      </c>
      <c r="B597" s="1" t="s">
        <v>1205</v>
      </c>
      <c r="C597" s="5" t="s">
        <v>2663</v>
      </c>
      <c r="D597" s="2" t="s">
        <v>4180</v>
      </c>
      <c r="E597" s="1" t="s">
        <v>1301</v>
      </c>
      <c r="F597" s="3"/>
      <c r="G597" s="3"/>
      <c r="H597" s="3"/>
      <c r="I597" s="3"/>
      <c r="J597" s="3"/>
      <c r="K597" s="3"/>
      <c r="L597" s="3"/>
      <c r="M597" s="3"/>
      <c r="N597" s="3">
        <v>29208274638.578239</v>
      </c>
      <c r="O597" s="3">
        <v>28482764481.667953</v>
      </c>
      <c r="P597" s="3">
        <v>31706599627.441654</v>
      </c>
      <c r="Q597" s="3">
        <v>26103013818.24749</v>
      </c>
      <c r="R597" s="3">
        <v>33790489135.50975</v>
      </c>
      <c r="S597" s="3">
        <v>36635883582.890945</v>
      </c>
      <c r="T597" s="3">
        <v>40982175550.719124</v>
      </c>
      <c r="U597" s="3">
        <v>44901006001.406967</v>
      </c>
      <c r="V597" s="3">
        <v>48297065900.774414</v>
      </c>
      <c r="W597" s="3">
        <v>50488657415.410263</v>
      </c>
      <c r="X597" s="3">
        <v>54128181266.703407</v>
      </c>
      <c r="Y597" s="3">
        <v>56954835427.438011</v>
      </c>
      <c r="Z597" s="3">
        <v>58857826058.195419</v>
      </c>
      <c r="AA597" s="3">
        <v>62805756370.096176</v>
      </c>
      <c r="AB597" s="3">
        <v>68282975438.888718</v>
      </c>
      <c r="AC597" s="3">
        <v>73265741982.89061</v>
      </c>
      <c r="AD597" s="3">
        <v>78372502325.63681</v>
      </c>
      <c r="AE597" t="s">
        <v>5795</v>
      </c>
      <c r="AF597" t="s">
        <v>718</v>
      </c>
    </row>
    <row r="598" spans="1:32" x14ac:dyDescent="0.3">
      <c r="A598" t="s">
        <v>1826</v>
      </c>
      <c r="B598" s="1" t="s">
        <v>1205</v>
      </c>
      <c r="C598" s="5" t="s">
        <v>2664</v>
      </c>
      <c r="D598" s="2" t="s">
        <v>4181</v>
      </c>
      <c r="E598" s="1" t="s">
        <v>1223</v>
      </c>
      <c r="F598" s="3"/>
      <c r="G598" s="3"/>
      <c r="H598" s="3"/>
      <c r="I598" s="3"/>
      <c r="J598" s="3"/>
      <c r="K598" s="3"/>
      <c r="L598" s="3"/>
      <c r="M598" s="3"/>
      <c r="N598" s="3">
        <v>17268418625600</v>
      </c>
      <c r="O598" s="3">
        <v>16839430123400</v>
      </c>
      <c r="P598" s="3">
        <v>18745496519300</v>
      </c>
      <c r="Q598" s="3">
        <v>15432426649500</v>
      </c>
      <c r="R598" s="3">
        <v>19977534910900</v>
      </c>
      <c r="S598" s="3">
        <v>21659826570400</v>
      </c>
      <c r="T598" s="3">
        <v>24229472562300</v>
      </c>
      <c r="U598" s="3">
        <v>26546367000000</v>
      </c>
      <c r="V598" s="3">
        <v>28554207000000</v>
      </c>
      <c r="W598" s="3">
        <v>29849889067800</v>
      </c>
      <c r="X598" s="3">
        <v>32001671246200</v>
      </c>
      <c r="Y598" s="3">
        <v>33672842162900</v>
      </c>
      <c r="Z598" s="3">
        <v>34797966508200</v>
      </c>
      <c r="AA598" s="3">
        <v>37132090548800</v>
      </c>
      <c r="AB598" s="3">
        <v>40370427005700</v>
      </c>
      <c r="AC598" s="3">
        <v>43316395419300</v>
      </c>
      <c r="AD598" s="3">
        <v>46335654287000</v>
      </c>
      <c r="AE598" t="s">
        <v>5796</v>
      </c>
      <c r="AF598" t="s">
        <v>718</v>
      </c>
    </row>
    <row r="599" spans="1:32" x14ac:dyDescent="0.3">
      <c r="A599" t="s">
        <v>1826</v>
      </c>
      <c r="B599" s="1" t="s">
        <v>1205</v>
      </c>
      <c r="C599" s="5" t="s">
        <v>2665</v>
      </c>
      <c r="D599" s="2" t="s">
        <v>4182</v>
      </c>
      <c r="E599" s="1" t="s">
        <v>1097</v>
      </c>
      <c r="F599" s="3">
        <v>11700957293500</v>
      </c>
      <c r="G599" s="3">
        <v>12087239994100</v>
      </c>
      <c r="H599" s="3">
        <v>11670342292000</v>
      </c>
      <c r="I599" s="3">
        <v>11803529389000</v>
      </c>
      <c r="J599" s="3">
        <v>12129692651400</v>
      </c>
      <c r="K599" s="3">
        <v>12554911059600</v>
      </c>
      <c r="L599" s="3">
        <v>12944629805000</v>
      </c>
      <c r="M599" s="3">
        <v>13827361658100</v>
      </c>
      <c r="N599" s="3">
        <v>15185716564100</v>
      </c>
      <c r="O599" s="3">
        <v>15274959477100</v>
      </c>
      <c r="P599" s="3">
        <v>17368185568200</v>
      </c>
      <c r="Q599" s="3">
        <v>16280831696500</v>
      </c>
      <c r="R599" s="3">
        <v>18596666417200</v>
      </c>
      <c r="S599" s="3">
        <v>21125995768700</v>
      </c>
      <c r="T599" s="3">
        <v>23481481597200</v>
      </c>
      <c r="U599" s="3">
        <v>26546000000000</v>
      </c>
      <c r="V599" s="3">
        <v>28022000000000</v>
      </c>
      <c r="W599" s="3">
        <v>29780000000000</v>
      </c>
      <c r="X599" s="3">
        <v>32717103000000</v>
      </c>
      <c r="Y599" s="3">
        <v>35145357000000</v>
      </c>
      <c r="Z599" s="3">
        <v>36261877000000</v>
      </c>
      <c r="AA599" s="3">
        <v>40577371000000</v>
      </c>
      <c r="AB599" s="3">
        <v>46155079000000</v>
      </c>
      <c r="AC599" s="3">
        <v>49984709682700</v>
      </c>
      <c r="AD599" s="3">
        <v>52194430705000</v>
      </c>
      <c r="AE599" t="s">
        <v>5797</v>
      </c>
      <c r="AF599" t="s">
        <v>718</v>
      </c>
    </row>
    <row r="600" spans="1:32" x14ac:dyDescent="0.3">
      <c r="A600" t="s">
        <v>1826</v>
      </c>
      <c r="B600" s="1" t="s">
        <v>1205</v>
      </c>
      <c r="C600" s="5" t="s">
        <v>2666</v>
      </c>
      <c r="D600" s="2" t="s">
        <v>4183</v>
      </c>
      <c r="E600" s="1" t="s">
        <v>1162</v>
      </c>
      <c r="F600" s="3">
        <v>16475395479.118929</v>
      </c>
      <c r="G600" s="3">
        <v>16503656564.767469</v>
      </c>
      <c r="H600" s="3">
        <v>16823006737.912466</v>
      </c>
      <c r="I600" s="3">
        <v>20354512470.27953</v>
      </c>
      <c r="J600" s="3">
        <v>23001740658.44733</v>
      </c>
      <c r="K600" s="3">
        <v>23811686908.416092</v>
      </c>
      <c r="L600" s="3">
        <v>24777938113.200325</v>
      </c>
      <c r="M600" s="3">
        <v>28889234372.953224</v>
      </c>
      <c r="N600" s="3">
        <v>34048688717.721439</v>
      </c>
      <c r="O600" s="3">
        <v>32479636605.719658</v>
      </c>
      <c r="P600" s="3">
        <v>35101833028.532578</v>
      </c>
      <c r="Q600" s="3">
        <v>34548284702.054489</v>
      </c>
      <c r="R600" s="3">
        <v>36424318009.73941</v>
      </c>
      <c r="S600" s="3">
        <v>42773864854.572151</v>
      </c>
      <c r="T600" s="3">
        <v>47556725076.26368</v>
      </c>
      <c r="U600" s="3">
        <v>44901006001.406967</v>
      </c>
      <c r="V600" s="3">
        <v>47286085873.486038</v>
      </c>
      <c r="W600" s="3">
        <v>51286754179.642281</v>
      </c>
      <c r="X600" s="3">
        <v>58902352384.79097</v>
      </c>
      <c r="Y600" s="3">
        <v>59984120830.990417</v>
      </c>
      <c r="Z600" s="3">
        <v>62999928220.978897</v>
      </c>
      <c r="AA600" s="3">
        <v>73174258570.236771</v>
      </c>
      <c r="AB600" s="3">
        <v>73994967825.872345</v>
      </c>
      <c r="AC600" s="3">
        <v>82405543087.219437</v>
      </c>
      <c r="AD600" s="3">
        <v>86080375176.99826</v>
      </c>
      <c r="AE600" t="s">
        <v>5798</v>
      </c>
      <c r="AF600" t="s">
        <v>718</v>
      </c>
    </row>
    <row r="601" spans="1:32" x14ac:dyDescent="0.3">
      <c r="A601" t="s">
        <v>1826</v>
      </c>
      <c r="B601" s="1" t="s">
        <v>1205</v>
      </c>
      <c r="C601" s="5" t="s">
        <v>2667</v>
      </c>
      <c r="D601" s="2" t="s">
        <v>4184</v>
      </c>
      <c r="E601" s="1" t="s">
        <v>1015</v>
      </c>
      <c r="F601" s="3"/>
      <c r="G601" s="3"/>
      <c r="H601" s="3"/>
      <c r="I601" s="3"/>
      <c r="J601" s="3"/>
      <c r="K601" s="3"/>
      <c r="L601" s="3"/>
      <c r="M601" s="3"/>
      <c r="N601" s="3">
        <v>87.939242691207141</v>
      </c>
      <c r="O601" s="3">
        <v>90.709479864606465</v>
      </c>
      <c r="P601" s="3">
        <v>92.652576848620953</v>
      </c>
      <c r="Q601" s="3">
        <v>105.49754789877773</v>
      </c>
      <c r="R601" s="3">
        <v>93.087893477054664</v>
      </c>
      <c r="S601" s="3">
        <v>97.535387460444738</v>
      </c>
      <c r="T601" s="3">
        <v>96.912887958346062</v>
      </c>
      <c r="U601" s="3">
        <v>99.998617513274041</v>
      </c>
      <c r="V601" s="3">
        <v>98.136152056332719</v>
      </c>
      <c r="W601" s="3">
        <v>99.765864899392909</v>
      </c>
      <c r="X601" s="3">
        <v>102.23560747279707</v>
      </c>
      <c r="Y601" s="3">
        <v>104.37300430411065</v>
      </c>
      <c r="Z601" s="3">
        <v>104.20688516800267</v>
      </c>
      <c r="AA601" s="3">
        <v>109.27844460217536</v>
      </c>
      <c r="AB601" s="3">
        <v>114.32893437932488</v>
      </c>
      <c r="AC601" s="3">
        <v>115.39443482970162</v>
      </c>
      <c r="AD601" s="3">
        <v>112.64420780962998</v>
      </c>
      <c r="AE601" t="s">
        <v>5799</v>
      </c>
      <c r="AF601" t="s">
        <v>718</v>
      </c>
    </row>
    <row r="602" spans="1:32" x14ac:dyDescent="0.3">
      <c r="A602" t="s">
        <v>1826</v>
      </c>
      <c r="B602" s="1" t="s">
        <v>1205</v>
      </c>
      <c r="C602" s="5" t="s">
        <v>2668</v>
      </c>
      <c r="D602" s="2" t="s">
        <v>4185</v>
      </c>
      <c r="E602" s="1" t="s">
        <v>1274</v>
      </c>
      <c r="F602" s="3"/>
      <c r="G602" s="3"/>
      <c r="H602" s="3"/>
      <c r="I602" s="3"/>
      <c r="J602" s="3"/>
      <c r="K602" s="3">
        <v>-18.752923441707143</v>
      </c>
      <c r="L602" s="3">
        <v>-18.266880100333776</v>
      </c>
      <c r="M602" s="3">
        <v>-19.902974472659331</v>
      </c>
      <c r="N602" s="3">
        <v>-13.984217195525552</v>
      </c>
      <c r="O602" s="3">
        <v>-12.23455870914176</v>
      </c>
      <c r="P602" s="3">
        <v>-11.367633146447506</v>
      </c>
      <c r="Q602" s="3">
        <v>-12.449028691409813</v>
      </c>
      <c r="R602" s="3">
        <v>-9.9007702899393664</v>
      </c>
      <c r="S602" s="3">
        <v>-8.3145786588153587</v>
      </c>
      <c r="T602" s="3">
        <v>22.78909981816561</v>
      </c>
      <c r="U602" s="3">
        <v>22.432471019808627</v>
      </c>
      <c r="V602" s="3">
        <v>22.431467567774398</v>
      </c>
      <c r="W602" s="3">
        <v>19.237442699592357</v>
      </c>
      <c r="X602" s="3">
        <v>17.868642009291978</v>
      </c>
      <c r="Y602" s="3">
        <v>18.909384052917424</v>
      </c>
      <c r="Z602" s="3">
        <v>17.747871816506173</v>
      </c>
      <c r="AA602" s="3">
        <v>19.050997550804802</v>
      </c>
      <c r="AB602" s="3">
        <v>19.40842933099184</v>
      </c>
      <c r="AC602" s="3"/>
      <c r="AD602" s="3"/>
      <c r="AE602" t="s">
        <v>5800</v>
      </c>
      <c r="AF602" t="s">
        <v>718</v>
      </c>
    </row>
    <row r="603" spans="1:32" x14ac:dyDescent="0.3">
      <c r="A603" t="s">
        <v>1826</v>
      </c>
      <c r="B603" s="1" t="s">
        <v>1205</v>
      </c>
      <c r="C603" s="5" t="s">
        <v>2669</v>
      </c>
      <c r="D603" s="2" t="s">
        <v>4186</v>
      </c>
      <c r="E603" s="1" t="s">
        <v>790</v>
      </c>
      <c r="F603" s="3"/>
      <c r="G603" s="3"/>
      <c r="H603" s="3"/>
      <c r="I603" s="3"/>
      <c r="J603" s="3"/>
      <c r="K603" s="3">
        <v>-27.419659419747834</v>
      </c>
      <c r="L603" s="3">
        <v>-26.996366294231372</v>
      </c>
      <c r="M603" s="3">
        <v>-29.262566892509913</v>
      </c>
      <c r="N603" s="3">
        <v>-20.347019826530598</v>
      </c>
      <c r="O603" s="3">
        <v>-17.689752712731892</v>
      </c>
      <c r="P603" s="3">
        <v>-16.550670774951527</v>
      </c>
      <c r="Q603" s="3">
        <v>-18.701982296670966</v>
      </c>
      <c r="R603" s="3">
        <v>-13.862979865620932</v>
      </c>
      <c r="S603" s="3">
        <v>-11.90596500967273</v>
      </c>
      <c r="T603" s="3">
        <v>23.221433863835767</v>
      </c>
      <c r="U603" s="3">
        <v>22.936740556756831</v>
      </c>
      <c r="V603" s="3">
        <v>22.941517464709353</v>
      </c>
      <c r="W603" s="3">
        <v>19.818318141464225</v>
      </c>
      <c r="X603" s="3">
        <v>18.380287148713247</v>
      </c>
      <c r="Y603" s="3">
        <v>19.451353169388863</v>
      </c>
      <c r="Z603" s="3">
        <v>18.283488509304579</v>
      </c>
      <c r="AA603" s="3">
        <v>19.655109307884853</v>
      </c>
      <c r="AB603" s="3">
        <v>20.058629487531348</v>
      </c>
      <c r="AC603" s="3"/>
      <c r="AD603" s="3"/>
      <c r="AE603" t="s">
        <v>5801</v>
      </c>
      <c r="AF603" t="s">
        <v>718</v>
      </c>
    </row>
    <row r="604" spans="1:32" x14ac:dyDescent="0.3">
      <c r="A604" t="s">
        <v>1826</v>
      </c>
      <c r="B604" s="1" t="s">
        <v>1205</v>
      </c>
      <c r="C604" s="5" t="s">
        <v>2670</v>
      </c>
      <c r="D604" s="2" t="s">
        <v>4187</v>
      </c>
      <c r="E604" s="1" t="s">
        <v>1532</v>
      </c>
      <c r="F604" s="3"/>
      <c r="G604" s="3"/>
      <c r="H604" s="3"/>
      <c r="I604" s="3"/>
      <c r="J604" s="3"/>
      <c r="K604" s="3">
        <v>-2376682958562.0664</v>
      </c>
      <c r="L604" s="3">
        <v>-2412627073755.7422</v>
      </c>
      <c r="M604" s="3">
        <v>-2739753755836.2349</v>
      </c>
      <c r="N604" s="3">
        <v>-2125446707392.3992</v>
      </c>
      <c r="O604" s="3">
        <v>-1949790472044.7576</v>
      </c>
      <c r="P604" s="3">
        <v>-1965041432074.7158</v>
      </c>
      <c r="Q604" s="3">
        <v>-2152668712021.666</v>
      </c>
      <c r="R604" s="3">
        <v>-1835045479375.7358</v>
      </c>
      <c r="S604" s="3">
        <v>-1755977836400.1143</v>
      </c>
      <c r="T604" s="3">
        <v>5495954232963.2725</v>
      </c>
      <c r="U604" s="3">
        <v>6076141427594.0078</v>
      </c>
      <c r="V604" s="3">
        <v>6434850274226.1699</v>
      </c>
      <c r="W604" s="3">
        <v>5865813119786.9717</v>
      </c>
      <c r="X604" s="3">
        <v>5808399176241.7197</v>
      </c>
      <c r="Y604" s="3">
        <v>6689951551363.1768</v>
      </c>
      <c r="Z604" s="3">
        <v>6438564063656.2012</v>
      </c>
      <c r="AA604" s="3">
        <v>7690289319426.8281</v>
      </c>
      <c r="AB604" s="3">
        <v>8586056234878.8184</v>
      </c>
      <c r="AC604" s="3"/>
      <c r="AD604" s="3"/>
      <c r="AE604" t="s">
        <v>5802</v>
      </c>
      <c r="AF604" t="s">
        <v>718</v>
      </c>
    </row>
    <row r="605" spans="1:32" x14ac:dyDescent="0.3">
      <c r="A605" t="s">
        <v>1826</v>
      </c>
      <c r="B605" s="1" t="s">
        <v>1205</v>
      </c>
      <c r="C605" s="5" t="s">
        <v>2671</v>
      </c>
      <c r="D605" s="2" t="s">
        <v>4188</v>
      </c>
      <c r="E605" s="1" t="s">
        <v>139</v>
      </c>
      <c r="F605" s="3"/>
      <c r="G605" s="3"/>
      <c r="H605" s="3"/>
      <c r="I605" s="3"/>
      <c r="J605" s="3"/>
      <c r="K605" s="3">
        <v>-4507624962.1517458</v>
      </c>
      <c r="L605" s="3">
        <v>-4618125448.4899015</v>
      </c>
      <c r="M605" s="3">
        <v>-5724113560.7505093</v>
      </c>
      <c r="N605" s="3">
        <v>-4765575139.0220146</v>
      </c>
      <c r="O605" s="3">
        <v>-4145902061.7533865</v>
      </c>
      <c r="P605" s="3">
        <v>-3971431326.0866308</v>
      </c>
      <c r="Q605" s="3">
        <v>-4568010585.6089354</v>
      </c>
      <c r="R605" s="3">
        <v>-3594207617.8392987</v>
      </c>
      <c r="S605" s="3">
        <v>-3555333414.0625186</v>
      </c>
      <c r="T605" s="3">
        <v>11130881303.500389</v>
      </c>
      <c r="U605" s="3">
        <v>10277437757.31922</v>
      </c>
      <c r="V605" s="3">
        <v>10858571217.26086</v>
      </c>
      <c r="W605" s="3">
        <v>10102032086.576057</v>
      </c>
      <c r="X605" s="3">
        <v>10457172050.670849</v>
      </c>
      <c r="Y605" s="3">
        <v>11418033460.591696</v>
      </c>
      <c r="Z605" s="3">
        <v>11186102524.602211</v>
      </c>
      <c r="AA605" s="3">
        <v>13868104445.20097</v>
      </c>
      <c r="AB605" s="3">
        <v>13765006335.510527</v>
      </c>
      <c r="AC605" s="3"/>
      <c r="AD605" s="3"/>
      <c r="AE605" t="s">
        <v>5803</v>
      </c>
      <c r="AF605" t="s">
        <v>718</v>
      </c>
    </row>
    <row r="606" spans="1:32" x14ac:dyDescent="0.3">
      <c r="A606" t="s">
        <v>1826</v>
      </c>
      <c r="B606" s="1" t="s">
        <v>1205</v>
      </c>
      <c r="C606" s="5" t="s">
        <v>2672</v>
      </c>
      <c r="D606" s="2" t="s">
        <v>4189</v>
      </c>
      <c r="E606" s="1" t="s">
        <v>911</v>
      </c>
      <c r="F606" s="3"/>
      <c r="G606" s="3"/>
      <c r="H606" s="3"/>
      <c r="I606" s="3"/>
      <c r="J606" s="3"/>
      <c r="K606" s="3"/>
      <c r="L606" s="3"/>
      <c r="M606" s="3"/>
      <c r="N606" s="3">
        <v>30488939405.424282</v>
      </c>
      <c r="O606" s="3">
        <v>31410797526.032715</v>
      </c>
      <c r="P606" s="3">
        <v>31882717378.166626</v>
      </c>
      <c r="Q606" s="3">
        <v>30574495640.307846</v>
      </c>
      <c r="R606" s="3">
        <v>33083681694.67445</v>
      </c>
      <c r="S606" s="3">
        <v>36430942939.833374</v>
      </c>
      <c r="T606" s="3">
        <v>39653623084.602768</v>
      </c>
      <c r="U606" s="3">
        <v>42432122173.604218</v>
      </c>
      <c r="V606" s="3">
        <v>45549178223.466072</v>
      </c>
      <c r="W606" s="3">
        <v>48754194740.578354</v>
      </c>
      <c r="X606" s="3">
        <v>51484491788.421951</v>
      </c>
      <c r="Y606" s="3">
        <v>55093773986.691315</v>
      </c>
      <c r="Z606" s="3">
        <v>55271381267.560783</v>
      </c>
      <c r="AA606" s="3">
        <v>58637887684.01535</v>
      </c>
      <c r="AB606" s="3">
        <v>62235701639.482788</v>
      </c>
      <c r="AC606" s="3">
        <v>66195096696.648926</v>
      </c>
      <c r="AD606" s="3">
        <v>70133705915.440125</v>
      </c>
      <c r="AE606" t="s">
        <v>5804</v>
      </c>
      <c r="AF606" t="s">
        <v>718</v>
      </c>
    </row>
    <row r="607" spans="1:32" x14ac:dyDescent="0.3">
      <c r="A607" t="s">
        <v>1826</v>
      </c>
      <c r="B607" s="1" t="s">
        <v>1205</v>
      </c>
      <c r="C607" s="5" t="s">
        <v>2673</v>
      </c>
      <c r="D607" s="2" t="s">
        <v>4190</v>
      </c>
      <c r="E607" s="1" t="s">
        <v>832</v>
      </c>
      <c r="F607" s="3"/>
      <c r="G607" s="3"/>
      <c r="H607" s="3"/>
      <c r="I607" s="3"/>
      <c r="J607" s="3"/>
      <c r="K607" s="3"/>
      <c r="L607" s="3"/>
      <c r="M607" s="3"/>
      <c r="N607" s="3">
        <v>18025417636100</v>
      </c>
      <c r="O607" s="3">
        <v>18570430940900</v>
      </c>
      <c r="P607" s="3">
        <v>18849435478000</v>
      </c>
      <c r="Q607" s="3">
        <v>18075999483000</v>
      </c>
      <c r="R607" s="3">
        <v>19559459630800</v>
      </c>
      <c r="S607" s="3">
        <v>21538399635200</v>
      </c>
      <c r="T607" s="3">
        <v>23443685835700</v>
      </c>
      <c r="U607" s="3">
        <v>25086367000000</v>
      </c>
      <c r="V607" s="3">
        <v>26929207000000</v>
      </c>
      <c r="W607" s="3">
        <v>28824050257200</v>
      </c>
      <c r="X607" s="3">
        <v>30438233810900</v>
      </c>
      <c r="Y607" s="3">
        <v>32572083667900</v>
      </c>
      <c r="Z607" s="3">
        <v>32677087170000</v>
      </c>
      <c r="AA607" s="3">
        <v>34667405144800</v>
      </c>
      <c r="AB607" s="3">
        <v>36794474842500</v>
      </c>
      <c r="AC607" s="3">
        <v>39135315517300</v>
      </c>
      <c r="AD607" s="3">
        <v>41463867361300</v>
      </c>
      <c r="AE607" t="s">
        <v>5805</v>
      </c>
      <c r="AF607" t="s">
        <v>718</v>
      </c>
    </row>
    <row r="608" spans="1:32" x14ac:dyDescent="0.3">
      <c r="A608" t="s">
        <v>1826</v>
      </c>
      <c r="B608" s="1" t="s">
        <v>1205</v>
      </c>
      <c r="C608" s="5" t="s">
        <v>2674</v>
      </c>
      <c r="D608" s="2" t="s">
        <v>4191</v>
      </c>
      <c r="E608" s="1" t="s">
        <v>662</v>
      </c>
      <c r="F608" s="3"/>
      <c r="G608" s="3"/>
      <c r="H608" s="3"/>
      <c r="I608" s="3"/>
      <c r="J608" s="3"/>
      <c r="K608" s="3"/>
      <c r="L608" s="3"/>
      <c r="M608" s="3"/>
      <c r="N608" s="3"/>
      <c r="O608" s="3"/>
      <c r="P608" s="3"/>
      <c r="Q608" s="3"/>
      <c r="R608" s="3"/>
      <c r="S608" s="3"/>
      <c r="T608" s="3"/>
      <c r="U608" s="3">
        <v>25086367000000</v>
      </c>
      <c r="V608" s="3">
        <v>26606711000000</v>
      </c>
      <c r="W608" s="3">
        <v>28204647000000</v>
      </c>
      <c r="X608" s="3">
        <v>30095103000000</v>
      </c>
      <c r="Y608" s="3">
        <v>32664628000000</v>
      </c>
      <c r="Z608" s="3">
        <v>33814108000000</v>
      </c>
      <c r="AA608" s="3">
        <v>37292366000000</v>
      </c>
      <c r="AB608" s="3">
        <v>40962666000000</v>
      </c>
      <c r="AC608" s="3">
        <v>43862909000400</v>
      </c>
      <c r="AD608" s="3">
        <v>47657808150000</v>
      </c>
      <c r="AE608" t="s">
        <v>5806</v>
      </c>
      <c r="AF608" t="s">
        <v>718</v>
      </c>
    </row>
    <row r="609" spans="1:32" x14ac:dyDescent="0.3">
      <c r="A609" t="s">
        <v>1826</v>
      </c>
      <c r="B609" s="1" t="s">
        <v>1205</v>
      </c>
      <c r="C609" s="5" t="s">
        <v>2675</v>
      </c>
      <c r="D609" s="2" t="s">
        <v>4192</v>
      </c>
      <c r="E609" s="1" t="s">
        <v>744</v>
      </c>
      <c r="F609" s="3"/>
      <c r="G609" s="3"/>
      <c r="H609" s="3"/>
      <c r="I609" s="3"/>
      <c r="J609" s="3"/>
      <c r="K609" s="3"/>
      <c r="L609" s="3"/>
      <c r="M609" s="3"/>
      <c r="N609" s="3"/>
      <c r="O609" s="3"/>
      <c r="P609" s="3"/>
      <c r="Q609" s="3"/>
      <c r="R609" s="3"/>
      <c r="S609" s="3"/>
      <c r="T609" s="3"/>
      <c r="U609" s="3">
        <v>42432122173.604218</v>
      </c>
      <c r="V609" s="3">
        <v>44897838168.475677</v>
      </c>
      <c r="W609" s="3">
        <v>48573700383.229851</v>
      </c>
      <c r="X609" s="3">
        <v>54181825388.469757</v>
      </c>
      <c r="Y609" s="3">
        <v>55750151943.295181</v>
      </c>
      <c r="Z609" s="3">
        <v>58747272703.407722</v>
      </c>
      <c r="AA609" s="3">
        <v>67250321179.750809</v>
      </c>
      <c r="AB609" s="3">
        <v>65670587471.68335</v>
      </c>
      <c r="AC609" s="3">
        <v>72313050541.019012</v>
      </c>
      <c r="AD609" s="3">
        <v>78598462522.791977</v>
      </c>
      <c r="AE609" t="s">
        <v>5807</v>
      </c>
      <c r="AF609" t="s">
        <v>718</v>
      </c>
    </row>
    <row r="610" spans="1:32" x14ac:dyDescent="0.3">
      <c r="A610" t="s">
        <v>1826</v>
      </c>
      <c r="B610" s="1" t="s">
        <v>1205</v>
      </c>
      <c r="C610" s="5" t="s">
        <v>2676</v>
      </c>
      <c r="D610" s="2" t="s">
        <v>4193</v>
      </c>
      <c r="E610" s="1" t="s">
        <v>166</v>
      </c>
      <c r="F610" s="3"/>
      <c r="G610" s="3"/>
      <c r="H610" s="3"/>
      <c r="I610" s="3"/>
      <c r="J610" s="3"/>
      <c r="K610" s="3"/>
      <c r="L610" s="3"/>
      <c r="M610" s="3"/>
      <c r="N610" s="3">
        <v>15.377775419818793</v>
      </c>
      <c r="O610" s="3">
        <v>12.474066589121005</v>
      </c>
      <c r="P610" s="3">
        <v>4.2478401281734106</v>
      </c>
      <c r="Q610" s="3">
        <v>16.693008915237129</v>
      </c>
      <c r="R610" s="3">
        <v>8.9704996261503194</v>
      </c>
      <c r="S610" s="3">
        <v>4.3592965954035421</v>
      </c>
      <c r="T610" s="3">
        <v>11.388678878902629</v>
      </c>
      <c r="U610" s="3">
        <v>7.2097220855325963</v>
      </c>
      <c r="V610" s="3">
        <v>8.5936722309839144</v>
      </c>
      <c r="W610" s="3">
        <v>7.015540667963668</v>
      </c>
      <c r="X610" s="3">
        <v>6.5599928007384349</v>
      </c>
      <c r="Y610" s="3">
        <v>11.231518850764854</v>
      </c>
      <c r="Z610" s="3">
        <v>5.1129402494714746</v>
      </c>
      <c r="AA610" s="3">
        <v>3.8633664537050194</v>
      </c>
      <c r="AB610" s="3">
        <v>3.5565703287241588</v>
      </c>
      <c r="AC610" s="3">
        <v>4.4131072601177257</v>
      </c>
      <c r="AD610" s="3"/>
      <c r="AE610" t="s">
        <v>5808</v>
      </c>
      <c r="AF610" t="s">
        <v>961</v>
      </c>
    </row>
    <row r="611" spans="1:32" x14ac:dyDescent="0.3">
      <c r="A611" t="s">
        <v>1826</v>
      </c>
      <c r="B611" s="1" t="s">
        <v>1205</v>
      </c>
      <c r="C611" s="5" t="s">
        <v>2677</v>
      </c>
      <c r="D611" s="2" t="s">
        <v>4194</v>
      </c>
      <c r="E611" s="1" t="s">
        <v>111</v>
      </c>
      <c r="F611" s="3"/>
      <c r="G611" s="3"/>
      <c r="H611" s="3"/>
      <c r="I611" s="3"/>
      <c r="J611" s="3"/>
      <c r="K611" s="3"/>
      <c r="L611" s="3"/>
      <c r="M611" s="3"/>
      <c r="N611" s="3">
        <v>186084319</v>
      </c>
      <c r="O611" s="3">
        <v>197108462</v>
      </c>
      <c r="P611" s="3">
        <v>70492080</v>
      </c>
      <c r="Q611" s="3">
        <v>176346416</v>
      </c>
      <c r="R611" s="3">
        <v>96850645</v>
      </c>
      <c r="S611" s="3">
        <v>165475569</v>
      </c>
      <c r="T611" s="3">
        <v>241143808</v>
      </c>
      <c r="U611" s="3">
        <v>187852042</v>
      </c>
      <c r="V611" s="3">
        <v>126579773</v>
      </c>
      <c r="W611" s="3">
        <v>137431681</v>
      </c>
      <c r="X611" s="3">
        <v>78786305</v>
      </c>
      <c r="Y611" s="3">
        <v>141805000</v>
      </c>
      <c r="Z611" s="3">
        <v>56250897</v>
      </c>
      <c r="AA611" s="3">
        <v>56851004</v>
      </c>
      <c r="AB611" s="3">
        <v>58387740</v>
      </c>
      <c r="AC611" s="3">
        <v>110019023</v>
      </c>
      <c r="AD611" s="3"/>
      <c r="AE611" t="s">
        <v>5809</v>
      </c>
      <c r="AF611" t="s">
        <v>974</v>
      </c>
    </row>
    <row r="612" spans="1:32" x14ac:dyDescent="0.3">
      <c r="A612" t="s">
        <v>1826</v>
      </c>
      <c r="B612" s="1" t="s">
        <v>1205</v>
      </c>
      <c r="C612" s="5" t="s">
        <v>2678</v>
      </c>
      <c r="D612" s="2" t="s">
        <v>4195</v>
      </c>
      <c r="E612" s="1" t="s">
        <v>1911</v>
      </c>
      <c r="F612" s="3"/>
      <c r="G612" s="3"/>
      <c r="H612" s="3"/>
      <c r="I612" s="3"/>
      <c r="J612" s="3"/>
      <c r="K612" s="3"/>
      <c r="L612" s="3">
        <v>0.4</v>
      </c>
      <c r="M612" s="3"/>
      <c r="N612" s="3"/>
      <c r="O612" s="3"/>
      <c r="P612" s="3"/>
      <c r="Q612" s="3"/>
      <c r="R612" s="3"/>
      <c r="S612" s="3"/>
      <c r="T612" s="3"/>
      <c r="U612" s="3"/>
      <c r="V612" s="3"/>
      <c r="W612" s="3"/>
      <c r="X612" s="3"/>
      <c r="Y612" s="3"/>
      <c r="Z612" s="3"/>
      <c r="AA612" s="3"/>
      <c r="AB612" s="3"/>
      <c r="AC612" s="3"/>
      <c r="AD612" s="3"/>
      <c r="AE612" t="s">
        <v>5810</v>
      </c>
      <c r="AF612" t="s">
        <v>321</v>
      </c>
    </row>
    <row r="613" spans="1:32" x14ac:dyDescent="0.3">
      <c r="A613" t="s">
        <v>1826</v>
      </c>
      <c r="B613" s="1" t="s">
        <v>1205</v>
      </c>
      <c r="C613" s="5" t="s">
        <v>2679</v>
      </c>
      <c r="D613" s="2" t="s">
        <v>4196</v>
      </c>
      <c r="E613" s="1" t="s">
        <v>771</v>
      </c>
      <c r="F613" s="3"/>
      <c r="G613" s="3"/>
      <c r="H613" s="3"/>
      <c r="I613" s="3"/>
      <c r="J613" s="3"/>
      <c r="K613" s="3"/>
      <c r="L613" s="3"/>
      <c r="M613" s="3"/>
      <c r="N613" s="3"/>
      <c r="O613" s="3"/>
      <c r="P613" s="3"/>
      <c r="Q613" s="3"/>
      <c r="R613" s="3"/>
      <c r="S613" s="3"/>
      <c r="T613" s="3"/>
      <c r="U613" s="3">
        <v>65.268996761359688</v>
      </c>
      <c r="V613" s="3">
        <v>64.622256626073309</v>
      </c>
      <c r="W613" s="3">
        <v>66.57888962180364</v>
      </c>
      <c r="X613" s="3">
        <v>68.348974344909948</v>
      </c>
      <c r="Y613" s="3">
        <v>66.522010244324861</v>
      </c>
      <c r="Z613" s="3">
        <v>66.891196994317482</v>
      </c>
      <c r="AA613" s="3">
        <v>66.983520566214978</v>
      </c>
      <c r="AB613" s="3">
        <v>67.377322088302577</v>
      </c>
      <c r="AC613" s="3">
        <v>68.392328647667185</v>
      </c>
      <c r="AD613" s="3">
        <v>66.03066280479824</v>
      </c>
      <c r="AE613" t="s">
        <v>5811</v>
      </c>
      <c r="AF613" t="s">
        <v>718</v>
      </c>
    </row>
    <row r="614" spans="1:32" x14ac:dyDescent="0.3">
      <c r="A614" t="s">
        <v>1826</v>
      </c>
      <c r="B614" s="1" t="s">
        <v>1205</v>
      </c>
      <c r="C614" s="5" t="s">
        <v>2680</v>
      </c>
      <c r="D614" s="2" t="s">
        <v>4197</v>
      </c>
      <c r="E614" s="1" t="s">
        <v>585</v>
      </c>
      <c r="F614" s="3"/>
      <c r="G614" s="3"/>
      <c r="H614" s="3"/>
      <c r="I614" s="3"/>
      <c r="J614" s="3"/>
      <c r="K614" s="3"/>
      <c r="L614" s="3"/>
      <c r="M614" s="3"/>
      <c r="N614" s="3"/>
      <c r="O614" s="3">
        <v>3.7705322711036189</v>
      </c>
      <c r="P614" s="3">
        <v>4.6135289861083777</v>
      </c>
      <c r="Q614" s="3">
        <v>-4.23131419132703</v>
      </c>
      <c r="R614" s="3">
        <v>9.6150061645534635</v>
      </c>
      <c r="S614" s="3">
        <v>4.2222170129794279</v>
      </c>
      <c r="T614" s="3">
        <v>10.220384036209822</v>
      </c>
      <c r="U614" s="3">
        <v>13.731292215254371</v>
      </c>
      <c r="V614" s="3">
        <v>6.4126568053498829</v>
      </c>
      <c r="W614" s="3">
        <v>5.9718943997087592</v>
      </c>
      <c r="X614" s="3">
        <v>5.9697195560768535</v>
      </c>
      <c r="Y614" s="3">
        <v>4.5258991044733818</v>
      </c>
      <c r="Z614" s="3">
        <v>1.4218065983098995</v>
      </c>
      <c r="AA614" s="3">
        <v>5.3297774690097981</v>
      </c>
      <c r="AB614" s="3">
        <v>4.6239903785448462</v>
      </c>
      <c r="AC614" s="3">
        <v>5.4736575610996709</v>
      </c>
      <c r="AD614" s="3">
        <v>6.3238799997863566</v>
      </c>
      <c r="AE614" t="s">
        <v>5812</v>
      </c>
      <c r="AF614" t="s">
        <v>718</v>
      </c>
    </row>
    <row r="615" spans="1:32" x14ac:dyDescent="0.3">
      <c r="A615" t="s">
        <v>1826</v>
      </c>
      <c r="B615" s="1" t="s">
        <v>1205</v>
      </c>
      <c r="C615" s="5" t="s">
        <v>2681</v>
      </c>
      <c r="D615" s="2" t="s">
        <v>4198</v>
      </c>
      <c r="E615" s="1" t="s">
        <v>1825</v>
      </c>
      <c r="F615" s="3"/>
      <c r="G615" s="3"/>
      <c r="H615" s="3"/>
      <c r="I615" s="3"/>
      <c r="J615" s="3"/>
      <c r="K615" s="3"/>
      <c r="L615" s="3"/>
      <c r="M615" s="3"/>
      <c r="N615" s="3">
        <v>20084315684.372803</v>
      </c>
      <c r="O615" s="3">
        <v>20841601288.682407</v>
      </c>
      <c r="P615" s="3">
        <v>21803134605.304909</v>
      </c>
      <c r="Q615" s="3">
        <v>20880575476.596508</v>
      </c>
      <c r="R615" s="3">
        <v>22888244095.865501</v>
      </c>
      <c r="S615" s="3">
        <v>23854635432.053394</v>
      </c>
      <c r="T615" s="3">
        <v>26292670783.64703</v>
      </c>
      <c r="U615" s="3">
        <v>29902994240.144417</v>
      </c>
      <c r="V615" s="3">
        <v>31820570635.288422</v>
      </c>
      <c r="W615" s="3">
        <v>33720861511.012581</v>
      </c>
      <c r="X615" s="3">
        <v>35733902375.113091</v>
      </c>
      <c r="Y615" s="3">
        <v>37351182742.701729</v>
      </c>
      <c r="Z615" s="3">
        <v>37882244323.484253</v>
      </c>
      <c r="AA615" s="3">
        <v>39901283646.192558</v>
      </c>
      <c r="AB615" s="3">
        <v>41746315162.908386</v>
      </c>
      <c r="AC615" s="3">
        <v>44031365499.303421</v>
      </c>
      <c r="AD615" s="3">
        <v>46815856215.746704</v>
      </c>
      <c r="AE615" t="s">
        <v>5813</v>
      </c>
      <c r="AF615" t="s">
        <v>718</v>
      </c>
    </row>
    <row r="616" spans="1:32" x14ac:dyDescent="0.3">
      <c r="A616" t="s">
        <v>1826</v>
      </c>
      <c r="B616" s="1" t="s">
        <v>1205</v>
      </c>
      <c r="C616" s="5" t="s">
        <v>2682</v>
      </c>
      <c r="D616" s="2" t="s">
        <v>4199</v>
      </c>
      <c r="E616" s="1" t="s">
        <v>1763</v>
      </c>
      <c r="F616" s="3"/>
      <c r="G616" s="3"/>
      <c r="H616" s="3"/>
      <c r="I616" s="3"/>
      <c r="J616" s="3"/>
      <c r="K616" s="3"/>
      <c r="L616" s="3"/>
      <c r="M616" s="3"/>
      <c r="N616" s="3">
        <v>11984177737000</v>
      </c>
      <c r="O616" s="3">
        <v>12436045026000</v>
      </c>
      <c r="P616" s="3">
        <v>13009785568000</v>
      </c>
      <c r="Q616" s="3">
        <v>12459300665000</v>
      </c>
      <c r="R616" s="3">
        <v>13657263192000</v>
      </c>
      <c r="S616" s="3">
        <v>14233902482000</v>
      </c>
      <c r="T616" s="3">
        <v>15688661979000</v>
      </c>
      <c r="U616" s="3">
        <v>17842918000000</v>
      </c>
      <c r="V616" s="3">
        <v>18987123095400</v>
      </c>
      <c r="W616" s="3">
        <v>20121014036200</v>
      </c>
      <c r="X616" s="3">
        <v>21322182146000</v>
      </c>
      <c r="Y616" s="3">
        <v>22287202596800</v>
      </c>
      <c r="Z616" s="3">
        <v>22604083513900</v>
      </c>
      <c r="AA616" s="3">
        <v>23808830864100</v>
      </c>
      <c r="AB616" s="3">
        <v>24909748912500</v>
      </c>
      <c r="AC616" s="3">
        <v>26273223267300</v>
      </c>
      <c r="AD616" s="3">
        <v>27934710378800</v>
      </c>
      <c r="AE616" t="s">
        <v>5814</v>
      </c>
      <c r="AF616" t="s">
        <v>718</v>
      </c>
    </row>
    <row r="617" spans="1:32" x14ac:dyDescent="0.3">
      <c r="A617" t="s">
        <v>1826</v>
      </c>
      <c r="B617" s="1" t="s">
        <v>1205</v>
      </c>
      <c r="C617" s="5" t="s">
        <v>2683</v>
      </c>
      <c r="D617" s="2" t="s">
        <v>4200</v>
      </c>
      <c r="E617" s="1" t="s">
        <v>1598</v>
      </c>
      <c r="F617" s="3"/>
      <c r="G617" s="3"/>
      <c r="H617" s="3"/>
      <c r="I617" s="3"/>
      <c r="J617" s="3"/>
      <c r="K617" s="3"/>
      <c r="L617" s="3"/>
      <c r="M617" s="3"/>
      <c r="N617" s="3"/>
      <c r="O617" s="3"/>
      <c r="P617" s="3"/>
      <c r="Q617" s="3"/>
      <c r="R617" s="3"/>
      <c r="S617" s="3"/>
      <c r="T617" s="3"/>
      <c r="U617" s="3">
        <v>17679000000000</v>
      </c>
      <c r="V617" s="3">
        <v>18538000000000</v>
      </c>
      <c r="W617" s="3">
        <v>20301000000000</v>
      </c>
      <c r="X617" s="3">
        <v>22217588000000</v>
      </c>
      <c r="Y617" s="3">
        <v>23534824000000</v>
      </c>
      <c r="Z617" s="3">
        <v>24266755000000</v>
      </c>
      <c r="AA617" s="3">
        <v>27039143300200</v>
      </c>
      <c r="AB617" s="3">
        <v>29806918764000</v>
      </c>
      <c r="AC617" s="3">
        <v>33029325905000</v>
      </c>
      <c r="AD617" s="3">
        <v>34647715263800.004</v>
      </c>
      <c r="AE617" t="s">
        <v>5815</v>
      </c>
      <c r="AF617" t="s">
        <v>718</v>
      </c>
    </row>
    <row r="618" spans="1:32" x14ac:dyDescent="0.3">
      <c r="A618" t="s">
        <v>1826</v>
      </c>
      <c r="B618" s="1" t="s">
        <v>1205</v>
      </c>
      <c r="C618" s="5" t="s">
        <v>2684</v>
      </c>
      <c r="D618" s="2" t="s">
        <v>4201</v>
      </c>
      <c r="E618" s="1" t="s">
        <v>1686</v>
      </c>
      <c r="F618" s="3"/>
      <c r="G618" s="3"/>
      <c r="H618" s="3"/>
      <c r="I618" s="3"/>
      <c r="J618" s="3"/>
      <c r="K618" s="3"/>
      <c r="L618" s="3"/>
      <c r="M618" s="3"/>
      <c r="N618" s="3"/>
      <c r="O618" s="3"/>
      <c r="P618" s="3"/>
      <c r="Q618" s="3"/>
      <c r="R618" s="3"/>
      <c r="S618" s="3"/>
      <c r="T618" s="3"/>
      <c r="U618" s="3">
        <v>29902994240.144417</v>
      </c>
      <c r="V618" s="3">
        <v>31282187564.152596</v>
      </c>
      <c r="W618" s="3">
        <v>34962135547.378036</v>
      </c>
      <c r="X618" s="3">
        <v>39999513328.429581</v>
      </c>
      <c r="Y618" s="3">
        <v>40167915396.394844</v>
      </c>
      <c r="Z618" s="3">
        <v>42160085181.362251</v>
      </c>
      <c r="AA618" s="3">
        <v>48760410411.175232</v>
      </c>
      <c r="AB618" s="3">
        <v>47785900115.793777</v>
      </c>
      <c r="AC618" s="3">
        <v>54452642743.833344</v>
      </c>
      <c r="AD618" s="3">
        <v>57141888294.377052</v>
      </c>
      <c r="AE618" t="s">
        <v>5816</v>
      </c>
      <c r="AF618" t="s">
        <v>718</v>
      </c>
    </row>
    <row r="619" spans="1:32" ht="28.8" x14ac:dyDescent="0.3">
      <c r="A619" t="s">
        <v>1826</v>
      </c>
      <c r="B619" s="1" t="s">
        <v>1205</v>
      </c>
      <c r="C619" s="5" t="s">
        <v>2685</v>
      </c>
      <c r="D619" s="2" t="s">
        <v>4202</v>
      </c>
      <c r="E619" s="1" t="s">
        <v>1644</v>
      </c>
      <c r="F619" s="3"/>
      <c r="G619" s="3"/>
      <c r="H619" s="3"/>
      <c r="I619" s="3"/>
      <c r="J619" s="3"/>
      <c r="K619" s="3"/>
      <c r="L619" s="3"/>
      <c r="M619" s="3"/>
      <c r="N619" s="3">
        <v>933.52727832563062</v>
      </c>
      <c r="O619" s="3">
        <v>947.4342274177676</v>
      </c>
      <c r="P619" s="3">
        <v>969.54249310934085</v>
      </c>
      <c r="Q619" s="3">
        <v>908.56215632218732</v>
      </c>
      <c r="R619" s="3">
        <v>975.33421484624125</v>
      </c>
      <c r="S619" s="3">
        <v>996.4435936450277</v>
      </c>
      <c r="T619" s="3">
        <v>1071.9715968062255</v>
      </c>
      <c r="U619" s="3">
        <v>1184.44859220177</v>
      </c>
      <c r="V619" s="3">
        <v>1224.3670309223478</v>
      </c>
      <c r="W619" s="3">
        <v>1261.3770350785744</v>
      </c>
      <c r="X619" s="3">
        <v>1301.1097175623345</v>
      </c>
      <c r="Y619" s="3">
        <v>1324.8384641278174</v>
      </c>
      <c r="Z619" s="3">
        <v>1310.1039628844862</v>
      </c>
      <c r="AA619" s="3">
        <v>1346.2091445818735</v>
      </c>
      <c r="AB619" s="3">
        <v>1373.4598590553928</v>
      </c>
      <c r="AC619" s="3">
        <v>1412.8169907585902</v>
      </c>
      <c r="AD619" s="3">
        <v>1466.0086125686043</v>
      </c>
      <c r="AE619" t="s">
        <v>5817</v>
      </c>
      <c r="AF619" t="s">
        <v>1575</v>
      </c>
    </row>
    <row r="620" spans="1:32" x14ac:dyDescent="0.3">
      <c r="A620" t="s">
        <v>1826</v>
      </c>
      <c r="B620" s="1" t="s">
        <v>1205</v>
      </c>
      <c r="C620" s="5" t="s">
        <v>2686</v>
      </c>
      <c r="D620" s="2" t="s">
        <v>4203</v>
      </c>
      <c r="E620" s="1" t="s">
        <v>1359</v>
      </c>
      <c r="F620" s="3"/>
      <c r="G620" s="3"/>
      <c r="H620" s="3"/>
      <c r="I620" s="3"/>
      <c r="J620" s="3"/>
      <c r="K620" s="3"/>
      <c r="L620" s="3"/>
      <c r="M620" s="3"/>
      <c r="N620" s="3"/>
      <c r="O620" s="3">
        <v>1.4897206985831701</v>
      </c>
      <c r="P620" s="3">
        <v>2.3334881780479293</v>
      </c>
      <c r="Q620" s="3">
        <v>-6.289599189364921</v>
      </c>
      <c r="R620" s="3">
        <v>7.349200939024783</v>
      </c>
      <c r="S620" s="3">
        <v>2.1643225960359018</v>
      </c>
      <c r="T620" s="3">
        <v>7.5797570121268478</v>
      </c>
      <c r="U620" s="3">
        <v>10.492535038302549</v>
      </c>
      <c r="V620" s="3">
        <v>3.3702128554497648</v>
      </c>
      <c r="W620" s="3">
        <v>3.0227867315527135</v>
      </c>
      <c r="X620" s="3">
        <v>3.1499449711548806</v>
      </c>
      <c r="Y620" s="3">
        <v>1.8237314075202988</v>
      </c>
      <c r="Z620" s="3">
        <v>-1.1121734190463286</v>
      </c>
      <c r="AA620" s="3">
        <v>2.7559020291713097</v>
      </c>
      <c r="AB620" s="3">
        <v>2.0242556354037617</v>
      </c>
      <c r="AC620" s="3">
        <v>2.8655465570188312</v>
      </c>
      <c r="AD620" s="3">
        <v>3.7649336154609472</v>
      </c>
      <c r="AE620" t="s">
        <v>5818</v>
      </c>
      <c r="AF620" t="s">
        <v>1575</v>
      </c>
    </row>
    <row r="621" spans="1:32" ht="28.8" x14ac:dyDescent="0.3">
      <c r="A621" t="s">
        <v>1826</v>
      </c>
      <c r="B621" s="1" t="s">
        <v>1205</v>
      </c>
      <c r="C621" s="5" t="s">
        <v>2687</v>
      </c>
      <c r="D621" s="2" t="s">
        <v>4204</v>
      </c>
      <c r="E621" s="1" t="s">
        <v>49</v>
      </c>
      <c r="F621" s="3"/>
      <c r="G621" s="3"/>
      <c r="H621" s="3"/>
      <c r="I621" s="3"/>
      <c r="J621" s="3"/>
      <c r="K621" s="3"/>
      <c r="L621" s="3"/>
      <c r="M621" s="3"/>
      <c r="N621" s="3">
        <v>57056082817.321793</v>
      </c>
      <c r="O621" s="3">
        <v>59207400832.576515</v>
      </c>
      <c r="P621" s="3">
        <v>61938951431.908806</v>
      </c>
      <c r="Q621" s="3">
        <v>59318119790.011292</v>
      </c>
      <c r="R621" s="3">
        <v>65021560664.518082</v>
      </c>
      <c r="S621" s="3">
        <v>67766912061.000099</v>
      </c>
      <c r="T621" s="3">
        <v>74692950723.114899</v>
      </c>
      <c r="U621" s="3">
        <v>84949258051.101746</v>
      </c>
      <c r="V621" s="3">
        <v>90396762428.60997</v>
      </c>
      <c r="W621" s="3">
        <v>95795161621.602158</v>
      </c>
      <c r="X621" s="3">
        <v>101513864118.70236</v>
      </c>
      <c r="Y621" s="3">
        <v>106108279185.76706</v>
      </c>
      <c r="Z621" s="3">
        <v>107616933700.58339</v>
      </c>
      <c r="AA621" s="3">
        <v>113352676785.7963</v>
      </c>
      <c r="AB621" s="3">
        <v>118594093654.19455</v>
      </c>
      <c r="AC621" s="3">
        <v>125085528228.515</v>
      </c>
      <c r="AD621" s="3">
        <v>132995786930.78519</v>
      </c>
      <c r="AE621" t="s">
        <v>5819</v>
      </c>
      <c r="AF621" t="s">
        <v>828</v>
      </c>
    </row>
    <row r="622" spans="1:32" x14ac:dyDescent="0.3">
      <c r="A622" t="s">
        <v>1826</v>
      </c>
      <c r="B622" s="1" t="s">
        <v>1205</v>
      </c>
      <c r="C622" s="5" t="s">
        <v>2688</v>
      </c>
      <c r="D622" s="2" t="s">
        <v>4205</v>
      </c>
      <c r="E622" s="1" t="s">
        <v>1963</v>
      </c>
      <c r="F622" s="3"/>
      <c r="G622" s="3"/>
      <c r="H622" s="3"/>
      <c r="I622" s="3"/>
      <c r="J622" s="3"/>
      <c r="K622" s="3"/>
      <c r="L622" s="3"/>
      <c r="M622" s="3"/>
      <c r="N622" s="3"/>
      <c r="O622" s="3"/>
      <c r="P622" s="3"/>
      <c r="Q622" s="3"/>
      <c r="R622" s="3"/>
      <c r="S622" s="3"/>
      <c r="T622" s="3"/>
      <c r="U622" s="3">
        <v>72677388578.886963</v>
      </c>
      <c r="V622" s="3">
        <v>76508218906.451111</v>
      </c>
      <c r="W622" s="3">
        <v>83658543925.462418</v>
      </c>
      <c r="X622" s="3">
        <v>93053815026.978409</v>
      </c>
      <c r="Y622" s="3">
        <v>101395331322.2711</v>
      </c>
      <c r="Z622" s="3">
        <v>102971963059.62654</v>
      </c>
      <c r="AA622" s="3">
        <v>113352676785.7963</v>
      </c>
      <c r="AB622" s="3">
        <v>128191988876.6292</v>
      </c>
      <c r="AC622" s="3">
        <v>141682266145.42422</v>
      </c>
      <c r="AD622" s="3">
        <v>147882065625.68698</v>
      </c>
      <c r="AE622" t="s">
        <v>5820</v>
      </c>
      <c r="AF622" t="s">
        <v>828</v>
      </c>
    </row>
    <row r="623" spans="1:32" x14ac:dyDescent="0.3">
      <c r="A623" t="s">
        <v>1826</v>
      </c>
      <c r="B623" s="1" t="s">
        <v>1205</v>
      </c>
      <c r="C623" s="5" t="s">
        <v>2689</v>
      </c>
      <c r="D623" s="2" t="s">
        <v>4206</v>
      </c>
      <c r="E623" s="1" t="s">
        <v>1476</v>
      </c>
      <c r="F623" s="3"/>
      <c r="G623" s="3"/>
      <c r="H623" s="3"/>
      <c r="I623" s="3"/>
      <c r="J623" s="3"/>
      <c r="K623" s="3"/>
      <c r="L623" s="3"/>
      <c r="M623" s="3"/>
      <c r="N623" s="3"/>
      <c r="O623" s="3"/>
      <c r="P623" s="3"/>
      <c r="Q623" s="3"/>
      <c r="R623" s="3"/>
      <c r="S623" s="3"/>
      <c r="T623" s="3"/>
      <c r="U623" s="3">
        <v>17679000000000</v>
      </c>
      <c r="V623" s="3">
        <v>18538000000000</v>
      </c>
      <c r="W623" s="3">
        <v>20301000000000</v>
      </c>
      <c r="X623" s="3">
        <v>22217588000000</v>
      </c>
      <c r="Y623" s="3">
        <v>23534824000000</v>
      </c>
      <c r="Z623" s="3">
        <v>24266754999999.898</v>
      </c>
      <c r="AA623" s="3">
        <v>27039143300199.898</v>
      </c>
      <c r="AB623" s="3">
        <v>29806918763999.898</v>
      </c>
      <c r="AC623" s="3">
        <v>33029325905000.102</v>
      </c>
      <c r="AD623" s="3">
        <v>34647715263799.898</v>
      </c>
      <c r="AE623" t="s">
        <v>5821</v>
      </c>
      <c r="AF623" t="s">
        <v>1590</v>
      </c>
    </row>
    <row r="624" spans="1:32" x14ac:dyDescent="0.3">
      <c r="A624" t="s">
        <v>1826</v>
      </c>
      <c r="B624" s="1" t="s">
        <v>1205</v>
      </c>
      <c r="C624" s="5" t="s">
        <v>2690</v>
      </c>
      <c r="D624" s="2" t="s">
        <v>4207</v>
      </c>
      <c r="E624" s="1" t="s">
        <v>291</v>
      </c>
      <c r="F624" s="3"/>
      <c r="G624" s="3"/>
      <c r="H624" s="3"/>
      <c r="I624" s="3"/>
      <c r="J624" s="3"/>
      <c r="K624" s="3"/>
      <c r="L624" s="3"/>
      <c r="M624" s="3"/>
      <c r="N624" s="3"/>
      <c r="O624" s="3"/>
      <c r="P624" s="3">
        <v>0.30383810400962802</v>
      </c>
      <c r="Q624" s="3"/>
      <c r="R624" s="3"/>
      <c r="S624" s="3"/>
      <c r="T624" s="3"/>
      <c r="U624" s="3"/>
      <c r="V624" s="3"/>
      <c r="W624" s="3">
        <v>0.35299999999999998</v>
      </c>
      <c r="X624" s="3">
        <v>0.36996835470199602</v>
      </c>
      <c r="Y624" s="3"/>
      <c r="Z624" s="3">
        <v>0.37988933920860302</v>
      </c>
      <c r="AA624" s="3"/>
      <c r="AB624" s="3"/>
      <c r="AC624" s="3"/>
      <c r="AD624" s="3"/>
      <c r="AE624" t="s">
        <v>5822</v>
      </c>
      <c r="AF624" t="s">
        <v>2046</v>
      </c>
    </row>
    <row r="625" spans="1:32" x14ac:dyDescent="0.3">
      <c r="A625" t="s">
        <v>1826</v>
      </c>
      <c r="B625" s="1" t="s">
        <v>1205</v>
      </c>
      <c r="C625" s="5" t="s">
        <v>2691</v>
      </c>
      <c r="D625" s="2" t="s">
        <v>4208</v>
      </c>
      <c r="E625" s="1" t="s">
        <v>1567</v>
      </c>
      <c r="F625" s="3"/>
      <c r="G625" s="3"/>
      <c r="H625" s="3"/>
      <c r="I625" s="3"/>
      <c r="J625" s="3"/>
      <c r="K625" s="3"/>
      <c r="L625" s="3"/>
      <c r="M625" s="3"/>
      <c r="N625" s="3"/>
      <c r="O625" s="3"/>
      <c r="P625" s="3">
        <v>0.30176126956939697</v>
      </c>
      <c r="Q625" s="3"/>
      <c r="R625" s="3"/>
      <c r="S625" s="3"/>
      <c r="T625" s="3"/>
      <c r="U625" s="3"/>
      <c r="V625" s="3"/>
      <c r="W625" s="3">
        <v>0.32300000000000001</v>
      </c>
      <c r="X625" s="3">
        <v>0.36694416403770502</v>
      </c>
      <c r="Y625" s="3"/>
      <c r="Z625" s="3">
        <v>0.37777540087699901</v>
      </c>
      <c r="AA625" s="3"/>
      <c r="AB625" s="3"/>
      <c r="AC625" s="3"/>
      <c r="AD625" s="3"/>
      <c r="AE625" t="s">
        <v>5822</v>
      </c>
      <c r="AF625" t="s">
        <v>2002</v>
      </c>
    </row>
    <row r="626" spans="1:32" x14ac:dyDescent="0.3">
      <c r="A626" t="s">
        <v>1826</v>
      </c>
      <c r="B626" s="1" t="s">
        <v>1205</v>
      </c>
      <c r="C626" s="5" t="s">
        <v>2692</v>
      </c>
      <c r="D626" s="2" t="s">
        <v>4209</v>
      </c>
      <c r="E626" s="1" t="s">
        <v>791</v>
      </c>
      <c r="F626" s="3"/>
      <c r="G626" s="3"/>
      <c r="H626" s="3"/>
      <c r="I626" s="3"/>
      <c r="J626" s="3"/>
      <c r="K626" s="3"/>
      <c r="L626" s="3"/>
      <c r="M626" s="3"/>
      <c r="N626" s="3"/>
      <c r="O626" s="3"/>
      <c r="P626" s="3">
        <v>0.290127754211426</v>
      </c>
      <c r="Q626" s="3"/>
      <c r="R626" s="3"/>
      <c r="S626" s="3"/>
      <c r="T626" s="3"/>
      <c r="U626" s="3"/>
      <c r="V626" s="3"/>
      <c r="W626" s="3">
        <v>0.30199999999999999</v>
      </c>
      <c r="X626" s="3">
        <v>0.34861531853675798</v>
      </c>
      <c r="Y626" s="3"/>
      <c r="Z626" s="3">
        <v>0.35828015208244302</v>
      </c>
      <c r="AA626" s="3"/>
      <c r="AB626" s="3"/>
      <c r="AC626" s="3"/>
      <c r="AD626" s="3"/>
      <c r="AE626" t="s">
        <v>5823</v>
      </c>
      <c r="AF626" t="s">
        <v>2002</v>
      </c>
    </row>
    <row r="627" spans="1:32" x14ac:dyDescent="0.3">
      <c r="A627" t="s">
        <v>1826</v>
      </c>
      <c r="B627" s="1" t="s">
        <v>1205</v>
      </c>
      <c r="C627" s="5" t="s">
        <v>2693</v>
      </c>
      <c r="D627" s="2" t="s">
        <v>4210</v>
      </c>
      <c r="E627" s="1" t="s">
        <v>354</v>
      </c>
      <c r="F627" s="3"/>
      <c r="G627" s="3"/>
      <c r="H627" s="3"/>
      <c r="I627" s="3"/>
      <c r="J627" s="3"/>
      <c r="K627" s="3"/>
      <c r="L627" s="3"/>
      <c r="M627" s="3"/>
      <c r="N627" s="3"/>
      <c r="O627" s="3"/>
      <c r="P627" s="3">
        <v>0.313912063837051</v>
      </c>
      <c r="Q627" s="3"/>
      <c r="R627" s="3"/>
      <c r="S627" s="3"/>
      <c r="T627" s="3"/>
      <c r="U627" s="3"/>
      <c r="V627" s="3"/>
      <c r="W627" s="3">
        <v>0.34200000000000003</v>
      </c>
      <c r="X627" s="3">
        <v>0.38464039564132702</v>
      </c>
      <c r="Y627" s="3"/>
      <c r="Z627" s="3">
        <v>0.39651539921760598</v>
      </c>
      <c r="AA627" s="3"/>
      <c r="AB627" s="3"/>
      <c r="AC627" s="3"/>
      <c r="AD627" s="3"/>
      <c r="AE627" t="s">
        <v>5824</v>
      </c>
      <c r="AF627" t="s">
        <v>2002</v>
      </c>
    </row>
    <row r="628" spans="1:32" x14ac:dyDescent="0.3">
      <c r="A628" t="s">
        <v>1826</v>
      </c>
      <c r="B628" s="1" t="s">
        <v>1205</v>
      </c>
      <c r="C628" s="5" t="s">
        <v>2694</v>
      </c>
      <c r="D628" s="2" t="s">
        <v>4211</v>
      </c>
      <c r="E628" s="1" t="s">
        <v>1328</v>
      </c>
      <c r="F628" s="3"/>
      <c r="G628" s="3"/>
      <c r="H628" s="3"/>
      <c r="I628" s="3"/>
      <c r="J628" s="3"/>
      <c r="K628" s="3"/>
      <c r="L628" s="3"/>
      <c r="M628" s="3"/>
      <c r="N628" s="3"/>
      <c r="O628" s="3"/>
      <c r="P628" s="3">
        <v>0.293173938989639</v>
      </c>
      <c r="Q628" s="3"/>
      <c r="R628" s="3"/>
      <c r="S628" s="3"/>
      <c r="T628" s="3"/>
      <c r="U628" s="3"/>
      <c r="V628" s="3"/>
      <c r="W628" s="3">
        <v>0.33400000000000002</v>
      </c>
      <c r="X628" s="3">
        <v>0.352786034345627</v>
      </c>
      <c r="Y628" s="3"/>
      <c r="Z628" s="3">
        <v>0.36150065064430198</v>
      </c>
      <c r="AA628" s="3"/>
      <c r="AB628" s="3"/>
      <c r="AC628" s="3"/>
      <c r="AD628" s="3"/>
      <c r="AE628" t="s">
        <v>5823</v>
      </c>
      <c r="AF628" t="s">
        <v>2002</v>
      </c>
    </row>
    <row r="629" spans="1:32" x14ac:dyDescent="0.3">
      <c r="A629" t="s">
        <v>1826</v>
      </c>
      <c r="B629" s="1" t="s">
        <v>1205</v>
      </c>
      <c r="C629" s="5" t="s">
        <v>2695</v>
      </c>
      <c r="D629" s="2" t="s">
        <v>4212</v>
      </c>
      <c r="E629" s="1" t="s">
        <v>798</v>
      </c>
      <c r="F629" s="3"/>
      <c r="G629" s="3"/>
      <c r="H629" s="3"/>
      <c r="I629" s="3"/>
      <c r="J629" s="3"/>
      <c r="K629" s="3"/>
      <c r="L629" s="3"/>
      <c r="M629" s="3"/>
      <c r="N629" s="3"/>
      <c r="O629" s="3"/>
      <c r="P629" s="3">
        <v>0.30634456872940102</v>
      </c>
      <c r="Q629" s="3"/>
      <c r="R629" s="3"/>
      <c r="S629" s="3"/>
      <c r="T629" s="3"/>
      <c r="U629" s="3"/>
      <c r="V629" s="3"/>
      <c r="W629" s="3">
        <v>0.32500000000000001</v>
      </c>
      <c r="X629" s="3">
        <v>0.373427003622055</v>
      </c>
      <c r="Y629" s="3"/>
      <c r="Z629" s="3">
        <v>0.38248267769813499</v>
      </c>
      <c r="AA629" s="3"/>
      <c r="AB629" s="3"/>
      <c r="AC629" s="3"/>
      <c r="AD629" s="3"/>
      <c r="AE629" t="s">
        <v>5822</v>
      </c>
      <c r="AF629" t="s">
        <v>2002</v>
      </c>
    </row>
    <row r="630" spans="1:32" x14ac:dyDescent="0.3">
      <c r="A630" t="s">
        <v>1826</v>
      </c>
      <c r="B630" s="1" t="s">
        <v>1205</v>
      </c>
      <c r="C630" s="5" t="s">
        <v>2696</v>
      </c>
      <c r="D630" s="2" t="s">
        <v>4213</v>
      </c>
      <c r="E630" s="1" t="s">
        <v>43</v>
      </c>
      <c r="F630" s="3"/>
      <c r="G630" s="3"/>
      <c r="H630" s="3"/>
      <c r="I630" s="3"/>
      <c r="J630" s="3"/>
      <c r="K630" s="3"/>
      <c r="L630" s="3"/>
      <c r="M630" s="3"/>
      <c r="N630" s="3"/>
      <c r="O630" s="3"/>
      <c r="P630" s="3">
        <v>0.293812066316605</v>
      </c>
      <c r="Q630" s="3"/>
      <c r="R630" s="3"/>
      <c r="S630" s="3"/>
      <c r="T630" s="3"/>
      <c r="U630" s="3"/>
      <c r="V630" s="3"/>
      <c r="W630" s="3">
        <v>0.30299999999999999</v>
      </c>
      <c r="X630" s="3">
        <v>0.35337346792221103</v>
      </c>
      <c r="Y630" s="3"/>
      <c r="Z630" s="3">
        <v>0.36115780472755399</v>
      </c>
      <c r="AA630" s="3"/>
      <c r="AB630" s="3"/>
      <c r="AC630" s="3"/>
      <c r="AD630" s="3"/>
      <c r="AE630" t="s">
        <v>5823</v>
      </c>
      <c r="AF630" t="s">
        <v>2002</v>
      </c>
    </row>
    <row r="631" spans="1:32" x14ac:dyDescent="0.3">
      <c r="A631" t="s">
        <v>1826</v>
      </c>
      <c r="B631" s="1" t="s">
        <v>1205</v>
      </c>
      <c r="C631" s="5" t="s">
        <v>2697</v>
      </c>
      <c r="D631" s="2" t="s">
        <v>4214</v>
      </c>
      <c r="E631" s="1" t="s">
        <v>1646</v>
      </c>
      <c r="F631" s="3"/>
      <c r="G631" s="3"/>
      <c r="H631" s="3"/>
      <c r="I631" s="3"/>
      <c r="J631" s="3"/>
      <c r="K631" s="3"/>
      <c r="L631" s="3"/>
      <c r="M631" s="3"/>
      <c r="N631" s="3"/>
      <c r="O631" s="3"/>
      <c r="P631" s="3">
        <v>0.31888395547866799</v>
      </c>
      <c r="Q631" s="3"/>
      <c r="R631" s="3"/>
      <c r="S631" s="3"/>
      <c r="T631" s="3"/>
      <c r="U631" s="3"/>
      <c r="V631" s="3"/>
      <c r="W631" s="3">
        <v>0.34499999999999997</v>
      </c>
      <c r="X631" s="3">
        <v>0.39294320344924899</v>
      </c>
      <c r="Y631" s="3"/>
      <c r="Z631" s="3">
        <v>0.40307319164276101</v>
      </c>
      <c r="AA631" s="3"/>
      <c r="AB631" s="3"/>
      <c r="AC631" s="3"/>
      <c r="AD631" s="3"/>
      <c r="AE631" t="s">
        <v>5824</v>
      </c>
      <c r="AF631" t="s">
        <v>2002</v>
      </c>
    </row>
    <row r="632" spans="1:32" x14ac:dyDescent="0.3">
      <c r="A632" t="s">
        <v>1826</v>
      </c>
      <c r="B632" s="1" t="s">
        <v>1205</v>
      </c>
      <c r="C632" s="5" t="s">
        <v>2698</v>
      </c>
      <c r="D632" s="2" t="s">
        <v>4215</v>
      </c>
      <c r="E632" s="1" t="s">
        <v>85</v>
      </c>
      <c r="F632" s="3"/>
      <c r="G632" s="3"/>
      <c r="H632" s="3"/>
      <c r="I632" s="3"/>
      <c r="J632" s="3"/>
      <c r="K632" s="3"/>
      <c r="L632" s="3"/>
      <c r="M632" s="3"/>
      <c r="N632" s="3"/>
      <c r="O632" s="3"/>
      <c r="P632" s="3">
        <v>0.31464350223541299</v>
      </c>
      <c r="Q632" s="3"/>
      <c r="R632" s="3"/>
      <c r="S632" s="3"/>
      <c r="T632" s="3"/>
      <c r="U632" s="3"/>
      <c r="V632" s="3"/>
      <c r="W632" s="3">
        <v>0.371</v>
      </c>
      <c r="X632" s="3">
        <v>0.38653948903083801</v>
      </c>
      <c r="Y632" s="3"/>
      <c r="Z632" s="3">
        <v>0.39757660031318698</v>
      </c>
      <c r="AA632" s="3"/>
      <c r="AB632" s="3"/>
      <c r="AC632" s="3"/>
      <c r="AD632" s="3"/>
      <c r="AE632" t="s">
        <v>5824</v>
      </c>
      <c r="AF632" t="s">
        <v>1729</v>
      </c>
    </row>
    <row r="633" spans="1:32" x14ac:dyDescent="0.3">
      <c r="A633" t="s">
        <v>1826</v>
      </c>
      <c r="B633" s="1" t="s">
        <v>1205</v>
      </c>
      <c r="C633" s="5" t="s">
        <v>2699</v>
      </c>
      <c r="D633" s="2" t="s">
        <v>4216</v>
      </c>
      <c r="E633" s="1" t="s">
        <v>1811</v>
      </c>
      <c r="F633" s="3">
        <v>1965118000</v>
      </c>
      <c r="G633" s="3">
        <v>1816744000</v>
      </c>
      <c r="H633" s="3">
        <v>2067986000</v>
      </c>
      <c r="I633" s="3">
        <v>2267157000</v>
      </c>
      <c r="J633" s="3">
        <v>2382617000</v>
      </c>
      <c r="K633" s="3">
        <v>2185092000</v>
      </c>
      <c r="L633" s="3">
        <v>2303389000</v>
      </c>
      <c r="M633" s="3">
        <v>2388125000</v>
      </c>
      <c r="N633" s="3">
        <v>1913668000</v>
      </c>
      <c r="O633" s="3">
        <v>1823249000</v>
      </c>
      <c r="P633" s="3">
        <v>1763238000</v>
      </c>
      <c r="Q633" s="3">
        <v>1712912000</v>
      </c>
      <c r="R633" s="3">
        <v>118223000</v>
      </c>
      <c r="S633" s="3">
        <v>168459000</v>
      </c>
      <c r="T633" s="3">
        <v>239934000</v>
      </c>
      <c r="U633" s="3">
        <v>394318000</v>
      </c>
      <c r="V633" s="3">
        <v>521828000</v>
      </c>
      <c r="W633" s="3">
        <v>780587000</v>
      </c>
      <c r="X633" s="3">
        <v>882633000</v>
      </c>
      <c r="Y633" s="3">
        <v>1204145000</v>
      </c>
      <c r="Z633" s="3">
        <v>1882428000</v>
      </c>
      <c r="AA633" s="3">
        <v>2488088000</v>
      </c>
      <c r="AB633" s="3">
        <v>3117031000</v>
      </c>
      <c r="AC633" s="3">
        <v>4189122000</v>
      </c>
      <c r="AD633" s="3"/>
      <c r="AE633" t="s">
        <v>5825</v>
      </c>
      <c r="AF633" t="s">
        <v>252</v>
      </c>
    </row>
    <row r="634" spans="1:32" x14ac:dyDescent="0.3">
      <c r="A634" t="s">
        <v>1826</v>
      </c>
      <c r="B634" s="1" t="s">
        <v>1205</v>
      </c>
      <c r="C634" s="5" t="s">
        <v>2700</v>
      </c>
      <c r="D634" s="2" t="s">
        <v>4217</v>
      </c>
      <c r="E634" s="1" t="s">
        <v>1430</v>
      </c>
      <c r="F634" s="3">
        <v>0.04</v>
      </c>
      <c r="G634" s="3">
        <v>0.06</v>
      </c>
      <c r="H634" s="3">
        <v>0.04</v>
      </c>
      <c r="I634" s="3">
        <v>0.34</v>
      </c>
      <c r="J634" s="3">
        <v>0.79</v>
      </c>
      <c r="K634" s="3">
        <v>0.63</v>
      </c>
      <c r="L634" s="3">
        <v>0.57999999999999996</v>
      </c>
      <c r="M634" s="3">
        <v>0.42</v>
      </c>
      <c r="N634" s="3">
        <v>0.28999999999999998</v>
      </c>
      <c r="O634" s="3">
        <v>0.42</v>
      </c>
      <c r="P634" s="3">
        <v>0.21</v>
      </c>
      <c r="Q634" s="3">
        <v>0.05</v>
      </c>
      <c r="R634" s="3">
        <v>0.06</v>
      </c>
      <c r="S634" s="3">
        <v>0.08</v>
      </c>
      <c r="T634" s="3">
        <v>0.18</v>
      </c>
      <c r="U634" s="3">
        <v>0.14000000000000001</v>
      </c>
      <c r="V634" s="3">
        <v>0.12</v>
      </c>
      <c r="W634" s="3">
        <v>0.08</v>
      </c>
      <c r="X634" s="3">
        <v>0.05</v>
      </c>
      <c r="Y634" s="3">
        <v>0.05</v>
      </c>
      <c r="Z634" s="3">
        <v>0.03</v>
      </c>
      <c r="AA634" s="3"/>
      <c r="AB634" s="3"/>
      <c r="AC634" s="3"/>
      <c r="AD634" s="3"/>
      <c r="AE634" t="s">
        <v>5826</v>
      </c>
      <c r="AF634" t="s">
        <v>719</v>
      </c>
    </row>
    <row r="635" spans="1:32" x14ac:dyDescent="0.3">
      <c r="A635" t="s">
        <v>1826</v>
      </c>
      <c r="B635" s="1" t="s">
        <v>1205</v>
      </c>
      <c r="C635" s="5" t="s">
        <v>2701</v>
      </c>
      <c r="D635" s="2" t="s">
        <v>4218</v>
      </c>
      <c r="E635" s="1" t="s">
        <v>391</v>
      </c>
      <c r="F635" s="3">
        <v>3.84</v>
      </c>
      <c r="G635" s="3">
        <v>2.89</v>
      </c>
      <c r="H635" s="3">
        <v>2.87</v>
      </c>
      <c r="I635" s="3">
        <v>3.13</v>
      </c>
      <c r="J635" s="3">
        <v>3.61</v>
      </c>
      <c r="K635" s="3">
        <v>3.75</v>
      </c>
      <c r="L635" s="3">
        <v>4.09</v>
      </c>
      <c r="M635" s="3">
        <v>3.86</v>
      </c>
      <c r="N635" s="3">
        <v>3.53</v>
      </c>
      <c r="O635" s="3">
        <v>3.96</v>
      </c>
      <c r="P635" s="3">
        <v>3.33</v>
      </c>
      <c r="Q635" s="3">
        <v>3.08</v>
      </c>
      <c r="R635" s="3">
        <v>2.48</v>
      </c>
      <c r="S635" s="3">
        <v>2.0699999999999998</v>
      </c>
      <c r="T635" s="3">
        <v>2.5299999999999998</v>
      </c>
      <c r="U635" s="3">
        <v>2.21</v>
      </c>
      <c r="V635" s="3">
        <v>4.16</v>
      </c>
      <c r="W635" s="3">
        <v>3.12</v>
      </c>
      <c r="X635" s="3">
        <v>3.19</v>
      </c>
      <c r="Y635" s="3">
        <v>3.47</v>
      </c>
      <c r="Z635" s="3">
        <v>2.77</v>
      </c>
      <c r="AA635" s="3"/>
      <c r="AB635" s="3"/>
      <c r="AC635" s="3"/>
      <c r="AD635" s="3"/>
      <c r="AE635" t="s">
        <v>5827</v>
      </c>
      <c r="AF635" t="s">
        <v>947</v>
      </c>
    </row>
    <row r="636" spans="1:32" x14ac:dyDescent="0.3">
      <c r="A636" t="s">
        <v>1826</v>
      </c>
      <c r="B636" s="1" t="s">
        <v>1205</v>
      </c>
      <c r="C636" s="5" t="s">
        <v>2702</v>
      </c>
      <c r="D636" s="2" t="s">
        <v>4219</v>
      </c>
      <c r="E636" s="1" t="s">
        <v>1672</v>
      </c>
      <c r="F636" s="3"/>
      <c r="G636" s="3"/>
      <c r="H636" s="3"/>
      <c r="I636" s="3"/>
      <c r="J636" s="3"/>
      <c r="K636" s="3">
        <v>9.72896534513856</v>
      </c>
      <c r="L636" s="3">
        <v>9.728981524203089</v>
      </c>
      <c r="M636" s="3">
        <v>9.8118551128031868</v>
      </c>
      <c r="N636" s="3">
        <v>9.7319980605486958</v>
      </c>
      <c r="O636" s="3">
        <v>9.1897722345280766</v>
      </c>
      <c r="P636" s="3">
        <v>8.8341696870768978</v>
      </c>
      <c r="Q636" s="3">
        <v>9.250029069253463</v>
      </c>
      <c r="R636" s="3">
        <v>8.8046700023217035</v>
      </c>
      <c r="S636" s="3">
        <v>9.8119501735433587</v>
      </c>
      <c r="T636" s="3">
        <v>10.296607473851715</v>
      </c>
      <c r="U636" s="3">
        <v>10.403773683664365</v>
      </c>
      <c r="V636" s="3">
        <v>10.726242808714149</v>
      </c>
      <c r="W636" s="3">
        <v>14.574814010964124</v>
      </c>
      <c r="X636" s="3">
        <v>13.936581521696734</v>
      </c>
      <c r="Y636" s="3">
        <v>13.306377742992263</v>
      </c>
      <c r="Z636" s="3">
        <v>16.181825064308359</v>
      </c>
      <c r="AA636" s="3">
        <v>13.818433590838886</v>
      </c>
      <c r="AB636" s="3">
        <v>9.0499318985015211</v>
      </c>
      <c r="AC636" s="3"/>
      <c r="AD636" s="3"/>
      <c r="AE636" t="s">
        <v>5828</v>
      </c>
      <c r="AF636" t="s">
        <v>158</v>
      </c>
    </row>
    <row r="637" spans="1:32" x14ac:dyDescent="0.3">
      <c r="A637" t="s">
        <v>1826</v>
      </c>
      <c r="B637" s="1" t="s">
        <v>1205</v>
      </c>
      <c r="C637" s="5" t="s">
        <v>2703</v>
      </c>
      <c r="D637" s="2" t="s">
        <v>4220</v>
      </c>
      <c r="E637" s="1" t="s">
        <v>493</v>
      </c>
      <c r="F637" s="3"/>
      <c r="G637" s="3"/>
      <c r="H637" s="3"/>
      <c r="I637" s="3"/>
      <c r="J637" s="3"/>
      <c r="K637" s="3">
        <v>90947822.541917205</v>
      </c>
      <c r="L637" s="3">
        <v>92832352.949247196</v>
      </c>
      <c r="M637" s="3">
        <v>102817119.0209</v>
      </c>
      <c r="N637" s="3">
        <v>112878723.566515</v>
      </c>
      <c r="O637" s="3">
        <v>108118361.894485</v>
      </c>
      <c r="P637" s="3">
        <v>104614404.157831</v>
      </c>
      <c r="Q637" s="3">
        <v>94169540.005942196</v>
      </c>
      <c r="R637" s="3">
        <v>86700339.962605998</v>
      </c>
      <c r="S637" s="3">
        <v>91769022.851500601</v>
      </c>
      <c r="T637" s="3">
        <v>93093949.636368304</v>
      </c>
      <c r="U637" s="3">
        <v>79710043.222768202</v>
      </c>
      <c r="V637" s="3">
        <v>98032533.819008395</v>
      </c>
      <c r="W637" s="3">
        <v>141869753.61686701</v>
      </c>
      <c r="X637" s="3">
        <v>162605321.60103601</v>
      </c>
      <c r="Y637" s="3">
        <v>154647613.65068701</v>
      </c>
      <c r="Z637" s="3">
        <v>118409116.0415</v>
      </c>
      <c r="AA637" s="3">
        <v>125777586.597597</v>
      </c>
      <c r="AB637" s="3">
        <v>82622314.209648401</v>
      </c>
      <c r="AC637" s="3"/>
      <c r="AD637" s="3"/>
      <c r="AE637" t="s">
        <v>5829</v>
      </c>
      <c r="AF637" t="s">
        <v>1152</v>
      </c>
    </row>
    <row r="638" spans="1:32" x14ac:dyDescent="0.3">
      <c r="A638" t="s">
        <v>1826</v>
      </c>
      <c r="B638" s="1" t="s">
        <v>1205</v>
      </c>
      <c r="C638" s="5" t="s">
        <v>2704</v>
      </c>
      <c r="D638" s="2" t="s">
        <v>4221</v>
      </c>
      <c r="E638" s="1" t="s">
        <v>367</v>
      </c>
      <c r="F638" s="3"/>
      <c r="G638" s="3"/>
      <c r="H638" s="3"/>
      <c r="I638" s="3"/>
      <c r="J638" s="3"/>
      <c r="K638" s="3">
        <v>2.4916666666666698</v>
      </c>
      <c r="L638" s="3">
        <v>2.4500000000000002</v>
      </c>
      <c r="M638" s="3">
        <v>2.5499999999999998</v>
      </c>
      <c r="N638" s="3">
        <v>2.7</v>
      </c>
      <c r="O638" s="3">
        <v>2.7916666666666701</v>
      </c>
      <c r="P638" s="3">
        <v>2.7</v>
      </c>
      <c r="Q638" s="3">
        <v>2.8666666666666698</v>
      </c>
      <c r="R638" s="3">
        <v>3.06666666666667</v>
      </c>
      <c r="S638" s="3">
        <v>3.18333333333333</v>
      </c>
      <c r="T638" s="3">
        <v>3.25</v>
      </c>
      <c r="U638" s="3">
        <v>3.2749999999999999</v>
      </c>
      <c r="V638" s="3">
        <v>3.35</v>
      </c>
      <c r="W638" s="3">
        <v>3.375</v>
      </c>
      <c r="X638" s="3">
        <v>3.4666666666666699</v>
      </c>
      <c r="Y638" s="3">
        <v>3.5</v>
      </c>
      <c r="Z638" s="3">
        <v>3.5833333333333299</v>
      </c>
      <c r="AA638" s="3">
        <v>3.608333</v>
      </c>
      <c r="AB638" s="3">
        <v>3.7416670000000001</v>
      </c>
      <c r="AC638" s="3">
        <v>3.8083330000000002</v>
      </c>
      <c r="AD638" s="3">
        <v>3.9</v>
      </c>
      <c r="AE638" t="s">
        <v>5830</v>
      </c>
      <c r="AF638" t="s">
        <v>893</v>
      </c>
    </row>
    <row r="639" spans="1:32" x14ac:dyDescent="0.3">
      <c r="A639" t="s">
        <v>1826</v>
      </c>
      <c r="B639" s="1" t="s">
        <v>1205</v>
      </c>
      <c r="C639" s="5" t="s">
        <v>2705</v>
      </c>
      <c r="D639" s="2" t="s">
        <v>4222</v>
      </c>
      <c r="E639" s="1" t="s">
        <v>1175</v>
      </c>
      <c r="F639" s="3">
        <v>0</v>
      </c>
      <c r="G639" s="3">
        <v>-6391300</v>
      </c>
      <c r="H639" s="3">
        <v>-6359200</v>
      </c>
      <c r="I639" s="3">
        <v>-6912800</v>
      </c>
      <c r="J639" s="3">
        <v>-5828500</v>
      </c>
      <c r="K639" s="3">
        <v>-4049230.51</v>
      </c>
      <c r="L639" s="3">
        <v>-3250771.92</v>
      </c>
      <c r="M639" s="3">
        <v>-2837971.11</v>
      </c>
      <c r="N639" s="3">
        <v>-2869540.52</v>
      </c>
      <c r="O639" s="3">
        <v>-3027763.72</v>
      </c>
      <c r="P639" s="3">
        <v>5287559.22</v>
      </c>
      <c r="Q639" s="3">
        <v>-7655886.75</v>
      </c>
      <c r="R639" s="3">
        <v>-1261323.3700000001</v>
      </c>
      <c r="S639" s="3">
        <v>34109934</v>
      </c>
      <c r="T639" s="3">
        <v>63829265</v>
      </c>
      <c r="U639" s="3">
        <v>11805319</v>
      </c>
      <c r="V639" s="3">
        <v>26162071</v>
      </c>
      <c r="W639" s="3">
        <v>-8145131</v>
      </c>
      <c r="X639" s="3">
        <v>820002</v>
      </c>
      <c r="Y639" s="3">
        <v>-9459002</v>
      </c>
      <c r="Z639" s="3">
        <v>83914404</v>
      </c>
      <c r="AA639" s="3">
        <v>-20971625</v>
      </c>
      <c r="AB639" s="3">
        <v>36807549</v>
      </c>
      <c r="AC639" s="3">
        <v>75264544.189999998</v>
      </c>
      <c r="AD639" s="3"/>
      <c r="AE639" t="s">
        <v>5831</v>
      </c>
      <c r="AF639" t="s">
        <v>252</v>
      </c>
    </row>
    <row r="640" spans="1:32" x14ac:dyDescent="0.3">
      <c r="A640" t="s">
        <v>1826</v>
      </c>
      <c r="B640" s="1" t="s">
        <v>1205</v>
      </c>
      <c r="C640" s="5" t="s">
        <v>2706</v>
      </c>
      <c r="D640" s="2" t="s">
        <v>4223</v>
      </c>
      <c r="E640" s="1" t="s">
        <v>24</v>
      </c>
      <c r="F640" s="3">
        <v>44339322.799999997</v>
      </c>
      <c r="G640" s="3">
        <v>70355629.400000006</v>
      </c>
      <c r="H640" s="3">
        <v>89860683.700000003</v>
      </c>
      <c r="I640" s="3">
        <v>108125700.8</v>
      </c>
      <c r="J640" s="3">
        <v>129844719.5</v>
      </c>
      <c r="K640" s="3">
        <v>94076853.900000006</v>
      </c>
      <c r="L640" s="3">
        <v>60689852</v>
      </c>
      <c r="M640" s="3">
        <v>50363966.299999997</v>
      </c>
      <c r="N640" s="3">
        <v>49479616.399999999</v>
      </c>
      <c r="O640" s="3">
        <v>146765304.19999999</v>
      </c>
      <c r="P640" s="3">
        <v>11739128.1</v>
      </c>
      <c r="Q640" s="3">
        <v>18985195.899999999</v>
      </c>
      <c r="R640" s="3">
        <v>26410186.100000001</v>
      </c>
      <c r="S640" s="3">
        <v>614228.5</v>
      </c>
      <c r="T640" s="3">
        <v>7286634.5</v>
      </c>
      <c r="U640" s="3">
        <v>54817702.899999999</v>
      </c>
      <c r="V640" s="3">
        <v>64555707.899999999</v>
      </c>
      <c r="W640" s="3">
        <v>119739319</v>
      </c>
      <c r="X640" s="3">
        <v>160759066.69999999</v>
      </c>
      <c r="Y640" s="3">
        <v>169677616</v>
      </c>
      <c r="Z640" s="3">
        <v>169775880.69999999</v>
      </c>
      <c r="AA640" s="3">
        <v>205634643.40000001</v>
      </c>
      <c r="AB640" s="3">
        <v>205087281.30000001</v>
      </c>
      <c r="AC640" s="3">
        <v>434387720.5</v>
      </c>
      <c r="AD640" s="3"/>
      <c r="AE640" t="s">
        <v>5832</v>
      </c>
      <c r="AF640" t="s">
        <v>252</v>
      </c>
    </row>
    <row r="641" spans="1:32" x14ac:dyDescent="0.3">
      <c r="A641" t="s">
        <v>1826</v>
      </c>
      <c r="B641" s="1" t="s">
        <v>1205</v>
      </c>
      <c r="C641" s="5" t="s">
        <v>2707</v>
      </c>
      <c r="D641" s="2" t="s">
        <v>4224</v>
      </c>
      <c r="E641" s="1" t="s">
        <v>1442</v>
      </c>
      <c r="F641" s="3">
        <v>65</v>
      </c>
      <c r="G641" s="3">
        <v>66</v>
      </c>
      <c r="H641" s="3">
        <v>64</v>
      </c>
      <c r="I641" s="3">
        <v>61</v>
      </c>
      <c r="J641" s="3">
        <v>67</v>
      </c>
      <c r="K641" s="3">
        <v>76</v>
      </c>
      <c r="L641" s="3">
        <v>77</v>
      </c>
      <c r="M641" s="3">
        <v>76</v>
      </c>
      <c r="N641" s="3">
        <v>74</v>
      </c>
      <c r="O641" s="3">
        <v>81</v>
      </c>
      <c r="P641" s="3">
        <v>78</v>
      </c>
      <c r="Q641" s="3">
        <v>61</v>
      </c>
      <c r="R641" s="3">
        <v>82</v>
      </c>
      <c r="S641" s="3">
        <v>75</v>
      </c>
      <c r="T641" s="3">
        <v>73</v>
      </c>
      <c r="U641" s="3">
        <v>79</v>
      </c>
      <c r="V641" s="3">
        <v>87</v>
      </c>
      <c r="W641" s="3">
        <v>83</v>
      </c>
      <c r="X641" s="3">
        <v>83</v>
      </c>
      <c r="Y641" s="3">
        <v>79</v>
      </c>
      <c r="Z641" s="3">
        <v>72</v>
      </c>
      <c r="AA641" s="3">
        <v>73</v>
      </c>
      <c r="AB641" s="3">
        <v>73</v>
      </c>
      <c r="AC641" s="3">
        <v>79</v>
      </c>
      <c r="AD641" s="3"/>
      <c r="AE641" t="s">
        <v>5833</v>
      </c>
      <c r="AF641" t="s">
        <v>1180</v>
      </c>
    </row>
    <row r="642" spans="1:32" x14ac:dyDescent="0.3">
      <c r="A642" t="s">
        <v>1826</v>
      </c>
      <c r="B642" s="1" t="s">
        <v>1205</v>
      </c>
      <c r="C642" s="5" t="s">
        <v>2708</v>
      </c>
      <c r="D642" s="2" t="s">
        <v>4225</v>
      </c>
      <c r="E642" s="1" t="s">
        <v>1776</v>
      </c>
      <c r="F642" s="3"/>
      <c r="G642" s="3">
        <v>10</v>
      </c>
      <c r="H642" s="3">
        <v>48</v>
      </c>
      <c r="I642" s="3">
        <v>63</v>
      </c>
      <c r="J642" s="3">
        <v>67</v>
      </c>
      <c r="K642" s="3">
        <v>76</v>
      </c>
      <c r="L642" s="3">
        <v>77</v>
      </c>
      <c r="M642" s="3">
        <v>76</v>
      </c>
      <c r="N642" s="3">
        <v>74</v>
      </c>
      <c r="O642" s="3">
        <v>81</v>
      </c>
      <c r="P642" s="3">
        <v>79</v>
      </c>
      <c r="Q642" s="3">
        <v>62</v>
      </c>
      <c r="R642" s="3">
        <v>82</v>
      </c>
      <c r="S642" s="3">
        <v>75</v>
      </c>
      <c r="T642" s="3">
        <v>73</v>
      </c>
      <c r="U642" s="3">
        <v>79</v>
      </c>
      <c r="V642" s="3">
        <v>87</v>
      </c>
      <c r="W642" s="3">
        <v>83</v>
      </c>
      <c r="X642" s="3">
        <v>83</v>
      </c>
      <c r="Y642" s="3">
        <v>79</v>
      </c>
      <c r="Z642" s="3">
        <v>72</v>
      </c>
      <c r="AA642" s="3">
        <v>73</v>
      </c>
      <c r="AB642" s="3">
        <v>73</v>
      </c>
      <c r="AC642" s="3">
        <v>79</v>
      </c>
      <c r="AD642" s="3"/>
      <c r="AE642" t="s">
        <v>5834</v>
      </c>
      <c r="AF642" t="s">
        <v>1180</v>
      </c>
    </row>
    <row r="643" spans="1:32" x14ac:dyDescent="0.3">
      <c r="A643" t="s">
        <v>1826</v>
      </c>
      <c r="B643" s="1" t="s">
        <v>1205</v>
      </c>
      <c r="C643" s="5" t="s">
        <v>2709</v>
      </c>
      <c r="D643" s="2" t="s">
        <v>4226</v>
      </c>
      <c r="E643" s="1" t="s">
        <v>595</v>
      </c>
      <c r="F643" s="3">
        <v>68</v>
      </c>
      <c r="G643" s="3">
        <v>71</v>
      </c>
      <c r="H643" s="3">
        <v>71</v>
      </c>
      <c r="I643" s="3">
        <v>70</v>
      </c>
      <c r="J643" s="3">
        <v>78</v>
      </c>
      <c r="K643" s="3">
        <v>84</v>
      </c>
      <c r="L643" s="3">
        <v>73</v>
      </c>
      <c r="M643" s="3">
        <v>67</v>
      </c>
      <c r="N643" s="3">
        <v>63</v>
      </c>
      <c r="O643" s="3">
        <v>67</v>
      </c>
      <c r="P643" s="3">
        <v>64</v>
      </c>
      <c r="Q643" s="3">
        <v>49</v>
      </c>
      <c r="R643" s="3">
        <v>74</v>
      </c>
      <c r="S643" s="3">
        <v>69</v>
      </c>
      <c r="T643" s="3">
        <v>59</v>
      </c>
      <c r="U643" s="3">
        <v>67</v>
      </c>
      <c r="V643" s="3">
        <v>73</v>
      </c>
      <c r="W643" s="3">
        <v>70</v>
      </c>
      <c r="X643" s="3">
        <v>74</v>
      </c>
      <c r="Y643" s="3">
        <v>71</v>
      </c>
      <c r="Z643" s="3">
        <v>63</v>
      </c>
      <c r="AA643" s="3">
        <v>65</v>
      </c>
      <c r="AB643" s="3">
        <v>62</v>
      </c>
      <c r="AC643" s="3">
        <v>70</v>
      </c>
      <c r="AD643" s="3"/>
      <c r="AE643" t="s">
        <v>5835</v>
      </c>
      <c r="AF643" t="s">
        <v>1180</v>
      </c>
    </row>
    <row r="644" spans="1:32" x14ac:dyDescent="0.3">
      <c r="A644" t="s">
        <v>1826</v>
      </c>
      <c r="B644" s="1" t="s">
        <v>1205</v>
      </c>
      <c r="C644" s="5" t="s">
        <v>2710</v>
      </c>
      <c r="D644" s="2" t="s">
        <v>4227</v>
      </c>
      <c r="E644" s="1" t="s">
        <v>1126</v>
      </c>
      <c r="F644" s="3">
        <v>65.599999999999994</v>
      </c>
      <c r="G644" s="3">
        <v>61.9</v>
      </c>
      <c r="H644" s="3">
        <v>62.2</v>
      </c>
      <c r="I644" s="3">
        <v>66.599999999999994</v>
      </c>
      <c r="J644" s="3">
        <v>74.900000000000006</v>
      </c>
      <c r="K644" s="3">
        <v>85.6</v>
      </c>
      <c r="L644" s="3">
        <v>91.9</v>
      </c>
      <c r="M644" s="3">
        <v>100.2</v>
      </c>
      <c r="N644" s="3">
        <v>121</v>
      </c>
      <c r="O644" s="3">
        <v>100.8</v>
      </c>
      <c r="P644" s="3">
        <v>108.9</v>
      </c>
      <c r="Q644" s="3">
        <v>124.1</v>
      </c>
      <c r="R644" s="3">
        <v>122.8</v>
      </c>
      <c r="S644" s="3">
        <v>120.8</v>
      </c>
      <c r="T644" s="3">
        <v>118.4</v>
      </c>
      <c r="U644" s="3">
        <v>100</v>
      </c>
      <c r="V644" s="3">
        <v>97.3</v>
      </c>
      <c r="W644" s="3">
        <v>102</v>
      </c>
      <c r="X644" s="3">
        <v>108.9</v>
      </c>
      <c r="Y644" s="3">
        <v>105.2</v>
      </c>
      <c r="Z644" s="3">
        <v>99.7</v>
      </c>
      <c r="AA644" s="3">
        <v>121.9</v>
      </c>
      <c r="AB644" s="3">
        <v>141.6</v>
      </c>
      <c r="AC644" s="3">
        <v>134.5</v>
      </c>
      <c r="AD644" s="3"/>
      <c r="AE644" t="s">
        <v>5836</v>
      </c>
      <c r="AF644" t="s">
        <v>1098</v>
      </c>
    </row>
    <row r="645" spans="1:32" x14ac:dyDescent="0.3">
      <c r="A645" t="s">
        <v>1826</v>
      </c>
      <c r="B645" s="1" t="s">
        <v>1205</v>
      </c>
      <c r="C645" s="5" t="s">
        <v>2711</v>
      </c>
      <c r="D645" s="2" t="s">
        <v>4228</v>
      </c>
      <c r="E645" s="1" t="s">
        <v>713</v>
      </c>
      <c r="F645" s="3">
        <v>26.040046216299999</v>
      </c>
      <c r="G645" s="3">
        <v>26.729006910500001</v>
      </c>
      <c r="H645" s="3">
        <v>27.265535371799999</v>
      </c>
      <c r="I645" s="3">
        <v>34.399172649400001</v>
      </c>
      <c r="J645" s="3">
        <v>49.461090124499997</v>
      </c>
      <c r="K645" s="3">
        <v>55.7</v>
      </c>
      <c r="L645" s="3">
        <v>55.4</v>
      </c>
      <c r="M645" s="3">
        <v>63.2</v>
      </c>
      <c r="N645" s="3">
        <v>75.599999999999994</v>
      </c>
      <c r="O645" s="3">
        <v>66.8</v>
      </c>
      <c r="P645" s="3">
        <v>75.400000000000006</v>
      </c>
      <c r="Q645" s="3">
        <v>64.5</v>
      </c>
      <c r="R645" s="3">
        <v>93.6</v>
      </c>
      <c r="S645" s="3">
        <v>122</v>
      </c>
      <c r="T645" s="3">
        <v>106.5</v>
      </c>
      <c r="U645" s="3">
        <v>100</v>
      </c>
      <c r="V645" s="3">
        <v>82.5</v>
      </c>
      <c r="W645" s="3">
        <v>92.4</v>
      </c>
      <c r="X645" s="3">
        <v>105.4</v>
      </c>
      <c r="Y645" s="3">
        <v>100.7</v>
      </c>
      <c r="Z645" s="3">
        <v>101.2</v>
      </c>
      <c r="AA645" s="3">
        <v>134.19999999999999</v>
      </c>
      <c r="AB645" s="3">
        <v>171.9</v>
      </c>
      <c r="AC645" s="3">
        <v>181.5</v>
      </c>
      <c r="AD645" s="3"/>
      <c r="AE645" t="s">
        <v>5837</v>
      </c>
      <c r="AF645" t="s">
        <v>1397</v>
      </c>
    </row>
    <row r="646" spans="1:32" x14ac:dyDescent="0.3">
      <c r="A646" t="s">
        <v>1826</v>
      </c>
      <c r="B646" s="1" t="s">
        <v>1205</v>
      </c>
      <c r="C646" s="5" t="s">
        <v>2712</v>
      </c>
      <c r="D646" s="2" t="s">
        <v>4229</v>
      </c>
      <c r="E646" s="1" t="s">
        <v>940</v>
      </c>
      <c r="F646" s="3">
        <v>43.766031316700001</v>
      </c>
      <c r="G646" s="3">
        <v>47.578235017499999</v>
      </c>
      <c r="H646" s="3">
        <v>48.291404948699999</v>
      </c>
      <c r="I646" s="3">
        <v>56.929343652500002</v>
      </c>
      <c r="J646" s="3">
        <v>72.754744975500003</v>
      </c>
      <c r="K646" s="3">
        <v>65.2</v>
      </c>
      <c r="L646" s="3">
        <v>60.3</v>
      </c>
      <c r="M646" s="3">
        <v>63.1</v>
      </c>
      <c r="N646" s="3">
        <v>62.5</v>
      </c>
      <c r="O646" s="3">
        <v>66.3</v>
      </c>
      <c r="P646" s="3">
        <v>69.2</v>
      </c>
      <c r="Q646" s="3">
        <v>52</v>
      </c>
      <c r="R646" s="3">
        <v>76.2</v>
      </c>
      <c r="S646" s="3">
        <v>101</v>
      </c>
      <c r="T646" s="3">
        <v>89.9</v>
      </c>
      <c r="U646" s="3">
        <v>100</v>
      </c>
      <c r="V646" s="3">
        <v>84.8</v>
      </c>
      <c r="W646" s="3">
        <v>90.5</v>
      </c>
      <c r="X646" s="3">
        <v>96.8</v>
      </c>
      <c r="Y646" s="3">
        <v>95.8</v>
      </c>
      <c r="Z646" s="3">
        <v>101.5</v>
      </c>
      <c r="AA646" s="3">
        <v>110.1</v>
      </c>
      <c r="AB646" s="3">
        <v>121.4</v>
      </c>
      <c r="AC646" s="3">
        <v>135</v>
      </c>
      <c r="AD646" s="3"/>
      <c r="AE646" t="s">
        <v>5838</v>
      </c>
      <c r="AF646" t="s">
        <v>562</v>
      </c>
    </row>
    <row r="647" spans="1:32" x14ac:dyDescent="0.3">
      <c r="A647" t="s">
        <v>1826</v>
      </c>
      <c r="B647" s="1" t="s">
        <v>1205</v>
      </c>
      <c r="C647" s="5" t="s">
        <v>2713</v>
      </c>
      <c r="D647" s="2" t="s">
        <v>4230</v>
      </c>
      <c r="E647" s="1" t="s">
        <v>345</v>
      </c>
      <c r="F647" s="3">
        <v>27.173933065954937</v>
      </c>
      <c r="G647" s="3">
        <v>25.644290088520545</v>
      </c>
      <c r="H647" s="3">
        <v>24.540786789982853</v>
      </c>
      <c r="I647" s="3">
        <v>24.519047274628004</v>
      </c>
      <c r="J647" s="3">
        <v>27.977007435731487</v>
      </c>
      <c r="K647" s="3">
        <v>30.941955815043887</v>
      </c>
      <c r="L647" s="3">
        <v>30.84944682803107</v>
      </c>
      <c r="M647" s="3">
        <v>30.939989624299237</v>
      </c>
      <c r="N647" s="3">
        <v>30.926952225575537</v>
      </c>
      <c r="O647" s="3">
        <v>31.260162442108179</v>
      </c>
      <c r="P647" s="3">
        <v>33.973365490424854</v>
      </c>
      <c r="Q647" s="3">
        <v>29.434526709171116</v>
      </c>
      <c r="R647" s="3">
        <v>35.318598920782634</v>
      </c>
      <c r="S647" s="3">
        <v>29.192276595157907</v>
      </c>
      <c r="T647" s="3">
        <v>25.523458796480785</v>
      </c>
      <c r="U647" s="3">
        <v>25.359620948796863</v>
      </c>
      <c r="V647" s="3">
        <v>22.623715908038395</v>
      </c>
      <c r="W647" s="3">
        <v>23.163720870833902</v>
      </c>
      <c r="X647" s="3">
        <v>23.343308793428729</v>
      </c>
      <c r="Y647" s="3">
        <v>21.999921818034274</v>
      </c>
      <c r="Z647" s="3">
        <v>20.949163334752928</v>
      </c>
      <c r="AA647" s="3">
        <v>22.817764939303302</v>
      </c>
      <c r="AB647" s="3">
        <v>28.599030715118857</v>
      </c>
      <c r="AC647" s="3">
        <v>27.752264244531631</v>
      </c>
      <c r="AD647" s="3">
        <v>27.068819260751937</v>
      </c>
      <c r="AE647" t="s">
        <v>5839</v>
      </c>
      <c r="AF647" t="s">
        <v>718</v>
      </c>
    </row>
    <row r="648" spans="1:32" x14ac:dyDescent="0.3">
      <c r="A648" t="s">
        <v>1826</v>
      </c>
      <c r="B648" s="1" t="s">
        <v>1205</v>
      </c>
      <c r="C648" s="5" t="s">
        <v>2714</v>
      </c>
      <c r="D648" s="2" t="s">
        <v>4231</v>
      </c>
      <c r="E648" s="1" t="s">
        <v>52</v>
      </c>
      <c r="F648" s="3">
        <v>-1.7107603030598568</v>
      </c>
      <c r="G648" s="3">
        <v>-7.2496936443469195</v>
      </c>
      <c r="H648" s="3">
        <v>-3.0282759003849122</v>
      </c>
      <c r="I648" s="3">
        <v>-5.0834484528506181</v>
      </c>
      <c r="J648" s="3">
        <v>12.944758218128612</v>
      </c>
      <c r="K648" s="3">
        <v>8.0667457356882863</v>
      </c>
      <c r="L648" s="3">
        <v>-0.45273765630747675</v>
      </c>
      <c r="M648" s="3">
        <v>0.36872206730483015</v>
      </c>
      <c r="N648" s="3">
        <v>-0.94485024798291306</v>
      </c>
      <c r="O648" s="3">
        <v>15.001881822174241</v>
      </c>
      <c r="P648" s="3">
        <v>13.732684093900005</v>
      </c>
      <c r="Q648" s="3">
        <v>-20.243706952416701</v>
      </c>
      <c r="R648" s="3">
        <v>27.720613178095761</v>
      </c>
      <c r="S648" s="3">
        <v>-9.8363442792269211</v>
      </c>
      <c r="T648" s="3">
        <v>-1.4105454339688634</v>
      </c>
      <c r="U648" s="3">
        <v>13.936108184626718</v>
      </c>
      <c r="V648" s="3">
        <v>4.3674479545785516E-2</v>
      </c>
      <c r="W648" s="3">
        <v>6.30200308207219</v>
      </c>
      <c r="X648" s="3">
        <v>4.3890697997411223</v>
      </c>
      <c r="Y648" s="3">
        <v>4.3136663149902432</v>
      </c>
      <c r="Z648" s="3">
        <v>5.7662680857565363</v>
      </c>
      <c r="AA648" s="3">
        <v>15.856178618721103</v>
      </c>
      <c r="AB648" s="3">
        <v>21.061197517235115</v>
      </c>
      <c r="AC648" s="3">
        <v>7.7134399793284132</v>
      </c>
      <c r="AD648" s="3">
        <v>4</v>
      </c>
      <c r="AE648" t="s">
        <v>5840</v>
      </c>
      <c r="AF648" t="s">
        <v>718</v>
      </c>
    </row>
    <row r="649" spans="1:32" x14ac:dyDescent="0.3">
      <c r="A649" t="s">
        <v>1826</v>
      </c>
      <c r="B649" s="1" t="s">
        <v>1205</v>
      </c>
      <c r="C649" s="5" t="s">
        <v>2715</v>
      </c>
      <c r="D649" s="2" t="s">
        <v>4232</v>
      </c>
      <c r="E649" s="1" t="s">
        <v>1797</v>
      </c>
      <c r="F649" s="3"/>
      <c r="G649" s="3"/>
      <c r="H649" s="3"/>
      <c r="I649" s="3"/>
      <c r="J649" s="3"/>
      <c r="K649" s="3">
        <v>7371118516.67803</v>
      </c>
      <c r="L649" s="3">
        <v>7601571995.6248798</v>
      </c>
      <c r="M649" s="3">
        <v>8592168083.5885391</v>
      </c>
      <c r="N649" s="3">
        <v>9759897658.0634499</v>
      </c>
      <c r="O649" s="3">
        <v>9725288614.9980202</v>
      </c>
      <c r="P649" s="3">
        <v>10785918960.785101</v>
      </c>
      <c r="Q649" s="3">
        <v>9480011911.3318596</v>
      </c>
      <c r="R649" s="3">
        <v>11986923740.0767</v>
      </c>
      <c r="S649" s="3">
        <v>12070085515.4247</v>
      </c>
      <c r="T649" s="3">
        <v>12173615245.2847</v>
      </c>
      <c r="U649" s="3">
        <v>11350941885.235901</v>
      </c>
      <c r="V649" s="3">
        <v>10719663210.285999</v>
      </c>
      <c r="W649" s="3">
        <v>11848917548.764299</v>
      </c>
      <c r="X649" s="3">
        <v>13183079166.8557</v>
      </c>
      <c r="Y649" s="3">
        <v>12880625262.879499</v>
      </c>
      <c r="Z649" s="3">
        <v>12660139881.6488</v>
      </c>
      <c r="AA649" s="3">
        <v>16190824220.850401</v>
      </c>
      <c r="AB649" s="3">
        <v>19948193945.835999</v>
      </c>
      <c r="AC649" s="3"/>
      <c r="AD649" s="3"/>
      <c r="AE649" t="s">
        <v>5841</v>
      </c>
      <c r="AF649" t="s">
        <v>613</v>
      </c>
    </row>
    <row r="650" spans="1:32" x14ac:dyDescent="0.3">
      <c r="A650" t="s">
        <v>1826</v>
      </c>
      <c r="B650" s="1" t="s">
        <v>1205</v>
      </c>
      <c r="C650" s="5" t="s">
        <v>2716</v>
      </c>
      <c r="D650" s="2" t="s">
        <v>4233</v>
      </c>
      <c r="E650" s="1" t="s">
        <v>1364</v>
      </c>
      <c r="F650" s="3">
        <v>8349214156.4492559</v>
      </c>
      <c r="G650" s="3">
        <v>7743921708.3962402</v>
      </c>
      <c r="H650" s="3">
        <v>7509414393.556201</v>
      </c>
      <c r="I650" s="3">
        <v>7127677183.748826</v>
      </c>
      <c r="J650" s="3">
        <v>8050337761.7538309</v>
      </c>
      <c r="K650" s="3">
        <v>8699738039.8586121</v>
      </c>
      <c r="L650" s="3">
        <v>8660351049.7520657</v>
      </c>
      <c r="M650" s="3">
        <v>8692283675.178566</v>
      </c>
      <c r="N650" s="3">
        <v>8610154611.318264</v>
      </c>
      <c r="O650" s="3">
        <v>9901839830.8147144</v>
      </c>
      <c r="P650" s="3">
        <v>11261628214.264462</v>
      </c>
      <c r="Q650" s="3">
        <v>8981857200.4980869</v>
      </c>
      <c r="R650" s="3">
        <v>11471683091.257103</v>
      </c>
      <c r="S650" s="3">
        <v>10343288847.779194</v>
      </c>
      <c r="T650" s="3">
        <v>10197392059.214634</v>
      </c>
      <c r="U650" s="3">
        <v>11618511648.597319</v>
      </c>
      <c r="V650" s="3">
        <v>11623585973.090811</v>
      </c>
      <c r="W650" s="3">
        <v>12356104719.362303</v>
      </c>
      <c r="X650" s="3">
        <v>12898422780.024221</v>
      </c>
      <c r="Y650" s="3">
        <v>13454817698.651154</v>
      </c>
      <c r="Z650" s="3">
        <v>14230658557.605196</v>
      </c>
      <c r="AA650" s="3">
        <v>16487097197.119396</v>
      </c>
      <c r="AB650" s="3">
        <v>19959477302.663246</v>
      </c>
      <c r="AC650" s="3">
        <v>21499039604.59185</v>
      </c>
      <c r="AD650" s="3">
        <v>22359001188.775524</v>
      </c>
      <c r="AE650" t="s">
        <v>5842</v>
      </c>
      <c r="AF650" t="s">
        <v>718</v>
      </c>
    </row>
    <row r="651" spans="1:32" x14ac:dyDescent="0.3">
      <c r="A651" t="s">
        <v>1826</v>
      </c>
      <c r="B651" s="1" t="s">
        <v>1205</v>
      </c>
      <c r="C651" s="5" t="s">
        <v>2717</v>
      </c>
      <c r="D651" s="2" t="s">
        <v>4234</v>
      </c>
      <c r="E651" s="1" t="s">
        <v>1281</v>
      </c>
      <c r="F651" s="3">
        <v>4936153078400</v>
      </c>
      <c r="G651" s="3">
        <v>4578297102400</v>
      </c>
      <c r="H651" s="3">
        <v>4439653634600</v>
      </c>
      <c r="I651" s="3">
        <v>4213966130600</v>
      </c>
      <c r="J651" s="3">
        <v>4759453857600</v>
      </c>
      <c r="K651" s="3">
        <v>5143386898700</v>
      </c>
      <c r="L651" s="3">
        <v>5120100849400</v>
      </c>
      <c r="M651" s="3">
        <v>5138979791100</v>
      </c>
      <c r="N651" s="3">
        <v>5090424127800</v>
      </c>
      <c r="O651" s="3">
        <v>5854083539700</v>
      </c>
      <c r="P651" s="3">
        <v>6658006338800</v>
      </c>
      <c r="Q651" s="3">
        <v>5310179046700</v>
      </c>
      <c r="R651" s="3">
        <v>6782193239300</v>
      </c>
      <c r="S651" s="3">
        <v>6115073362600</v>
      </c>
      <c r="T651" s="3">
        <v>6028817474500</v>
      </c>
      <c r="U651" s="3">
        <v>6869000000000</v>
      </c>
      <c r="V651" s="3">
        <v>6872000000000</v>
      </c>
      <c r="W651" s="3">
        <v>7305073651800</v>
      </c>
      <c r="X651" s="3">
        <v>7625698433300</v>
      </c>
      <c r="Y651" s="3">
        <v>7954645617900</v>
      </c>
      <c r="Z651" s="3">
        <v>8413331809499.999</v>
      </c>
      <c r="AA651" s="3">
        <v>9747364729000</v>
      </c>
      <c r="AB651" s="3">
        <v>11800276467300</v>
      </c>
      <c r="AC651" s="3">
        <v>12710483710000</v>
      </c>
      <c r="AD651" s="3">
        <v>13218903058400</v>
      </c>
      <c r="AE651" t="s">
        <v>5843</v>
      </c>
      <c r="AF651" t="s">
        <v>718</v>
      </c>
    </row>
    <row r="652" spans="1:32" x14ac:dyDescent="0.3">
      <c r="A652" t="s">
        <v>1826</v>
      </c>
      <c r="B652" s="1" t="s">
        <v>1205</v>
      </c>
      <c r="C652" s="5" t="s">
        <v>2718</v>
      </c>
      <c r="D652" s="2" t="s">
        <v>4235</v>
      </c>
      <c r="E652" s="1" t="s">
        <v>1151</v>
      </c>
      <c r="F652" s="3">
        <v>3199322142400</v>
      </c>
      <c r="G652" s="3">
        <v>3157324623600</v>
      </c>
      <c r="H652" s="3">
        <v>3073626674000</v>
      </c>
      <c r="I652" s="3">
        <v>3021687577000</v>
      </c>
      <c r="J652" s="3">
        <v>3468595176200</v>
      </c>
      <c r="K652" s="3">
        <v>3921480259800</v>
      </c>
      <c r="L652" s="3">
        <v>4074489470500</v>
      </c>
      <c r="M652" s="3">
        <v>4259059513700</v>
      </c>
      <c r="N652" s="3">
        <v>4700555480400</v>
      </c>
      <c r="O652" s="3">
        <v>4981852499400</v>
      </c>
      <c r="P652" s="3">
        <v>5872732689000</v>
      </c>
      <c r="Q652" s="3">
        <v>5089777385100</v>
      </c>
      <c r="R652" s="3">
        <v>6546080091700</v>
      </c>
      <c r="S652" s="3">
        <v>6165194028300</v>
      </c>
      <c r="T652" s="3">
        <v>6155388432700</v>
      </c>
      <c r="U652" s="3">
        <v>6869000000000</v>
      </c>
      <c r="V652" s="3">
        <v>6490000000000</v>
      </c>
      <c r="W652" s="3">
        <v>7063000000000</v>
      </c>
      <c r="X652" s="3">
        <v>7588000000000</v>
      </c>
      <c r="Y652" s="3">
        <v>7783353000000</v>
      </c>
      <c r="Z652" s="3">
        <v>7599927000000</v>
      </c>
      <c r="AA652" s="3">
        <v>9210815000000</v>
      </c>
      <c r="AB652" s="3">
        <v>12651868000000</v>
      </c>
      <c r="AC652" s="3">
        <v>13402652000000</v>
      </c>
      <c r="AD652" s="3">
        <v>14203594246000</v>
      </c>
      <c r="AE652" t="s">
        <v>5844</v>
      </c>
      <c r="AF652" t="s">
        <v>718</v>
      </c>
    </row>
    <row r="653" spans="1:32" x14ac:dyDescent="0.3">
      <c r="A653" t="s">
        <v>1826</v>
      </c>
      <c r="B653" s="1" t="s">
        <v>1205</v>
      </c>
      <c r="C653" s="5" t="s">
        <v>2719</v>
      </c>
      <c r="D653" s="2" t="s">
        <v>4236</v>
      </c>
      <c r="E653" s="1" t="s">
        <v>1216</v>
      </c>
      <c r="F653" s="3">
        <v>4504767963.76507</v>
      </c>
      <c r="G653" s="3">
        <v>4310942884.9607258</v>
      </c>
      <c r="H653" s="3">
        <v>4430687717.015377</v>
      </c>
      <c r="I653" s="3">
        <v>5210727693.4179735</v>
      </c>
      <c r="J653" s="3">
        <v>6577555506.5597849</v>
      </c>
      <c r="K653" s="3">
        <v>7437492764.43435</v>
      </c>
      <c r="L653" s="3">
        <v>7799176142.0584993</v>
      </c>
      <c r="M653" s="3">
        <v>8898369156.8925362</v>
      </c>
      <c r="N653" s="3">
        <v>10539361094.812096</v>
      </c>
      <c r="O653" s="3">
        <v>10593072868.46748</v>
      </c>
      <c r="P653" s="3">
        <v>11869039598.92728</v>
      </c>
      <c r="Q653" s="3">
        <v>10800620106.423397</v>
      </c>
      <c r="R653" s="3">
        <v>12821464752.240526</v>
      </c>
      <c r="S653" s="3">
        <v>12482686215.40801</v>
      </c>
      <c r="T653" s="3">
        <v>12466424412.77783</v>
      </c>
      <c r="U653" s="3">
        <v>11618511648.597319</v>
      </c>
      <c r="V653" s="3">
        <v>10951634334.413116</v>
      </c>
      <c r="W653" s="3">
        <v>12163812786.125366</v>
      </c>
      <c r="X653" s="3">
        <v>13661082703.312513</v>
      </c>
      <c r="Y653" s="3">
        <v>13284189624.884214</v>
      </c>
      <c r="Z653" s="3">
        <v>13203807830.595186</v>
      </c>
      <c r="AA653" s="3">
        <v>16610109079.087835</v>
      </c>
      <c r="AB653" s="3">
        <v>20283240455.447685</v>
      </c>
      <c r="AC653" s="3">
        <v>22095813377.330975</v>
      </c>
      <c r="AD653" s="3">
        <v>23424926856.044991</v>
      </c>
      <c r="AE653" t="s">
        <v>5841</v>
      </c>
      <c r="AF653" t="s">
        <v>718</v>
      </c>
    </row>
    <row r="654" spans="1:32" x14ac:dyDescent="0.3">
      <c r="A654" t="s">
        <v>1826</v>
      </c>
      <c r="B654" s="1" t="s">
        <v>1205</v>
      </c>
      <c r="C654" s="5" t="s">
        <v>2720</v>
      </c>
      <c r="D654" s="2" t="s">
        <v>4237</v>
      </c>
      <c r="E654" s="1" t="s">
        <v>65</v>
      </c>
      <c r="F654" s="3"/>
      <c r="G654" s="3"/>
      <c r="H654" s="3"/>
      <c r="I654" s="3"/>
      <c r="J654" s="3"/>
      <c r="K654" s="3">
        <v>8218558845.086668</v>
      </c>
      <c r="L654" s="3">
        <v>8508822669.0486841</v>
      </c>
      <c r="M654" s="3">
        <v>9621013275.6230392</v>
      </c>
      <c r="N654" s="3">
        <v>10903163831.356541</v>
      </c>
      <c r="O654" s="3">
        <v>10888972722.013941</v>
      </c>
      <c r="P654" s="3">
        <v>11918317440.362862</v>
      </c>
      <c r="Q654" s="3">
        <v>10677491729.570139</v>
      </c>
      <c r="R654" s="3">
        <v>13115043582.799141</v>
      </c>
      <c r="S654" s="3">
        <v>13178644178.75495</v>
      </c>
      <c r="T654" s="3">
        <v>13319976617.060051</v>
      </c>
      <c r="U654" s="3">
        <v>12584013968.36211</v>
      </c>
      <c r="V654" s="3">
        <v>12077593458.575029</v>
      </c>
      <c r="W654" s="3">
        <v>13685148938.060619</v>
      </c>
      <c r="X654" s="3">
        <v>15162192917.02722</v>
      </c>
      <c r="Y654" s="3">
        <v>14944935829.96504</v>
      </c>
      <c r="Z654" s="3">
        <v>14906153460.451139</v>
      </c>
      <c r="AA654" s="3">
        <v>18971161159.73188</v>
      </c>
      <c r="AB654" s="3">
        <v>22893459233.138088</v>
      </c>
      <c r="AC654" s="3"/>
      <c r="AD654" s="3"/>
      <c r="AE654" t="s">
        <v>5845</v>
      </c>
      <c r="AF654" t="s">
        <v>613</v>
      </c>
    </row>
    <row r="655" spans="1:32" x14ac:dyDescent="0.3">
      <c r="A655" t="s">
        <v>1826</v>
      </c>
      <c r="B655" s="1" t="s">
        <v>1205</v>
      </c>
      <c r="C655" s="5" t="s">
        <v>2721</v>
      </c>
      <c r="D655" s="2" t="s">
        <v>4238</v>
      </c>
      <c r="E655" s="1" t="s">
        <v>2030</v>
      </c>
      <c r="F655" s="3">
        <v>3.31</v>
      </c>
      <c r="G655" s="3">
        <v>2.88</v>
      </c>
      <c r="H655" s="3">
        <v>2.56</v>
      </c>
      <c r="I655" s="3">
        <v>2.2599999999999998</v>
      </c>
      <c r="J655" s="3">
        <v>2.15</v>
      </c>
      <c r="K655" s="3">
        <v>1.79</v>
      </c>
      <c r="L655" s="3">
        <v>1.66</v>
      </c>
      <c r="M655" s="3">
        <v>1.5</v>
      </c>
      <c r="N655" s="3">
        <v>1.34</v>
      </c>
      <c r="O655" s="3">
        <v>1.21</v>
      </c>
      <c r="P655" s="3">
        <v>1.1299999999999999</v>
      </c>
      <c r="Q655" s="3">
        <v>1.1299999999999999</v>
      </c>
      <c r="R655" s="3">
        <v>0.96</v>
      </c>
      <c r="S655" s="3">
        <v>0.89</v>
      </c>
      <c r="T655" s="3">
        <v>0.8</v>
      </c>
      <c r="U655" s="3">
        <v>0.74</v>
      </c>
      <c r="V655" s="3">
        <v>0.69</v>
      </c>
      <c r="W655" s="3">
        <v>0.56999999999999995</v>
      </c>
      <c r="X655" s="3">
        <v>0.48</v>
      </c>
      <c r="Y655" s="3">
        <v>0.42</v>
      </c>
      <c r="Z655" s="3">
        <v>0.37</v>
      </c>
      <c r="AA655" s="3">
        <v>0.36</v>
      </c>
      <c r="AB655" s="3">
        <v>0.31</v>
      </c>
      <c r="AC655" s="3"/>
      <c r="AD655" s="3"/>
      <c r="AE655" t="s">
        <v>5846</v>
      </c>
      <c r="AF655" t="s">
        <v>422</v>
      </c>
    </row>
    <row r="656" spans="1:32" x14ac:dyDescent="0.3">
      <c r="A656" t="s">
        <v>1826</v>
      </c>
      <c r="B656" s="1" t="s">
        <v>1205</v>
      </c>
      <c r="C656" s="5" t="s">
        <v>2722</v>
      </c>
      <c r="D656" s="2" t="s">
        <v>4239</v>
      </c>
      <c r="E656" s="1" t="s">
        <v>251</v>
      </c>
      <c r="F656" s="3">
        <v>4.9800000000000004</v>
      </c>
      <c r="G656" s="3">
        <v>4.33</v>
      </c>
      <c r="H656" s="3">
        <v>3.87</v>
      </c>
      <c r="I656" s="3">
        <v>3.43</v>
      </c>
      <c r="J656" s="3">
        <v>3.27</v>
      </c>
      <c r="K656" s="3">
        <v>2.73</v>
      </c>
      <c r="L656" s="3">
        <v>2.54</v>
      </c>
      <c r="M656" s="3">
        <v>2.2999999999999998</v>
      </c>
      <c r="N656" s="3">
        <v>2.06</v>
      </c>
      <c r="O656" s="3">
        <v>1.85</v>
      </c>
      <c r="P656" s="3">
        <v>1.72</v>
      </c>
      <c r="Q656" s="3">
        <v>1.71</v>
      </c>
      <c r="R656" s="3">
        <v>1.44</v>
      </c>
      <c r="S656" s="3">
        <v>1.32</v>
      </c>
      <c r="T656" s="3">
        <v>1.19</v>
      </c>
      <c r="U656" s="3">
        <v>1.1000000000000001</v>
      </c>
      <c r="V656" s="3">
        <v>1.02</v>
      </c>
      <c r="W656" s="3">
        <v>0.83</v>
      </c>
      <c r="X656" s="3">
        <v>0.7</v>
      </c>
      <c r="Y656" s="3">
        <v>0.61</v>
      </c>
      <c r="Z656" s="3">
        <v>0.54</v>
      </c>
      <c r="AA656" s="3">
        <v>0.52</v>
      </c>
      <c r="AB656" s="3">
        <v>0.45</v>
      </c>
      <c r="AC656" s="3"/>
      <c r="AD656" s="3"/>
      <c r="AE656" t="s">
        <v>5847</v>
      </c>
      <c r="AF656" t="s">
        <v>422</v>
      </c>
    </row>
    <row r="657" spans="1:32" x14ac:dyDescent="0.3">
      <c r="A657" t="s">
        <v>1826</v>
      </c>
      <c r="B657" s="1" t="s">
        <v>1205</v>
      </c>
      <c r="C657" s="5" t="s">
        <v>2723</v>
      </c>
      <c r="D657" s="2" t="s">
        <v>4240</v>
      </c>
      <c r="E657" s="1" t="s">
        <v>332</v>
      </c>
      <c r="F657" s="3">
        <v>3.64</v>
      </c>
      <c r="G657" s="3">
        <v>3.22</v>
      </c>
      <c r="H657" s="3">
        <v>2.89</v>
      </c>
      <c r="I657" s="3">
        <v>2.59</v>
      </c>
      <c r="J657" s="3">
        <v>2.44</v>
      </c>
      <c r="K657" s="3">
        <v>2.0699999999999998</v>
      </c>
      <c r="L657" s="3">
        <v>1.93</v>
      </c>
      <c r="M657" s="3">
        <v>1.7</v>
      </c>
      <c r="N657" s="3">
        <v>1.47</v>
      </c>
      <c r="O657" s="3">
        <v>1.3</v>
      </c>
      <c r="P657" s="3">
        <v>1.2</v>
      </c>
      <c r="Q657" s="3">
        <v>1.18</v>
      </c>
      <c r="R657" s="3">
        <v>0.97</v>
      </c>
      <c r="S657" s="3">
        <v>0.86</v>
      </c>
      <c r="T657" s="3">
        <v>0.75</v>
      </c>
      <c r="U657" s="3">
        <v>0.69</v>
      </c>
      <c r="V657" s="3">
        <v>0.67</v>
      </c>
      <c r="W657" s="3">
        <v>0.55000000000000004</v>
      </c>
      <c r="X657" s="3">
        <v>0.48</v>
      </c>
      <c r="Y657" s="3">
        <v>0.4</v>
      </c>
      <c r="Z657" s="3">
        <v>0.36</v>
      </c>
      <c r="AA657" s="3">
        <v>0.34</v>
      </c>
      <c r="AB657" s="3">
        <v>0.31</v>
      </c>
      <c r="AC657" s="3"/>
      <c r="AD657" s="3"/>
      <c r="AE657" t="s">
        <v>5848</v>
      </c>
      <c r="AF657" t="s">
        <v>422</v>
      </c>
    </row>
    <row r="658" spans="1:32" x14ac:dyDescent="0.3">
      <c r="A658" t="s">
        <v>1826</v>
      </c>
      <c r="B658" s="1" t="s">
        <v>1205</v>
      </c>
      <c r="C658" s="5" t="s">
        <v>2724</v>
      </c>
      <c r="D658" s="2" t="s">
        <v>4241</v>
      </c>
      <c r="E658" s="1" t="s">
        <v>873</v>
      </c>
      <c r="F658" s="3">
        <v>489.82</v>
      </c>
      <c r="G658" s="3">
        <v>502.6</v>
      </c>
      <c r="H658" s="3">
        <v>507.26</v>
      </c>
      <c r="I658" s="3">
        <v>510.6</v>
      </c>
      <c r="J658" s="3">
        <v>502.81</v>
      </c>
      <c r="K658" s="3">
        <v>478.9</v>
      </c>
      <c r="L658" s="3">
        <v>441.33</v>
      </c>
      <c r="M658" s="3">
        <v>405.02</v>
      </c>
      <c r="N658" s="3">
        <v>403.38</v>
      </c>
      <c r="O658" s="3">
        <v>429.88</v>
      </c>
      <c r="P658" s="3">
        <v>457.83</v>
      </c>
      <c r="Q658" s="3">
        <v>459.87</v>
      </c>
      <c r="R658" s="3">
        <v>374.75</v>
      </c>
      <c r="S658" s="3">
        <v>287.43</v>
      </c>
      <c r="T658" s="3">
        <v>259.06</v>
      </c>
      <c r="U658" s="3">
        <v>241.69</v>
      </c>
      <c r="V658" s="3">
        <v>243.95</v>
      </c>
      <c r="W658" s="3">
        <v>254.2</v>
      </c>
      <c r="X658" s="3">
        <v>269.43</v>
      </c>
      <c r="Y658" s="3">
        <v>276.2</v>
      </c>
      <c r="Z658" s="3">
        <v>278.31</v>
      </c>
      <c r="AA658" s="3">
        <v>274.17</v>
      </c>
      <c r="AB658" s="3">
        <v>266.45</v>
      </c>
      <c r="AC658" s="3">
        <v>251.43</v>
      </c>
      <c r="AD658" s="3"/>
      <c r="AE658" t="s">
        <v>5849</v>
      </c>
      <c r="AF658" t="s">
        <v>606</v>
      </c>
    </row>
    <row r="659" spans="1:32" x14ac:dyDescent="0.3">
      <c r="A659" t="s">
        <v>1826</v>
      </c>
      <c r="B659" s="1" t="s">
        <v>1205</v>
      </c>
      <c r="C659" s="5" t="s">
        <v>2725</v>
      </c>
      <c r="D659" s="2" t="s">
        <v>4242</v>
      </c>
      <c r="E659" s="1" t="s">
        <v>1648</v>
      </c>
      <c r="F659" s="3">
        <v>367</v>
      </c>
      <c r="G659" s="3">
        <v>350</v>
      </c>
      <c r="H659" s="3">
        <v>330</v>
      </c>
      <c r="I659" s="3">
        <v>309</v>
      </c>
      <c r="J659" s="3">
        <v>288</v>
      </c>
      <c r="K659" s="3">
        <v>267</v>
      </c>
      <c r="L659" s="3">
        <v>249</v>
      </c>
      <c r="M659" s="3">
        <v>233</v>
      </c>
      <c r="N659" s="3">
        <v>219</v>
      </c>
      <c r="O659" s="3">
        <v>207</v>
      </c>
      <c r="P659" s="3">
        <v>196</v>
      </c>
      <c r="Q659" s="3">
        <v>186</v>
      </c>
      <c r="R659" s="3">
        <v>178</v>
      </c>
      <c r="S659" s="3">
        <v>170</v>
      </c>
      <c r="T659" s="3">
        <v>165</v>
      </c>
      <c r="U659" s="3">
        <v>159</v>
      </c>
      <c r="V659" s="3">
        <v>153</v>
      </c>
      <c r="W659" s="3">
        <v>148</v>
      </c>
      <c r="X659" s="3">
        <v>142</v>
      </c>
      <c r="Y659" s="3">
        <v>137</v>
      </c>
      <c r="Z659" s="3">
        <v>132</v>
      </c>
      <c r="AA659" s="3">
        <v>128</v>
      </c>
      <c r="AB659" s="3">
        <v>123</v>
      </c>
      <c r="AC659" s="3">
        <v>119</v>
      </c>
      <c r="AD659" s="3"/>
      <c r="AE659" t="s">
        <v>5850</v>
      </c>
      <c r="AF659" t="s">
        <v>1340</v>
      </c>
    </row>
    <row r="660" spans="1:32" x14ac:dyDescent="0.3">
      <c r="A660" t="s">
        <v>1826</v>
      </c>
      <c r="B660" s="1" t="s">
        <v>1205</v>
      </c>
      <c r="C660" s="5" t="s">
        <v>2726</v>
      </c>
      <c r="D660" s="2" t="s">
        <v>4243</v>
      </c>
      <c r="E660" s="1" t="s">
        <v>1727</v>
      </c>
      <c r="F660" s="3"/>
      <c r="G660" s="3"/>
      <c r="H660" s="3">
        <v>20.6</v>
      </c>
      <c r="I660" s="3"/>
      <c r="J660" s="3"/>
      <c r="K660" s="3"/>
      <c r="L660" s="3"/>
      <c r="M660" s="3"/>
      <c r="N660" s="3">
        <v>21.7</v>
      </c>
      <c r="O660" s="3"/>
      <c r="P660" s="3"/>
      <c r="Q660" s="3"/>
      <c r="R660" s="3"/>
      <c r="S660" s="3"/>
      <c r="T660" s="3"/>
      <c r="U660" s="3">
        <v>21.7</v>
      </c>
      <c r="V660" s="3"/>
      <c r="W660" s="3"/>
      <c r="X660" s="3">
        <v>21.9</v>
      </c>
      <c r="Y660" s="3"/>
      <c r="Z660" s="3"/>
      <c r="AA660" s="3">
        <v>21.8</v>
      </c>
      <c r="AB660" s="3"/>
      <c r="AC660" s="3"/>
      <c r="AD660" s="3"/>
      <c r="AE660" t="s">
        <v>5851</v>
      </c>
      <c r="AF660" t="s">
        <v>1890</v>
      </c>
    </row>
    <row r="661" spans="1:32" x14ac:dyDescent="0.3">
      <c r="A661" t="s">
        <v>1826</v>
      </c>
      <c r="B661" s="1" t="s">
        <v>1205</v>
      </c>
      <c r="C661" s="5" t="s">
        <v>2727</v>
      </c>
      <c r="D661" s="2" t="s">
        <v>4244</v>
      </c>
      <c r="E661" s="1" t="s">
        <v>641</v>
      </c>
      <c r="F661" s="3"/>
      <c r="G661" s="3"/>
      <c r="H661" s="3">
        <v>31.3</v>
      </c>
      <c r="I661" s="3"/>
      <c r="J661" s="3"/>
      <c r="K661" s="3"/>
      <c r="L661" s="3"/>
      <c r="M661" s="3"/>
      <c r="N661" s="3">
        <v>32.6</v>
      </c>
      <c r="O661" s="3"/>
      <c r="P661" s="3"/>
      <c r="Q661" s="3"/>
      <c r="R661" s="3"/>
      <c r="S661" s="3"/>
      <c r="T661" s="3"/>
      <c r="U661" s="3">
        <v>31.9</v>
      </c>
      <c r="V661" s="3"/>
      <c r="W661" s="3"/>
      <c r="X661" s="3">
        <v>29</v>
      </c>
      <c r="Y661" s="3"/>
      <c r="Z661" s="3"/>
      <c r="AA661" s="3">
        <v>27.8</v>
      </c>
      <c r="AB661" s="3"/>
      <c r="AC661" s="3"/>
      <c r="AD661" s="3"/>
      <c r="AE661" t="s">
        <v>5852</v>
      </c>
      <c r="AF661" t="s">
        <v>1595</v>
      </c>
    </row>
    <row r="662" spans="1:32" x14ac:dyDescent="0.3">
      <c r="A662" t="s">
        <v>1826</v>
      </c>
      <c r="B662" s="1" t="s">
        <v>1205</v>
      </c>
      <c r="C662" s="5" t="s">
        <v>2728</v>
      </c>
      <c r="D662" s="2" t="s">
        <v>4245</v>
      </c>
      <c r="E662" s="1" t="s">
        <v>476</v>
      </c>
      <c r="F662" s="3"/>
      <c r="G662" s="3"/>
      <c r="H662" s="3">
        <v>48.5</v>
      </c>
      <c r="I662" s="3"/>
      <c r="J662" s="3"/>
      <c r="K662" s="3"/>
      <c r="L662" s="3"/>
      <c r="M662" s="3"/>
      <c r="N662" s="3">
        <v>49</v>
      </c>
      <c r="O662" s="3"/>
      <c r="P662" s="3"/>
      <c r="Q662" s="3"/>
      <c r="R662" s="3"/>
      <c r="S662" s="3"/>
      <c r="T662" s="3"/>
      <c r="U662" s="3">
        <v>47.7</v>
      </c>
      <c r="V662" s="3"/>
      <c r="W662" s="3"/>
      <c r="X662" s="3">
        <v>44.7</v>
      </c>
      <c r="Y662" s="3"/>
      <c r="Z662" s="3"/>
      <c r="AA662" s="3">
        <v>43.3</v>
      </c>
      <c r="AB662" s="3"/>
      <c r="AC662" s="3"/>
      <c r="AD662" s="3"/>
      <c r="AE662" t="s">
        <v>5851</v>
      </c>
      <c r="AF662" t="s">
        <v>1272</v>
      </c>
    </row>
    <row r="663" spans="1:32" x14ac:dyDescent="0.3">
      <c r="A663" t="s">
        <v>1826</v>
      </c>
      <c r="B663" s="1" t="s">
        <v>1205</v>
      </c>
      <c r="C663" s="5" t="s">
        <v>2729</v>
      </c>
      <c r="D663" s="2" t="s">
        <v>4246</v>
      </c>
      <c r="E663" s="1" t="s">
        <v>882</v>
      </c>
      <c r="F663" s="3"/>
      <c r="G663" s="3"/>
      <c r="H663" s="3">
        <v>2.2999999999999998</v>
      </c>
      <c r="I663" s="3"/>
      <c r="J663" s="3"/>
      <c r="K663" s="3"/>
      <c r="L663" s="3"/>
      <c r="M663" s="3"/>
      <c r="N663" s="3">
        <v>1.8</v>
      </c>
      <c r="O663" s="3"/>
      <c r="P663" s="3"/>
      <c r="Q663" s="3"/>
      <c r="R663" s="3"/>
      <c r="S663" s="3"/>
      <c r="T663" s="3"/>
      <c r="U663" s="3">
        <v>2.1</v>
      </c>
      <c r="V663" s="3"/>
      <c r="W663" s="3"/>
      <c r="X663" s="3">
        <v>2.9</v>
      </c>
      <c r="Y663" s="3"/>
      <c r="Z663" s="3"/>
      <c r="AA663" s="3">
        <v>3.1</v>
      </c>
      <c r="AB663" s="3"/>
      <c r="AC663" s="3"/>
      <c r="AD663" s="3"/>
      <c r="AE663" t="s">
        <v>5852</v>
      </c>
      <c r="AF663" t="s">
        <v>1079</v>
      </c>
    </row>
    <row r="664" spans="1:32" x14ac:dyDescent="0.3">
      <c r="A664" t="s">
        <v>1826</v>
      </c>
      <c r="B664" s="1" t="s">
        <v>1205</v>
      </c>
      <c r="C664" s="5" t="s">
        <v>2730</v>
      </c>
      <c r="D664" s="2" t="s">
        <v>4247</v>
      </c>
      <c r="E664" s="1" t="s">
        <v>1525</v>
      </c>
      <c r="F664" s="3"/>
      <c r="G664" s="3"/>
      <c r="H664" s="3">
        <v>6.1</v>
      </c>
      <c r="I664" s="3"/>
      <c r="J664" s="3"/>
      <c r="K664" s="3"/>
      <c r="L664" s="3"/>
      <c r="M664" s="3"/>
      <c r="N664" s="3">
        <v>5.0999999999999996</v>
      </c>
      <c r="O664" s="3"/>
      <c r="P664" s="3"/>
      <c r="Q664" s="3"/>
      <c r="R664" s="3"/>
      <c r="S664" s="3"/>
      <c r="T664" s="3"/>
      <c r="U664" s="3">
        <v>5.7</v>
      </c>
      <c r="V664" s="3"/>
      <c r="W664" s="3"/>
      <c r="X664" s="3">
        <v>7</v>
      </c>
      <c r="Y664" s="3"/>
      <c r="Z664" s="3"/>
      <c r="AA664" s="3">
        <v>7.6</v>
      </c>
      <c r="AB664" s="3"/>
      <c r="AC664" s="3"/>
      <c r="AD664" s="3"/>
      <c r="AE664" t="s">
        <v>5851</v>
      </c>
      <c r="AF664" t="s">
        <v>106</v>
      </c>
    </row>
    <row r="665" spans="1:32" x14ac:dyDescent="0.3">
      <c r="A665" t="s">
        <v>1826</v>
      </c>
      <c r="B665" s="1" t="s">
        <v>1205</v>
      </c>
      <c r="C665" s="5" t="s">
        <v>2731</v>
      </c>
      <c r="D665" s="2" t="s">
        <v>4248</v>
      </c>
      <c r="E665" s="1" t="s">
        <v>259</v>
      </c>
      <c r="F665" s="3"/>
      <c r="G665" s="3"/>
      <c r="H665" s="3">
        <v>11.2</v>
      </c>
      <c r="I665" s="3"/>
      <c r="J665" s="3"/>
      <c r="K665" s="3"/>
      <c r="L665" s="3"/>
      <c r="M665" s="3"/>
      <c r="N665" s="3">
        <v>9.9</v>
      </c>
      <c r="O665" s="3"/>
      <c r="P665" s="3"/>
      <c r="Q665" s="3"/>
      <c r="R665" s="3"/>
      <c r="S665" s="3"/>
      <c r="T665" s="3"/>
      <c r="U665" s="3">
        <v>10.199999999999999</v>
      </c>
      <c r="V665" s="3"/>
      <c r="W665" s="3"/>
      <c r="X665" s="3">
        <v>11</v>
      </c>
      <c r="Y665" s="3"/>
      <c r="Z665" s="3"/>
      <c r="AA665" s="3">
        <v>11.6</v>
      </c>
      <c r="AB665" s="3"/>
      <c r="AC665" s="3"/>
      <c r="AD665" s="3"/>
      <c r="AE665" t="s">
        <v>5851</v>
      </c>
      <c r="AF665" t="s">
        <v>292</v>
      </c>
    </row>
    <row r="666" spans="1:32" x14ac:dyDescent="0.3">
      <c r="A666" t="s">
        <v>1826</v>
      </c>
      <c r="B666" s="1" t="s">
        <v>1205</v>
      </c>
      <c r="C666" s="5" t="s">
        <v>2732</v>
      </c>
      <c r="D666" s="2" t="s">
        <v>4249</v>
      </c>
      <c r="E666" s="1" t="s">
        <v>605</v>
      </c>
      <c r="F666" s="3"/>
      <c r="G666" s="3"/>
      <c r="H666" s="3">
        <v>13.7</v>
      </c>
      <c r="I666" s="3"/>
      <c r="J666" s="3"/>
      <c r="K666" s="3"/>
      <c r="L666" s="3"/>
      <c r="M666" s="3"/>
      <c r="N666" s="3">
        <v>14.2</v>
      </c>
      <c r="O666" s="3"/>
      <c r="P666" s="3"/>
      <c r="Q666" s="3"/>
      <c r="R666" s="3"/>
      <c r="S666" s="3"/>
      <c r="T666" s="3"/>
      <c r="U666" s="3">
        <v>14.6</v>
      </c>
      <c r="V666" s="3"/>
      <c r="W666" s="3"/>
      <c r="X666" s="3">
        <v>15.4</v>
      </c>
      <c r="Y666" s="3"/>
      <c r="Z666" s="3"/>
      <c r="AA666" s="3">
        <v>15.7</v>
      </c>
      <c r="AB666" s="3"/>
      <c r="AC666" s="3"/>
      <c r="AD666" s="3"/>
      <c r="AE666" t="s">
        <v>5851</v>
      </c>
      <c r="AF666" t="s">
        <v>1840</v>
      </c>
    </row>
    <row r="667" spans="1:32" x14ac:dyDescent="0.3">
      <c r="A667" t="s">
        <v>1826</v>
      </c>
      <c r="B667" s="1" t="s">
        <v>1205</v>
      </c>
      <c r="C667" s="5" t="s">
        <v>2733</v>
      </c>
      <c r="D667" s="2" t="s">
        <v>4250</v>
      </c>
      <c r="E667" s="1" t="s">
        <v>1284</v>
      </c>
      <c r="F667" s="3">
        <v>0.23100000000000001</v>
      </c>
      <c r="G667" s="3">
        <v>0.39600000000000002</v>
      </c>
      <c r="H667" s="3">
        <v>0.498</v>
      </c>
      <c r="I667" s="3">
        <v>0.75900000000000001</v>
      </c>
      <c r="J667" s="3">
        <v>0.84899999999999998</v>
      </c>
      <c r="K667" s="3">
        <v>1.04</v>
      </c>
      <c r="L667" s="3">
        <v>1.52</v>
      </c>
      <c r="M667" s="3">
        <v>1.7999999999999998</v>
      </c>
      <c r="N667" s="3">
        <v>1.9</v>
      </c>
      <c r="O667" s="3">
        <v>2</v>
      </c>
      <c r="P667" s="3">
        <v>2.7</v>
      </c>
      <c r="Q667" s="3">
        <v>2.9000000000000004</v>
      </c>
      <c r="R667" s="3">
        <v>4.3999999999999995</v>
      </c>
      <c r="S667" s="3">
        <v>6.6000000000000005</v>
      </c>
      <c r="T667" s="3">
        <v>10</v>
      </c>
      <c r="U667" s="3">
        <v>38.4</v>
      </c>
      <c r="V667" s="3">
        <v>41.199999999999996</v>
      </c>
      <c r="W667" s="3">
        <v>43.8</v>
      </c>
      <c r="X667" s="3">
        <v>37.5</v>
      </c>
      <c r="Y667" s="3">
        <v>36.299999999999997</v>
      </c>
      <c r="Z667" s="3">
        <v>36</v>
      </c>
      <c r="AA667" s="3">
        <v>36</v>
      </c>
      <c r="AB667" s="3">
        <v>38.4</v>
      </c>
      <c r="AC667" s="3">
        <v>40.699999999999996</v>
      </c>
      <c r="AD667" s="3"/>
      <c r="AE667" t="s">
        <v>5853</v>
      </c>
      <c r="AF667" t="s">
        <v>427</v>
      </c>
    </row>
    <row r="668" spans="1:32" x14ac:dyDescent="0.3">
      <c r="A668" t="s">
        <v>1826</v>
      </c>
      <c r="B668" s="1" t="s">
        <v>1205</v>
      </c>
      <c r="C668" s="5" t="s">
        <v>2734</v>
      </c>
      <c r="D668" s="2" t="s">
        <v>4251</v>
      </c>
      <c r="E668" s="1" t="s">
        <v>924</v>
      </c>
      <c r="F668" s="3"/>
      <c r="G668" s="3"/>
      <c r="H668" s="3"/>
      <c r="I668" s="3"/>
      <c r="J668" s="3"/>
      <c r="K668" s="3"/>
      <c r="L668" s="3"/>
      <c r="M668" s="3"/>
      <c r="N668" s="3"/>
      <c r="O668" s="3"/>
      <c r="P668" s="3"/>
      <c r="Q668" s="3"/>
      <c r="R668" s="3"/>
      <c r="S668" s="3"/>
      <c r="T668" s="3"/>
      <c r="U668" s="3"/>
      <c r="V668" s="3"/>
      <c r="W668" s="3">
        <v>26.398099999999999</v>
      </c>
      <c r="X668" s="3">
        <v>29.357900000000001</v>
      </c>
      <c r="Y668" s="3">
        <v>32.924399999999999</v>
      </c>
      <c r="Z668" s="3"/>
      <c r="AA668" s="3"/>
      <c r="AB668" s="3">
        <v>33.908099999999997</v>
      </c>
      <c r="AC668" s="3"/>
      <c r="AD668" s="3"/>
      <c r="AE668" t="s">
        <v>5854</v>
      </c>
      <c r="AF668" t="s">
        <v>339</v>
      </c>
    </row>
    <row r="669" spans="1:32" x14ac:dyDescent="0.3">
      <c r="A669" t="s">
        <v>1826</v>
      </c>
      <c r="B669" s="1" t="s">
        <v>1205</v>
      </c>
      <c r="C669" s="5" t="s">
        <v>2735</v>
      </c>
      <c r="D669" s="2" t="s">
        <v>4252</v>
      </c>
      <c r="E669" s="1" t="s">
        <v>1689</v>
      </c>
      <c r="F669" s="3"/>
      <c r="G669" s="3"/>
      <c r="H669" s="3"/>
      <c r="I669" s="3"/>
      <c r="J669" s="3"/>
      <c r="K669" s="3"/>
      <c r="L669" s="3"/>
      <c r="M669" s="3"/>
      <c r="N669" s="3"/>
      <c r="O669" s="3"/>
      <c r="P669" s="3"/>
      <c r="Q669" s="3"/>
      <c r="R669" s="3"/>
      <c r="S669" s="3"/>
      <c r="T669" s="3"/>
      <c r="U669" s="3"/>
      <c r="V669" s="3"/>
      <c r="W669" s="3">
        <v>60.201900000000002</v>
      </c>
      <c r="X669" s="3">
        <v>45.228700000000003</v>
      </c>
      <c r="Y669" s="3">
        <v>39.808900000000001</v>
      </c>
      <c r="Z669" s="3"/>
      <c r="AA669" s="3"/>
      <c r="AB669" s="3">
        <v>43.262799999999999</v>
      </c>
      <c r="AC669" s="3"/>
      <c r="AD669" s="3"/>
      <c r="AE669" t="s">
        <v>5855</v>
      </c>
      <c r="AF669" t="s">
        <v>339</v>
      </c>
    </row>
    <row r="670" spans="1:32" x14ac:dyDescent="0.3">
      <c r="A670" t="s">
        <v>1826</v>
      </c>
      <c r="B670" s="1" t="s">
        <v>1205</v>
      </c>
      <c r="C670" s="5" t="s">
        <v>2736</v>
      </c>
      <c r="D670" s="2" t="s">
        <v>4253</v>
      </c>
      <c r="E670" s="1" t="s">
        <v>1664</v>
      </c>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t="s">
        <v>5856</v>
      </c>
      <c r="AF670" t="s">
        <v>1215</v>
      </c>
    </row>
    <row r="671" spans="1:32" x14ac:dyDescent="0.3">
      <c r="A671" t="s">
        <v>1826</v>
      </c>
      <c r="B671" s="1" t="s">
        <v>1205</v>
      </c>
      <c r="C671" s="5" t="s">
        <v>2737</v>
      </c>
      <c r="D671" s="2" t="s">
        <v>4254</v>
      </c>
      <c r="E671" s="1" t="s">
        <v>164</v>
      </c>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t="s">
        <v>5857</v>
      </c>
      <c r="AF671" t="s">
        <v>886</v>
      </c>
    </row>
    <row r="672" spans="1:32" x14ac:dyDescent="0.3">
      <c r="A672" t="s">
        <v>1826</v>
      </c>
      <c r="B672" s="1" t="s">
        <v>1205</v>
      </c>
      <c r="C672" s="5" t="s">
        <v>2738</v>
      </c>
      <c r="D672" s="2" t="s">
        <v>4255</v>
      </c>
      <c r="E672" s="1" t="s">
        <v>1042</v>
      </c>
      <c r="F672" s="3">
        <v>13.936802520264735</v>
      </c>
      <c r="G672" s="3">
        <v>14.178616030959379</v>
      </c>
      <c r="H672" s="3">
        <v>14.500528124749735</v>
      </c>
      <c r="I672" s="3">
        <v>15.212331213412513</v>
      </c>
      <c r="J672" s="3">
        <v>15.52607504754474</v>
      </c>
      <c r="K672" s="3">
        <v>16.224176445612514</v>
      </c>
      <c r="L672" s="3">
        <v>16.583954394261699</v>
      </c>
      <c r="M672" s="3">
        <v>16.483170824856028</v>
      </c>
      <c r="N672" s="3">
        <v>17.408836149137478</v>
      </c>
      <c r="O672" s="3">
        <v>18.016307146127378</v>
      </c>
      <c r="P672" s="3">
        <v>15.976579375472284</v>
      </c>
      <c r="Q672" s="3">
        <v>16.762400726330437</v>
      </c>
      <c r="R672" s="3">
        <v>17.732455189728686</v>
      </c>
      <c r="S672" s="3">
        <v>18.979529574168268</v>
      </c>
      <c r="T672" s="3">
        <v>19.845548624214089</v>
      </c>
      <c r="U672" s="3">
        <v>20.12155783018077</v>
      </c>
      <c r="V672" s="3">
        <v>20.820713814142024</v>
      </c>
      <c r="W672" s="3">
        <v>19.808562653240738</v>
      </c>
      <c r="X672" s="3">
        <v>19.111681889397815</v>
      </c>
      <c r="Y672" s="3">
        <v>21.642040054096494</v>
      </c>
      <c r="Z672" s="3">
        <v>20.70220340454739</v>
      </c>
      <c r="AA672" s="3">
        <v>22.103035066463804</v>
      </c>
      <c r="AB672" s="3">
        <v>23.044542347441613</v>
      </c>
      <c r="AC672" s="3">
        <v>22.916044737773696</v>
      </c>
      <c r="AD672" s="3">
        <v>22.111442230347532</v>
      </c>
      <c r="AE672" t="s">
        <v>5858</v>
      </c>
      <c r="AF672" t="s">
        <v>718</v>
      </c>
    </row>
    <row r="673" spans="1:32" x14ac:dyDescent="0.3">
      <c r="A673" t="s">
        <v>1826</v>
      </c>
      <c r="B673" s="1" t="s">
        <v>1205</v>
      </c>
      <c r="C673" s="5" t="s">
        <v>2739</v>
      </c>
      <c r="D673" s="2" t="s">
        <v>4256</v>
      </c>
      <c r="E673" s="1" t="s">
        <v>1386</v>
      </c>
      <c r="F673" s="3"/>
      <c r="G673" s="3"/>
      <c r="H673" s="3"/>
      <c r="I673" s="3"/>
      <c r="J673" s="3"/>
      <c r="K673" s="3"/>
      <c r="L673" s="3"/>
      <c r="M673" s="3"/>
      <c r="N673" s="3"/>
      <c r="O673" s="3">
        <v>3.8856728659250024</v>
      </c>
      <c r="P673" s="3">
        <v>-4.0034647377011083</v>
      </c>
      <c r="Q673" s="3">
        <v>-7.6496592586575645</v>
      </c>
      <c r="R673" s="3">
        <v>-1.4301418364076568</v>
      </c>
      <c r="S673" s="3">
        <v>28.835459408479636</v>
      </c>
      <c r="T673" s="3">
        <v>4.5020165434312531</v>
      </c>
      <c r="U673" s="3">
        <v>8.2957657441393309</v>
      </c>
      <c r="V673" s="3">
        <v>5.1330763977608882</v>
      </c>
      <c r="W673" s="3">
        <v>9.0258040361585614</v>
      </c>
      <c r="X673" s="3">
        <v>9.2206247897259885</v>
      </c>
      <c r="Y673" s="3">
        <v>22.318967403589582</v>
      </c>
      <c r="Z673" s="3">
        <v>-5.7810501514602919</v>
      </c>
      <c r="AA673" s="3">
        <v>5.2638058702599011</v>
      </c>
      <c r="AB673" s="3">
        <v>12.033060380888159</v>
      </c>
      <c r="AC673" s="3">
        <v>18.461365335654449</v>
      </c>
      <c r="AD673" s="3">
        <v>2.8000000007755546</v>
      </c>
      <c r="AE673" t="s">
        <v>5859</v>
      </c>
      <c r="AF673" t="s">
        <v>718</v>
      </c>
    </row>
    <row r="674" spans="1:32" x14ac:dyDescent="0.3">
      <c r="A674" t="s">
        <v>1826</v>
      </c>
      <c r="B674" s="1" t="s">
        <v>1205</v>
      </c>
      <c r="C674" s="5" t="s">
        <v>2740</v>
      </c>
      <c r="D674" s="2" t="s">
        <v>4257</v>
      </c>
      <c r="E674" s="1" t="s">
        <v>592</v>
      </c>
      <c r="F674" s="3"/>
      <c r="G674" s="3"/>
      <c r="H674" s="3"/>
      <c r="I674" s="3"/>
      <c r="J674" s="3"/>
      <c r="K674" s="3"/>
      <c r="L674" s="3"/>
      <c r="M674" s="3"/>
      <c r="N674" s="3">
        <v>6964724368.1568699</v>
      </c>
      <c r="O674" s="3">
        <v>7235350773.1168079</v>
      </c>
      <c r="P674" s="3">
        <v>6945686056.2660923</v>
      </c>
      <c r="Q674" s="3">
        <v>6414364739.7856464</v>
      </c>
      <c r="R674" s="3">
        <v>6322630226.102191</v>
      </c>
      <c r="S674" s="3">
        <v>8145789698.4981518</v>
      </c>
      <c r="T674" s="3">
        <v>8512514498.3176575</v>
      </c>
      <c r="U674" s="3">
        <v>9218692760.033987</v>
      </c>
      <c r="V674" s="3">
        <v>9691895302.2813835</v>
      </c>
      <c r="W674" s="3">
        <v>10566666779.654959</v>
      </c>
      <c r="X674" s="3">
        <v>11540979476.187565</v>
      </c>
      <c r="Y674" s="3">
        <v>14116806923.532831</v>
      </c>
      <c r="Z674" s="3">
        <v>13300707235.498581</v>
      </c>
      <c r="AA674" s="3">
        <v>14000830643.746838</v>
      </c>
      <c r="AB674" s="3">
        <v>15685559048.934788</v>
      </c>
      <c r="AC674" s="3">
        <v>18581327409.898445</v>
      </c>
      <c r="AD674" s="3">
        <v>19101604577.519711</v>
      </c>
      <c r="AE674" t="s">
        <v>5860</v>
      </c>
      <c r="AF674" t="s">
        <v>718</v>
      </c>
    </row>
    <row r="675" spans="1:32" x14ac:dyDescent="0.3">
      <c r="A675" t="s">
        <v>1826</v>
      </c>
      <c r="B675" s="1" t="s">
        <v>1205</v>
      </c>
      <c r="C675" s="5" t="s">
        <v>2741</v>
      </c>
      <c r="D675" s="2" t="s">
        <v>4258</v>
      </c>
      <c r="E675" s="1" t="s">
        <v>2021</v>
      </c>
      <c r="F675" s="3"/>
      <c r="G675" s="3"/>
      <c r="H675" s="3"/>
      <c r="I675" s="3"/>
      <c r="J675" s="3"/>
      <c r="K675" s="3"/>
      <c r="L675" s="3"/>
      <c r="M675" s="3"/>
      <c r="N675" s="3">
        <v>4117626519800</v>
      </c>
      <c r="O675" s="3">
        <v>4277624016200.0005</v>
      </c>
      <c r="P675" s="3">
        <v>4106370847100</v>
      </c>
      <c r="Q675" s="3">
        <v>3792247469400</v>
      </c>
      <c r="R675" s="3">
        <v>3738012951800</v>
      </c>
      <c r="S675" s="3">
        <v>4815886159200</v>
      </c>
      <c r="T675" s="3">
        <v>5032698150800</v>
      </c>
      <c r="U675" s="3">
        <v>5450199000000</v>
      </c>
      <c r="V675" s="3">
        <v>5729961878500</v>
      </c>
      <c r="W675" s="3">
        <v>6247137009000</v>
      </c>
      <c r="X675" s="3">
        <v>6823162072700</v>
      </c>
      <c r="Y675" s="3">
        <v>8346021391600</v>
      </c>
      <c r="Z675" s="3">
        <v>7863533709300</v>
      </c>
      <c r="AA675" s="3">
        <v>8277454858300</v>
      </c>
      <c r="AB675" s="3">
        <v>9273485999400</v>
      </c>
      <c r="AC675" s="3">
        <v>10985498129100</v>
      </c>
      <c r="AD675" s="3">
        <v>11293092076800</v>
      </c>
      <c r="AE675" t="s">
        <v>5861</v>
      </c>
      <c r="AF675" t="s">
        <v>718</v>
      </c>
    </row>
    <row r="676" spans="1:32" x14ac:dyDescent="0.3">
      <c r="A676" t="s">
        <v>1826</v>
      </c>
      <c r="B676" s="1" t="s">
        <v>1205</v>
      </c>
      <c r="C676" s="5" t="s">
        <v>2742</v>
      </c>
      <c r="D676" s="2" t="s">
        <v>4259</v>
      </c>
      <c r="E676" s="1" t="s">
        <v>1854</v>
      </c>
      <c r="F676" s="3">
        <v>1640849000000</v>
      </c>
      <c r="G676" s="3">
        <v>1745671000000</v>
      </c>
      <c r="H676" s="3">
        <v>1816128000000</v>
      </c>
      <c r="I676" s="3">
        <v>1874743000000</v>
      </c>
      <c r="J676" s="3">
        <v>1924926000000</v>
      </c>
      <c r="K676" s="3">
        <v>2056198000000</v>
      </c>
      <c r="L676" s="3">
        <v>2190352000000</v>
      </c>
      <c r="M676" s="3">
        <v>2268999000000</v>
      </c>
      <c r="N676" s="3">
        <v>2645951000000</v>
      </c>
      <c r="O676" s="3">
        <v>2871213000000</v>
      </c>
      <c r="P676" s="3">
        <v>2761757000000</v>
      </c>
      <c r="Q676" s="3">
        <v>2898531000000</v>
      </c>
      <c r="R676" s="3">
        <v>3286599000000</v>
      </c>
      <c r="S676" s="3">
        <v>4008337000000</v>
      </c>
      <c r="T676" s="3">
        <v>4786070000000</v>
      </c>
      <c r="U676" s="3">
        <v>5450199000000</v>
      </c>
      <c r="V676" s="3">
        <v>5972778000000</v>
      </c>
      <c r="W676" s="3">
        <v>6039957000000</v>
      </c>
      <c r="X676" s="3">
        <v>6212463000000</v>
      </c>
      <c r="Y676" s="3">
        <v>7656738000000</v>
      </c>
      <c r="Z676" s="3">
        <v>7510335000000</v>
      </c>
      <c r="AA676" s="3">
        <v>8922301000000</v>
      </c>
      <c r="AB676" s="3">
        <v>10194629000000</v>
      </c>
      <c r="AC676" s="3">
        <v>11067052768400</v>
      </c>
      <c r="AD676" s="3">
        <v>11602351421700</v>
      </c>
      <c r="AE676" t="s">
        <v>5862</v>
      </c>
      <c r="AF676" t="s">
        <v>718</v>
      </c>
    </row>
    <row r="677" spans="1:32" x14ac:dyDescent="0.3">
      <c r="A677" t="s">
        <v>1826</v>
      </c>
      <c r="B677" s="1" t="s">
        <v>1205</v>
      </c>
      <c r="C677" s="5" t="s">
        <v>2743</v>
      </c>
      <c r="D677" s="2" t="s">
        <v>4260</v>
      </c>
      <c r="E677" s="1" t="s">
        <v>446</v>
      </c>
      <c r="F677" s="3">
        <v>2310378161.2410698</v>
      </c>
      <c r="G677" s="3">
        <v>2383501500.1883683</v>
      </c>
      <c r="H677" s="3">
        <v>2617980931.1895967</v>
      </c>
      <c r="I677" s="3">
        <v>3232887258.9270639</v>
      </c>
      <c r="J677" s="3">
        <v>3650269624.3990989</v>
      </c>
      <c r="K677" s="3">
        <v>3899792102.4915066</v>
      </c>
      <c r="L677" s="3">
        <v>4192658045.8223124</v>
      </c>
      <c r="M677" s="3">
        <v>4740574921.2177315</v>
      </c>
      <c r="N677" s="3">
        <v>5932625015.1622744</v>
      </c>
      <c r="O677" s="3">
        <v>6105152357.191268</v>
      </c>
      <c r="P677" s="3">
        <v>5581626975.2942286</v>
      </c>
      <c r="Q677" s="3">
        <v>6150746845.8910694</v>
      </c>
      <c r="R677" s="3">
        <v>6437289590.5564098</v>
      </c>
      <c r="S677" s="3">
        <v>8115691539.7854195</v>
      </c>
      <c r="T677" s="3">
        <v>9693162428.5962486</v>
      </c>
      <c r="U677" s="3">
        <v>9218692760.033987</v>
      </c>
      <c r="V677" s="3">
        <v>10078841389.310833</v>
      </c>
      <c r="W677" s="3">
        <v>10401940561.269632</v>
      </c>
      <c r="X677" s="3">
        <v>11184629788.385471</v>
      </c>
      <c r="Y677" s="3">
        <v>13068090256.224625</v>
      </c>
      <c r="Z677" s="3">
        <v>13048154289.296871</v>
      </c>
      <c r="AA677" s="3">
        <v>16089824065.129358</v>
      </c>
      <c r="AB677" s="3">
        <v>16343840400.570112</v>
      </c>
      <c r="AC677" s="3">
        <v>18245309406.499588</v>
      </c>
      <c r="AD677" s="3">
        <v>19134891401.73035</v>
      </c>
      <c r="AE677" t="s">
        <v>5863</v>
      </c>
      <c r="AF677" t="s">
        <v>718</v>
      </c>
    </row>
    <row r="678" spans="1:32" ht="28.8" x14ac:dyDescent="0.3">
      <c r="A678" t="s">
        <v>1826</v>
      </c>
      <c r="B678" s="1" t="s">
        <v>1205</v>
      </c>
      <c r="C678" s="5" t="s">
        <v>2744</v>
      </c>
      <c r="D678" s="2" t="s">
        <v>4261</v>
      </c>
      <c r="E678" s="1" t="s">
        <v>1902</v>
      </c>
      <c r="F678" s="3"/>
      <c r="G678" s="3"/>
      <c r="H678" s="3"/>
      <c r="I678" s="3"/>
      <c r="J678" s="3"/>
      <c r="K678" s="3"/>
      <c r="L678" s="3"/>
      <c r="M678" s="3"/>
      <c r="N678" s="3">
        <v>8642.8224969779585</v>
      </c>
      <c r="O678" s="3">
        <v>8529.2899864744868</v>
      </c>
      <c r="P678" s="3">
        <v>7832.1291886561012</v>
      </c>
      <c r="Q678" s="3">
        <v>7050.3699869867924</v>
      </c>
      <c r="R678" s="3">
        <v>6574.7413495700748</v>
      </c>
      <c r="S678" s="3">
        <v>7740.6614930540654</v>
      </c>
      <c r="T678" s="3">
        <v>7719.7881560821024</v>
      </c>
      <c r="U678" s="3">
        <v>8049.4802585195221</v>
      </c>
      <c r="V678" s="3">
        <v>8038.0405447857729</v>
      </c>
      <c r="W678" s="3">
        <v>8574.1630557588051</v>
      </c>
      <c r="X678" s="3">
        <v>10063.64719704233</v>
      </c>
      <c r="Y678" s="3">
        <v>13159.1492504825</v>
      </c>
      <c r="Z678" s="3">
        <v>12004.987049170131</v>
      </c>
      <c r="AA678" s="3">
        <v>12078.70758293287</v>
      </c>
      <c r="AB678" s="3">
        <v>13087.900284760872</v>
      </c>
      <c r="AC678" s="3">
        <v>14977.044004991834</v>
      </c>
      <c r="AD678" s="3"/>
      <c r="AE678" t="s">
        <v>5864</v>
      </c>
      <c r="AF678" t="s">
        <v>1480</v>
      </c>
    </row>
    <row r="679" spans="1:32" x14ac:dyDescent="0.3">
      <c r="A679" t="s">
        <v>1826</v>
      </c>
      <c r="B679" s="1" t="s">
        <v>1205</v>
      </c>
      <c r="C679" s="5" t="s">
        <v>2745</v>
      </c>
      <c r="D679" s="2" t="s">
        <v>4262</v>
      </c>
      <c r="E679" s="1" t="s">
        <v>279</v>
      </c>
      <c r="F679" s="3">
        <v>2.5307751673798702</v>
      </c>
      <c r="G679" s="3">
        <v>4.3615291400726202</v>
      </c>
      <c r="H679" s="3">
        <v>3.0772648515743</v>
      </c>
      <c r="I679" s="3">
        <v>3.2968074697421099</v>
      </c>
      <c r="J679" s="3">
        <v>1.4579883560073901</v>
      </c>
      <c r="K679" s="3">
        <v>3.8858303988647598</v>
      </c>
      <c r="L679" s="3">
        <v>2.4671914859691801</v>
      </c>
      <c r="M679" s="3">
        <v>1.89200629349597</v>
      </c>
      <c r="N679" s="3">
        <v>6.3085276915258097</v>
      </c>
      <c r="O679" s="3">
        <v>1.01950457731133</v>
      </c>
      <c r="P679" s="3">
        <v>1.22645612135479</v>
      </c>
      <c r="Q679" s="3">
        <v>4.9124339505246004</v>
      </c>
      <c r="R679" s="3">
        <v>1.3045111991559699</v>
      </c>
      <c r="S679" s="3">
        <v>2.58117037252936</v>
      </c>
      <c r="T679" s="3">
        <v>0.44868207676614102</v>
      </c>
      <c r="U679" s="3">
        <v>1.2514995478147699</v>
      </c>
      <c r="V679" s="3">
        <v>0.72317845751321697</v>
      </c>
      <c r="W679" s="3">
        <v>0.68588106530460302</v>
      </c>
      <c r="X679" s="3">
        <v>0.35940903138067698</v>
      </c>
      <c r="Y679" s="3">
        <v>-1.10686343994188</v>
      </c>
      <c r="Z679" s="3">
        <v>2.4250065682181501</v>
      </c>
      <c r="AA679" s="3">
        <v>4.0919518969286299</v>
      </c>
      <c r="AB679" s="3">
        <v>5.2761672426284596</v>
      </c>
      <c r="AC679" s="3">
        <v>4.3871170700327902</v>
      </c>
      <c r="AD679" s="3">
        <v>3.4663731466016499</v>
      </c>
      <c r="AE679" t="s">
        <v>5865</v>
      </c>
      <c r="AF679" t="s">
        <v>1925</v>
      </c>
    </row>
    <row r="680" spans="1:32" x14ac:dyDescent="0.3">
      <c r="A680" t="s">
        <v>1826</v>
      </c>
      <c r="B680" s="1" t="s">
        <v>1205</v>
      </c>
      <c r="C680" s="5" t="s">
        <v>2746</v>
      </c>
      <c r="D680" s="2" t="s">
        <v>4263</v>
      </c>
      <c r="E680" s="1" t="s">
        <v>2043</v>
      </c>
      <c r="F680" s="3">
        <v>1.6010172872691726</v>
      </c>
      <c r="G680" s="3">
        <v>6.8759687974264523</v>
      </c>
      <c r="H680" s="3">
        <v>4.582137352165546</v>
      </c>
      <c r="I680" s="3">
        <v>3.2781206928541167</v>
      </c>
      <c r="J680" s="3">
        <v>-2.5033575200438491</v>
      </c>
      <c r="K680" s="3">
        <v>1.2151349397056208</v>
      </c>
      <c r="L680" s="3">
        <v>1.359538259600896</v>
      </c>
      <c r="M680" s="3">
        <v>3.0885494457229186</v>
      </c>
      <c r="N680" s="3">
        <v>5.3729334850033865</v>
      </c>
      <c r="O680" s="3">
        <v>1.2077792972368826</v>
      </c>
      <c r="P680" s="3">
        <v>1.5162179241976048</v>
      </c>
      <c r="Q680" s="3">
        <v>5.7093205000567906</v>
      </c>
      <c r="R680" s="3">
        <v>-0.4040983607408748</v>
      </c>
      <c r="S680" s="3">
        <v>2.876730428525164</v>
      </c>
      <c r="T680" s="3">
        <v>4.4073323557207544</v>
      </c>
      <c r="U680" s="3">
        <v>4.7756823727082747</v>
      </c>
      <c r="V680" s="3">
        <v>-1.1798324356569623</v>
      </c>
      <c r="W680" s="3">
        <v>-1.0416772481708421</v>
      </c>
      <c r="X680" s="3">
        <v>1.6819764717322556</v>
      </c>
      <c r="Y680" s="3">
        <v>1.983352492608077</v>
      </c>
      <c r="Z680" s="3">
        <v>1.8283830937207597</v>
      </c>
      <c r="AA680" s="3">
        <v>3.9301313754436933</v>
      </c>
      <c r="AB680" s="3">
        <v>3.00000062873427</v>
      </c>
      <c r="AC680" s="3">
        <v>2.5513654014822151</v>
      </c>
      <c r="AD680" s="3">
        <v>2.5500000000630223</v>
      </c>
      <c r="AE680" t="s">
        <v>5866</v>
      </c>
      <c r="AF680" t="s">
        <v>718</v>
      </c>
    </row>
    <row r="681" spans="1:32" x14ac:dyDescent="0.3">
      <c r="A681" t="s">
        <v>1826</v>
      </c>
      <c r="B681" s="1" t="s">
        <v>1205</v>
      </c>
      <c r="C681" s="5" t="s">
        <v>2747</v>
      </c>
      <c r="D681" s="2" t="s">
        <v>4264</v>
      </c>
      <c r="E681" s="1" t="s">
        <v>406</v>
      </c>
      <c r="F681" s="3">
        <v>1.6010172872691699</v>
      </c>
      <c r="G681" s="3">
        <v>6.8759687974264496</v>
      </c>
      <c r="H681" s="3">
        <v>4.5821373521655504</v>
      </c>
      <c r="I681" s="3">
        <v>3.2781206928541202</v>
      </c>
      <c r="J681" s="3">
        <v>-2.50335752004385</v>
      </c>
      <c r="K681" s="3">
        <v>1.3013052732414101</v>
      </c>
      <c r="L681" s="3">
        <v>1.3595382596009</v>
      </c>
      <c r="M681" s="3">
        <v>3.0885494457229199</v>
      </c>
      <c r="N681" s="3">
        <v>5.3729334850033901</v>
      </c>
      <c r="O681" s="3">
        <v>1.2077792972368799</v>
      </c>
      <c r="P681" s="3">
        <v>1.5162179241975999</v>
      </c>
      <c r="Q681" s="3">
        <v>5.7093205000567897</v>
      </c>
      <c r="R681" s="3">
        <v>-0.40409836074087502</v>
      </c>
      <c r="S681" s="3">
        <v>2.87673042852516</v>
      </c>
      <c r="T681" s="3">
        <v>4.40733235572075</v>
      </c>
      <c r="U681" s="3">
        <v>4.7756823727082702</v>
      </c>
      <c r="V681" s="3">
        <v>-1.1798324356569601</v>
      </c>
      <c r="W681" s="3">
        <v>-1.0416772481708401</v>
      </c>
      <c r="X681" s="3">
        <v>1.6819764717322601</v>
      </c>
      <c r="Y681" s="3">
        <v>1.9833524926080801</v>
      </c>
      <c r="Z681" s="3">
        <v>1.8283830937207599</v>
      </c>
      <c r="AA681" s="3">
        <v>3.9301313754436902</v>
      </c>
      <c r="AB681" s="3">
        <v>3.00000062873427</v>
      </c>
      <c r="AC681" s="3">
        <v>2.55136540148222</v>
      </c>
      <c r="AD681" s="3">
        <v>2.5500000000630201</v>
      </c>
      <c r="AE681" t="s">
        <v>5867</v>
      </c>
      <c r="AF681" t="s">
        <v>1590</v>
      </c>
    </row>
    <row r="682" spans="1:32" x14ac:dyDescent="0.3">
      <c r="A682" t="s">
        <v>1826</v>
      </c>
      <c r="B682" s="1" t="s">
        <v>1205</v>
      </c>
      <c r="C682" s="5" t="s">
        <v>2748</v>
      </c>
      <c r="D682" s="2" t="s">
        <v>4265</v>
      </c>
      <c r="E682" s="1" t="s">
        <v>1483</v>
      </c>
      <c r="F682" s="3"/>
      <c r="G682" s="3"/>
      <c r="H682" s="3"/>
      <c r="I682" s="3"/>
      <c r="J682" s="3"/>
      <c r="K682" s="3"/>
      <c r="L682" s="3"/>
      <c r="M682" s="3"/>
      <c r="N682" s="3"/>
      <c r="O682" s="3">
        <v>38.489967350000001</v>
      </c>
      <c r="P682" s="3"/>
      <c r="Q682" s="3"/>
      <c r="R682" s="3"/>
      <c r="S682" s="3"/>
      <c r="T682" s="3"/>
      <c r="U682" s="3"/>
      <c r="V682" s="3">
        <v>29.162071229999999</v>
      </c>
      <c r="W682" s="3"/>
      <c r="X682" s="3"/>
      <c r="Y682" s="3"/>
      <c r="Z682" s="3"/>
      <c r="AA682" s="3"/>
      <c r="AB682" s="3"/>
      <c r="AC682" s="3">
        <v>20.837739939999999</v>
      </c>
      <c r="AD682" s="3"/>
      <c r="AE682" t="s">
        <v>5868</v>
      </c>
      <c r="AF682" t="s">
        <v>1960</v>
      </c>
    </row>
    <row r="683" spans="1:32" x14ac:dyDescent="0.3">
      <c r="A683" t="s">
        <v>1826</v>
      </c>
      <c r="B683" s="1" t="s">
        <v>1205</v>
      </c>
      <c r="C683" s="5" t="s">
        <v>2749</v>
      </c>
      <c r="D683" s="2" t="s">
        <v>4266</v>
      </c>
      <c r="E683" s="1" t="s">
        <v>382</v>
      </c>
      <c r="F683" s="3"/>
      <c r="G683" s="3"/>
      <c r="H683" s="3"/>
      <c r="I683" s="3"/>
      <c r="J683" s="3"/>
      <c r="K683" s="3">
        <v>10.957428891993629</v>
      </c>
      <c r="L683" s="3">
        <v>11.108008606712195</v>
      </c>
      <c r="M683" s="3">
        <v>11.183228083843904</v>
      </c>
      <c r="N683" s="3">
        <v>11.026358087406141</v>
      </c>
      <c r="O683" s="3">
        <v>10.333560720241209</v>
      </c>
      <c r="P683" s="3">
        <v>9.8758671654317443</v>
      </c>
      <c r="Q683" s="3">
        <v>10.461448679751745</v>
      </c>
      <c r="R683" s="3">
        <v>10.717251209299851</v>
      </c>
      <c r="S683" s="3">
        <v>3.6168629758965309</v>
      </c>
      <c r="T683" s="3">
        <v>1.2535572208284382</v>
      </c>
      <c r="U683" s="3">
        <v>1.3210073116215317</v>
      </c>
      <c r="V683" s="3">
        <v>6.4387988081866077E-2</v>
      </c>
      <c r="W683" s="3">
        <v>1.3295290444760373</v>
      </c>
      <c r="X683" s="3">
        <v>2.2046468663482073</v>
      </c>
      <c r="Y683" s="3">
        <v>0.63581268059762108</v>
      </c>
      <c r="Z683" s="3">
        <v>2.6372543928650001</v>
      </c>
      <c r="AA683" s="3">
        <v>2.2636712868420461</v>
      </c>
      <c r="AB683" s="3">
        <v>2.107661414280213</v>
      </c>
      <c r="AC683" s="3"/>
      <c r="AD683" s="3"/>
      <c r="AE683" t="s">
        <v>5869</v>
      </c>
      <c r="AF683" t="s">
        <v>1807</v>
      </c>
    </row>
    <row r="684" spans="1:32" x14ac:dyDescent="0.3">
      <c r="A684" t="s">
        <v>1826</v>
      </c>
      <c r="B684" s="1" t="s">
        <v>1205</v>
      </c>
      <c r="C684" s="5" t="s">
        <v>2750</v>
      </c>
      <c r="D684" s="2" t="s">
        <v>4267</v>
      </c>
      <c r="E684" s="1" t="s">
        <v>1376</v>
      </c>
      <c r="F684" s="3"/>
      <c r="G684" s="3"/>
      <c r="H684" s="3"/>
      <c r="I684" s="3"/>
      <c r="J684" s="3"/>
      <c r="K684" s="3">
        <v>8.6026463528849249</v>
      </c>
      <c r="L684" s="3">
        <v>8.6905013064152303</v>
      </c>
      <c r="M684" s="3">
        <v>8.9449937532515786</v>
      </c>
      <c r="N684" s="3">
        <v>8.0926974518279984</v>
      </c>
      <c r="O684" s="3">
        <v>8.3814282907304936</v>
      </c>
      <c r="P684" s="3">
        <v>7.9691090003964753</v>
      </c>
      <c r="Q684" s="3">
        <v>8.2289109690925759</v>
      </c>
      <c r="R684" s="3">
        <v>8.1435535695035153</v>
      </c>
      <c r="S684" s="3">
        <v>3.629914873117976</v>
      </c>
      <c r="T684" s="3">
        <v>4.6830238271889666</v>
      </c>
      <c r="U684" s="3">
        <v>3.8833752045531371</v>
      </c>
      <c r="V684" s="3">
        <v>3.3034264147746142</v>
      </c>
      <c r="W684" s="3">
        <v>4.4411720975906483</v>
      </c>
      <c r="X684" s="3">
        <v>4.9739490533978516</v>
      </c>
      <c r="Y684" s="3">
        <v>3.9015079441982783</v>
      </c>
      <c r="Z684" s="3">
        <v>5.06027636324293</v>
      </c>
      <c r="AA684" s="3">
        <v>4.6518117738542299</v>
      </c>
      <c r="AB684" s="3">
        <v>3.4647804759846466</v>
      </c>
      <c r="AC684" s="3"/>
      <c r="AD684" s="3"/>
      <c r="AE684" t="s">
        <v>5870</v>
      </c>
      <c r="AF684" t="s">
        <v>1807</v>
      </c>
    </row>
    <row r="685" spans="1:32" x14ac:dyDescent="0.3">
      <c r="A685" t="s">
        <v>1826</v>
      </c>
      <c r="B685" s="1" t="s">
        <v>1205</v>
      </c>
      <c r="C685" s="5" t="s">
        <v>2751</v>
      </c>
      <c r="D685" s="2" t="s">
        <v>4268</v>
      </c>
      <c r="E685" s="1" t="s">
        <v>1085</v>
      </c>
      <c r="F685" s="3"/>
      <c r="G685" s="3"/>
      <c r="H685" s="3"/>
      <c r="I685" s="3"/>
      <c r="J685" s="3"/>
      <c r="K685" s="3">
        <v>9.3720898620176083</v>
      </c>
      <c r="L685" s="3">
        <v>9.4966799735200222</v>
      </c>
      <c r="M685" s="3">
        <v>9.495689678974232</v>
      </c>
      <c r="N685" s="3">
        <v>9.4176681602617265</v>
      </c>
      <c r="O685" s="3">
        <v>8.9099443286683293</v>
      </c>
      <c r="P685" s="3">
        <v>8.5679530910032344</v>
      </c>
      <c r="Q685" s="3">
        <v>8.9509749751704408</v>
      </c>
      <c r="R685" s="3">
        <v>9.2073343687107414</v>
      </c>
      <c r="S685" s="3">
        <v>3.0545066951692559</v>
      </c>
      <c r="T685" s="3">
        <v>1.0510707678990183</v>
      </c>
      <c r="U685" s="3">
        <v>1.1086075029771723</v>
      </c>
      <c r="V685" s="3">
        <v>5.5643142838885218E-2</v>
      </c>
      <c r="W685" s="3">
        <v>1.1904274934689218</v>
      </c>
      <c r="X685" s="3">
        <v>2.1343140214011398</v>
      </c>
      <c r="Y685" s="3">
        <v>0.61320681523830189</v>
      </c>
      <c r="Z685" s="3">
        <v>2.5271159605037812</v>
      </c>
      <c r="AA685" s="3">
        <v>2.1763565390109894</v>
      </c>
      <c r="AB685" s="3">
        <v>2.0073856921742643</v>
      </c>
      <c r="AC685" s="3"/>
      <c r="AD685" s="3"/>
      <c r="AE685" t="s">
        <v>5871</v>
      </c>
      <c r="AF685" t="s">
        <v>613</v>
      </c>
    </row>
    <row r="686" spans="1:32" x14ac:dyDescent="0.3">
      <c r="A686" t="s">
        <v>1826</v>
      </c>
      <c r="B686" s="1" t="s">
        <v>1205</v>
      </c>
      <c r="C686" s="5" t="s">
        <v>2752</v>
      </c>
      <c r="D686" s="2" t="s">
        <v>4269</v>
      </c>
      <c r="E686" s="1" t="s">
        <v>1283</v>
      </c>
      <c r="F686" s="3"/>
      <c r="G686" s="3"/>
      <c r="H686" s="3"/>
      <c r="I686" s="3"/>
      <c r="J686" s="3"/>
      <c r="K686" s="3">
        <v>8.0656221953155445</v>
      </c>
      <c r="L686" s="3">
        <v>8.1571868949455038</v>
      </c>
      <c r="M686" s="3">
        <v>8.1984478114958321</v>
      </c>
      <c r="N686" s="3">
        <v>7.6008269146593008</v>
      </c>
      <c r="O686" s="3">
        <v>7.8768798464669114</v>
      </c>
      <c r="P686" s="3">
        <v>7.3096165426218285</v>
      </c>
      <c r="Q686" s="3">
        <v>7.7412075588814879</v>
      </c>
      <c r="R686" s="3">
        <v>7.7061317169164711</v>
      </c>
      <c r="S686" s="3">
        <v>3.4440393009742269</v>
      </c>
      <c r="T686" s="3">
        <v>4.4274668918713509</v>
      </c>
      <c r="U686" s="3">
        <v>3.6812562926857759</v>
      </c>
      <c r="V686" s="3">
        <v>3.1353292508711288</v>
      </c>
      <c r="W686" s="3">
        <v>4.2376100074707415</v>
      </c>
      <c r="X686" s="3">
        <v>4.8549463490176361</v>
      </c>
      <c r="Y686" s="3">
        <v>3.818404815188007</v>
      </c>
      <c r="Z686" s="3">
        <v>4.9345037553407325</v>
      </c>
      <c r="AA686" s="3">
        <v>4.5486568794549749</v>
      </c>
      <c r="AB686" s="3">
        <v>3.4005953500528041</v>
      </c>
      <c r="AC686" s="3"/>
      <c r="AD686" s="3"/>
      <c r="AE686" t="s">
        <v>5872</v>
      </c>
      <c r="AF686" t="s">
        <v>613</v>
      </c>
    </row>
    <row r="687" spans="1:32" x14ac:dyDescent="0.3">
      <c r="A687" t="s">
        <v>1826</v>
      </c>
      <c r="B687" s="1" t="s">
        <v>1205</v>
      </c>
      <c r="C687" s="5" t="s">
        <v>2753</v>
      </c>
      <c r="D687" s="2" t="s">
        <v>4270</v>
      </c>
      <c r="E687" s="1" t="s">
        <v>819</v>
      </c>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t="s">
        <v>5873</v>
      </c>
      <c r="AF687" t="s">
        <v>1358</v>
      </c>
    </row>
    <row r="688" spans="1:32" x14ac:dyDescent="0.3">
      <c r="A688" t="s">
        <v>1826</v>
      </c>
      <c r="B688" s="1" t="s">
        <v>1205</v>
      </c>
      <c r="C688" s="5" t="s">
        <v>2754</v>
      </c>
      <c r="D688" s="2" t="s">
        <v>4271</v>
      </c>
      <c r="E688" s="1" t="s">
        <v>1252</v>
      </c>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t="s">
        <v>5874</v>
      </c>
      <c r="AF688" t="s">
        <v>11</v>
      </c>
    </row>
    <row r="689" spans="1:32" x14ac:dyDescent="0.3">
      <c r="A689" t="s">
        <v>1826</v>
      </c>
      <c r="B689" s="1" t="s">
        <v>1205</v>
      </c>
      <c r="C689" s="5" t="s">
        <v>2755</v>
      </c>
      <c r="D689" s="2" t="s">
        <v>4272</v>
      </c>
      <c r="E689" s="1" t="s">
        <v>1443</v>
      </c>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t="s">
        <v>5875</v>
      </c>
      <c r="AF689" t="s">
        <v>11</v>
      </c>
    </row>
    <row r="690" spans="1:32" x14ac:dyDescent="0.3">
      <c r="A690" t="s">
        <v>1826</v>
      </c>
      <c r="B690" s="1" t="s">
        <v>1205</v>
      </c>
      <c r="C690" s="5" t="s">
        <v>2756</v>
      </c>
      <c r="D690" s="2" t="s">
        <v>4273</v>
      </c>
      <c r="E690" s="1" t="s">
        <v>1178</v>
      </c>
      <c r="F690" s="3"/>
      <c r="G690" s="3">
        <v>25.431562949238717</v>
      </c>
      <c r="H690" s="3">
        <v>23.349754474057587</v>
      </c>
      <c r="I690" s="3">
        <v>17.1424078005819</v>
      </c>
      <c r="J690" s="3">
        <v>14.851169100630438</v>
      </c>
      <c r="K690" s="3">
        <v>13.272877164056061</v>
      </c>
      <c r="L690" s="3">
        <v>10.239888207437311</v>
      </c>
      <c r="M690" s="3">
        <v>11.324611610793131</v>
      </c>
      <c r="N690" s="3">
        <v>10.860349871634128</v>
      </c>
      <c r="O690" s="3">
        <v>10.085870320247192</v>
      </c>
      <c r="P690" s="3">
        <v>10.580331135563044</v>
      </c>
      <c r="Q690" s="3">
        <v>13.194160267674457</v>
      </c>
      <c r="R690" s="3">
        <v>11.100039077764752</v>
      </c>
      <c r="S690" s="3">
        <v>10.240884578523509</v>
      </c>
      <c r="T690" s="3">
        <v>6.2313059256765984</v>
      </c>
      <c r="U690" s="3">
        <v>8.1678265504318066</v>
      </c>
      <c r="V690" s="3">
        <v>9.368574380561892</v>
      </c>
      <c r="W690" s="3">
        <v>8.3257666213696382</v>
      </c>
      <c r="X690" s="3">
        <v>9.0630543948454658</v>
      </c>
      <c r="Y690" s="3">
        <v>10.805232131405409</v>
      </c>
      <c r="Z690" s="3">
        <v>11.413475475755448</v>
      </c>
      <c r="AA690" s="3">
        <v>11.866927603744386</v>
      </c>
      <c r="AB690" s="3">
        <v>11.911585885852798</v>
      </c>
      <c r="AC690" s="3">
        <v>14.144158516188851</v>
      </c>
      <c r="AD690" s="3"/>
      <c r="AE690" t="s">
        <v>5876</v>
      </c>
      <c r="AF690" t="s">
        <v>115</v>
      </c>
    </row>
    <row r="691" spans="1:32" x14ac:dyDescent="0.3">
      <c r="A691" t="s">
        <v>1826</v>
      </c>
      <c r="B691" s="1" t="s">
        <v>1205</v>
      </c>
      <c r="C691" s="5" t="s">
        <v>2757</v>
      </c>
      <c r="D691" s="2" t="s">
        <v>4274</v>
      </c>
      <c r="E691" s="1" t="s">
        <v>1740</v>
      </c>
      <c r="F691" s="3"/>
      <c r="G691" s="3">
        <v>20.571334965574103</v>
      </c>
      <c r="H691" s="3">
        <v>19.767199974906788</v>
      </c>
      <c r="I691" s="3">
        <v>16.867842773135251</v>
      </c>
      <c r="J691" s="3">
        <v>13.286214035839222</v>
      </c>
      <c r="K691" s="3">
        <v>12.220535467844327</v>
      </c>
      <c r="L691" s="3">
        <v>8.8313670875905572</v>
      </c>
      <c r="M691" s="3">
        <v>9.6729135141427065</v>
      </c>
      <c r="N691" s="3">
        <v>9.0501564746680199</v>
      </c>
      <c r="O691" s="3">
        <v>7.806612190792249</v>
      </c>
      <c r="P691" s="3">
        <v>9.2566305921804748</v>
      </c>
      <c r="Q691" s="3">
        <v>14.326132695599899</v>
      </c>
      <c r="R691" s="3">
        <v>10.014187995236274</v>
      </c>
      <c r="S691" s="3">
        <v>8.0286412775310634</v>
      </c>
      <c r="T691" s="3">
        <v>4.8066587333864152</v>
      </c>
      <c r="U691" s="3">
        <v>8.3215983209379978</v>
      </c>
      <c r="V691" s="3">
        <v>9.8458800550532928</v>
      </c>
      <c r="W691" s="3">
        <v>9.7017962876079267</v>
      </c>
      <c r="X691" s="3">
        <v>10.496907423999856</v>
      </c>
      <c r="Y691" s="3">
        <v>11.557699922265011</v>
      </c>
      <c r="Z691" s="3">
        <v>14.470951296779742</v>
      </c>
      <c r="AA691" s="3">
        <v>14.811339870417376</v>
      </c>
      <c r="AB691" s="3">
        <v>17.443910552820661</v>
      </c>
      <c r="AC691" s="3">
        <v>18.046515661323127</v>
      </c>
      <c r="AD691" s="3"/>
      <c r="AE691" t="s">
        <v>5877</v>
      </c>
      <c r="AF691" t="s">
        <v>115</v>
      </c>
    </row>
    <row r="692" spans="1:32" x14ac:dyDescent="0.3">
      <c r="A692" t="s">
        <v>1826</v>
      </c>
      <c r="B692" s="1" t="s">
        <v>1205</v>
      </c>
      <c r="C692" s="5" t="s">
        <v>2758</v>
      </c>
      <c r="D692" s="2" t="s">
        <v>4275</v>
      </c>
      <c r="E692" s="1" t="s">
        <v>1405</v>
      </c>
      <c r="F692" s="3"/>
      <c r="G692" s="3">
        <v>259700000000</v>
      </c>
      <c r="H692" s="3">
        <v>265617000000</v>
      </c>
      <c r="I692" s="3">
        <v>218000000000</v>
      </c>
      <c r="J692" s="3">
        <v>186100000000</v>
      </c>
      <c r="K692" s="3">
        <v>177100000000</v>
      </c>
      <c r="L692" s="3">
        <v>131900000000</v>
      </c>
      <c r="M692" s="3">
        <v>166200000000</v>
      </c>
      <c r="N692" s="3">
        <v>181900000000</v>
      </c>
      <c r="O692" s="3">
        <v>168430000000</v>
      </c>
      <c r="P692" s="3">
        <v>194330000000</v>
      </c>
      <c r="Q692" s="3">
        <v>219250000000</v>
      </c>
      <c r="R692" s="3">
        <v>232921000000</v>
      </c>
      <c r="S692" s="3">
        <v>214779000000</v>
      </c>
      <c r="T692" s="3">
        <v>138501000000</v>
      </c>
      <c r="U692" s="3">
        <v>297665000000</v>
      </c>
      <c r="V692" s="3">
        <v>360135000000</v>
      </c>
      <c r="W692" s="3">
        <v>379459243000</v>
      </c>
      <c r="X692" s="3">
        <v>434160000000</v>
      </c>
      <c r="Y692" s="3">
        <v>520934847529.65997</v>
      </c>
      <c r="Z692" s="3">
        <v>663819801013.15503</v>
      </c>
      <c r="AA692" s="3">
        <v>784525510081.31897</v>
      </c>
      <c r="AB692" s="3">
        <v>970313180934.55798</v>
      </c>
      <c r="AC692" s="3">
        <v>1239255314624</v>
      </c>
      <c r="AD692" s="3"/>
      <c r="AE692" t="s">
        <v>5878</v>
      </c>
      <c r="AF692" t="s">
        <v>115</v>
      </c>
    </row>
    <row r="693" spans="1:32" x14ac:dyDescent="0.3">
      <c r="A693" t="s">
        <v>1826</v>
      </c>
      <c r="B693" s="1" t="s">
        <v>1205</v>
      </c>
      <c r="C693" s="5" t="s">
        <v>2759</v>
      </c>
      <c r="D693" s="2" t="s">
        <v>4276</v>
      </c>
      <c r="E693" s="1" t="s">
        <v>822</v>
      </c>
      <c r="F693" s="3"/>
      <c r="G693" s="3"/>
      <c r="H693" s="3"/>
      <c r="I693" s="3"/>
      <c r="J693" s="3"/>
      <c r="K693" s="3">
        <v>-0.55833333333333002</v>
      </c>
      <c r="L693" s="3">
        <v>-3.085</v>
      </c>
      <c r="M693" s="3">
        <v>-3.0616666666666603</v>
      </c>
      <c r="N693" s="3">
        <v>-3.1399999999999988</v>
      </c>
      <c r="O693" s="3">
        <v>-3.6016666666666692</v>
      </c>
      <c r="P693" s="3">
        <v>-3.2733333333333405</v>
      </c>
      <c r="Q693" s="3">
        <v>-3.2449166666666605</v>
      </c>
      <c r="R693" s="3">
        <v>-2.9533333333333296</v>
      </c>
      <c r="S693" s="3">
        <v>-2.3666666666666707</v>
      </c>
      <c r="T693" s="3">
        <v>-1.92</v>
      </c>
      <c r="U693" s="3">
        <v>-1.8441666666666601</v>
      </c>
      <c r="V693" s="3">
        <v>-1.63</v>
      </c>
      <c r="W693" s="3">
        <v>-1.3500000000000005</v>
      </c>
      <c r="X693" s="3"/>
      <c r="Y693" s="3"/>
      <c r="Z693" s="3"/>
      <c r="AA693" s="3"/>
      <c r="AB693" s="3"/>
      <c r="AC693" s="3"/>
      <c r="AD693" s="3"/>
      <c r="AE693" t="s">
        <v>5879</v>
      </c>
      <c r="AF693" t="s">
        <v>1714</v>
      </c>
    </row>
    <row r="694" spans="1:32" x14ac:dyDescent="0.3">
      <c r="A694" t="s">
        <v>1826</v>
      </c>
      <c r="B694" s="1" t="s">
        <v>1205</v>
      </c>
      <c r="C694" s="5" t="s">
        <v>2760</v>
      </c>
      <c r="D694" s="2" t="s">
        <v>4277</v>
      </c>
      <c r="E694" s="1" t="s">
        <v>996</v>
      </c>
      <c r="F694" s="3"/>
      <c r="G694" s="3"/>
      <c r="H694" s="3"/>
      <c r="I694" s="3"/>
      <c r="J694" s="3"/>
      <c r="K694" s="3"/>
      <c r="L694" s="3"/>
      <c r="M694" s="3"/>
      <c r="N694" s="3"/>
      <c r="O694" s="3">
        <v>342000</v>
      </c>
      <c r="P694" s="3">
        <v>522000</v>
      </c>
      <c r="Q694" s="3">
        <v>247000</v>
      </c>
      <c r="R694" s="3">
        <v>80000</v>
      </c>
      <c r="S694" s="3">
        <v>80000</v>
      </c>
      <c r="T694" s="3">
        <v>301000</v>
      </c>
      <c r="U694" s="3">
        <v>303000</v>
      </c>
      <c r="V694" s="3">
        <v>301000</v>
      </c>
      <c r="W694" s="3">
        <v>16000</v>
      </c>
      <c r="X694" s="3">
        <v>302000</v>
      </c>
      <c r="Y694" s="3">
        <v>303000</v>
      </c>
      <c r="Z694" s="3">
        <v>308000</v>
      </c>
      <c r="AA694" s="3">
        <v>302000</v>
      </c>
      <c r="AB694" s="3">
        <v>302000</v>
      </c>
      <c r="AC694" s="3"/>
      <c r="AD694" s="3"/>
      <c r="AE694" t="s">
        <v>5880</v>
      </c>
      <c r="AF694" t="s">
        <v>1498</v>
      </c>
    </row>
    <row r="695" spans="1:32" ht="28.8" x14ac:dyDescent="0.3">
      <c r="A695" t="s">
        <v>1826</v>
      </c>
      <c r="B695" s="1" t="s">
        <v>1205</v>
      </c>
      <c r="C695" s="5" t="s">
        <v>2761</v>
      </c>
      <c r="D695" s="2" t="s">
        <v>4278</v>
      </c>
      <c r="E695" s="1" t="s">
        <v>409</v>
      </c>
      <c r="F695" s="3"/>
      <c r="G695" s="3"/>
      <c r="H695" s="3"/>
      <c r="I695" s="3"/>
      <c r="J695" s="3"/>
      <c r="K695" s="3"/>
      <c r="L695" s="3"/>
      <c r="M695" s="3"/>
      <c r="N695" s="3"/>
      <c r="O695" s="3">
        <v>500</v>
      </c>
      <c r="P695" s="3">
        <v>2700</v>
      </c>
      <c r="Q695" s="3">
        <v>1000000</v>
      </c>
      <c r="R695" s="3">
        <v>24000</v>
      </c>
      <c r="S695" s="3">
        <v>30000</v>
      </c>
      <c r="T695" s="3">
        <v>5500</v>
      </c>
      <c r="U695" s="3">
        <v>3200</v>
      </c>
      <c r="V695" s="3"/>
      <c r="W695" s="3">
        <v>5500</v>
      </c>
      <c r="X695" s="3">
        <v>700</v>
      </c>
      <c r="Y695" s="3">
        <v>300</v>
      </c>
      <c r="Z695" s="3">
        <v>15000</v>
      </c>
      <c r="AA695" s="3"/>
      <c r="AB695" s="3"/>
      <c r="AC695" s="3"/>
      <c r="AD695" s="3"/>
      <c r="AE695" t="s">
        <v>5881</v>
      </c>
      <c r="AF695" t="s">
        <v>901</v>
      </c>
    </row>
    <row r="696" spans="1:32" ht="28.8" x14ac:dyDescent="0.3">
      <c r="A696" t="s">
        <v>1826</v>
      </c>
      <c r="B696" s="1" t="s">
        <v>1205</v>
      </c>
      <c r="C696" s="5" t="s">
        <v>2762</v>
      </c>
      <c r="D696" s="2" t="s">
        <v>4279</v>
      </c>
      <c r="E696" s="1" t="s">
        <v>483</v>
      </c>
      <c r="F696" s="3"/>
      <c r="G696" s="3"/>
      <c r="H696" s="3"/>
      <c r="I696" s="3"/>
      <c r="J696" s="3"/>
      <c r="K696" s="3"/>
      <c r="L696" s="3"/>
      <c r="M696" s="3"/>
      <c r="N696" s="3"/>
      <c r="O696" s="3">
        <v>10000</v>
      </c>
      <c r="P696" s="3"/>
      <c r="Q696" s="3"/>
      <c r="R696" s="3"/>
      <c r="S696" s="3">
        <v>78</v>
      </c>
      <c r="T696" s="3">
        <v>4500</v>
      </c>
      <c r="U696" s="3"/>
      <c r="V696" s="3"/>
      <c r="W696" s="3"/>
      <c r="X696" s="3">
        <v>3200</v>
      </c>
      <c r="Y696" s="3">
        <v>720</v>
      </c>
      <c r="Z696" s="3">
        <v>1900</v>
      </c>
      <c r="AA696" s="3"/>
      <c r="AB696" s="3">
        <v>2500</v>
      </c>
      <c r="AC696" s="3">
        <v>1200</v>
      </c>
      <c r="AD696" s="3"/>
      <c r="AE696" t="s">
        <v>5881</v>
      </c>
      <c r="AF696" t="s">
        <v>1231</v>
      </c>
    </row>
    <row r="697" spans="1:32" x14ac:dyDescent="0.3">
      <c r="A697" t="s">
        <v>1826</v>
      </c>
      <c r="B697" s="1" t="s">
        <v>1205</v>
      </c>
      <c r="C697" s="5" t="s">
        <v>2763</v>
      </c>
      <c r="D697" s="2" t="s">
        <v>4280</v>
      </c>
      <c r="E697" s="1" t="s">
        <v>1562</v>
      </c>
      <c r="F697" s="3">
        <v>12.072534675614699</v>
      </c>
      <c r="G697" s="3"/>
      <c r="H697" s="3"/>
      <c r="I697" s="3"/>
      <c r="J697" s="3"/>
      <c r="K697" s="3">
        <v>11.0894890347837</v>
      </c>
      <c r="L697" s="3"/>
      <c r="M697" s="3"/>
      <c r="N697" s="3"/>
      <c r="O697" s="3"/>
      <c r="P697" s="3">
        <v>10.407388702805999</v>
      </c>
      <c r="Q697" s="3"/>
      <c r="R697" s="3"/>
      <c r="S697" s="3"/>
      <c r="T697" s="3"/>
      <c r="U697" s="3">
        <v>9.5825986553520792</v>
      </c>
      <c r="V697" s="3"/>
      <c r="W697" s="3"/>
      <c r="X697" s="3"/>
      <c r="Y697" s="3"/>
      <c r="Z697" s="3"/>
      <c r="AA697" s="3"/>
      <c r="AB697" s="3"/>
      <c r="AC697" s="3"/>
      <c r="AD697" s="3"/>
      <c r="AE697" t="s">
        <v>5882</v>
      </c>
      <c r="AF697" t="s">
        <v>322</v>
      </c>
    </row>
    <row r="698" spans="1:32" x14ac:dyDescent="0.3">
      <c r="A698" t="s">
        <v>1826</v>
      </c>
      <c r="B698" s="1" t="s">
        <v>1205</v>
      </c>
      <c r="C698" s="5" t="s">
        <v>2764</v>
      </c>
      <c r="D698" s="2" t="s">
        <v>4281</v>
      </c>
      <c r="E698" s="1" t="s">
        <v>306</v>
      </c>
      <c r="F698" s="3">
        <v>1994135</v>
      </c>
      <c r="G698" s="3"/>
      <c r="H698" s="3"/>
      <c r="I698" s="3"/>
      <c r="J698" s="3"/>
      <c r="K698" s="3">
        <v>2010824</v>
      </c>
      <c r="L698" s="3"/>
      <c r="M698" s="3"/>
      <c r="N698" s="3"/>
      <c r="O698" s="3"/>
      <c r="P698" s="3">
        <v>2095185</v>
      </c>
      <c r="Q698" s="3"/>
      <c r="R698" s="3"/>
      <c r="S698" s="3"/>
      <c r="T698" s="3"/>
      <c r="U698" s="3">
        <v>2175399</v>
      </c>
      <c r="V698" s="3"/>
      <c r="W698" s="3"/>
      <c r="X698" s="3"/>
      <c r="Y698" s="3"/>
      <c r="Z698" s="3"/>
      <c r="AA698" s="3"/>
      <c r="AB698" s="3"/>
      <c r="AC698" s="3"/>
      <c r="AD698" s="3"/>
      <c r="AE698" t="s">
        <v>5882</v>
      </c>
      <c r="AF698" t="s">
        <v>322</v>
      </c>
    </row>
    <row r="699" spans="1:32" x14ac:dyDescent="0.3">
      <c r="A699" t="s">
        <v>1826</v>
      </c>
      <c r="B699" s="1" t="s">
        <v>1205</v>
      </c>
      <c r="C699" s="5" t="s">
        <v>2765</v>
      </c>
      <c r="D699" s="2" t="s">
        <v>4282</v>
      </c>
      <c r="E699" s="1" t="s">
        <v>1295</v>
      </c>
      <c r="F699" s="3"/>
      <c r="G699" s="3"/>
      <c r="H699" s="3"/>
      <c r="I699" s="3"/>
      <c r="J699" s="3"/>
      <c r="K699" s="3">
        <v>7.4479876935613278</v>
      </c>
      <c r="L699" s="3">
        <v>7.6694662674450544</v>
      </c>
      <c r="M699" s="3">
        <v>7.0529346505393624</v>
      </c>
      <c r="N699" s="3">
        <v>6.2705575554306838</v>
      </c>
      <c r="O699" s="3">
        <v>6.0563755310219136</v>
      </c>
      <c r="P699" s="3">
        <v>5.2753965801962854</v>
      </c>
      <c r="Q699" s="3">
        <v>6.1181357726639716</v>
      </c>
      <c r="R699" s="3">
        <v>4.6717574262003003</v>
      </c>
      <c r="S699" s="3">
        <v>4.8301231938660916</v>
      </c>
      <c r="T699" s="3">
        <v>5.1340541606330632</v>
      </c>
      <c r="U699" s="3">
        <v>4.9335112950264373</v>
      </c>
      <c r="V699" s="3">
        <v>4.5803677817868698</v>
      </c>
      <c r="W699" s="3">
        <v>4.7599284717684478</v>
      </c>
      <c r="X699" s="3">
        <v>4.7409257889563978</v>
      </c>
      <c r="Y699" s="3">
        <v>5.4500459851361747</v>
      </c>
      <c r="Z699" s="3">
        <v>2.488124167226625</v>
      </c>
      <c r="AA699" s="3"/>
      <c r="AB699" s="3"/>
      <c r="AC699" s="3"/>
      <c r="AD699" s="3"/>
      <c r="AE699" t="s">
        <v>5883</v>
      </c>
      <c r="AF699" t="s">
        <v>155</v>
      </c>
    </row>
    <row r="700" spans="1:32" x14ac:dyDescent="0.3">
      <c r="A700" t="s">
        <v>1826</v>
      </c>
      <c r="B700" s="1" t="s">
        <v>1205</v>
      </c>
      <c r="C700" s="5" t="s">
        <v>2766</v>
      </c>
      <c r="D700" s="2" t="s">
        <v>4283</v>
      </c>
      <c r="E700" s="1" t="s">
        <v>1168</v>
      </c>
      <c r="F700" s="3">
        <v>291000000</v>
      </c>
      <c r="G700" s="3">
        <v>289000000</v>
      </c>
      <c r="H700" s="3">
        <v>490000000</v>
      </c>
      <c r="I700" s="3">
        <v>551000000</v>
      </c>
      <c r="J700" s="3">
        <v>571000000</v>
      </c>
      <c r="K700" s="3">
        <v>549000000</v>
      </c>
      <c r="L700" s="3">
        <v>583000000</v>
      </c>
      <c r="M700" s="3">
        <v>606000000</v>
      </c>
      <c r="N700" s="3">
        <v>612000000</v>
      </c>
      <c r="O700" s="3">
        <v>589000000</v>
      </c>
      <c r="P700" s="3">
        <v>569000000</v>
      </c>
      <c r="Q700" s="3">
        <v>580000000</v>
      </c>
      <c r="R700" s="3">
        <v>560000000</v>
      </c>
      <c r="S700" s="3">
        <v>583000000</v>
      </c>
      <c r="T700" s="3">
        <v>625000000</v>
      </c>
      <c r="U700" s="3">
        <v>560000000</v>
      </c>
      <c r="V700" s="3">
        <v>491000000</v>
      </c>
      <c r="W700" s="3">
        <v>564000000</v>
      </c>
      <c r="X700" s="3">
        <v>625000000</v>
      </c>
      <c r="Y700" s="3">
        <v>702000000</v>
      </c>
      <c r="Z700" s="3">
        <v>315000000</v>
      </c>
      <c r="AA700" s="3"/>
      <c r="AB700" s="3"/>
      <c r="AC700" s="3"/>
      <c r="AD700" s="3"/>
      <c r="AE700" t="s">
        <v>5884</v>
      </c>
      <c r="AF700" t="s">
        <v>738</v>
      </c>
    </row>
    <row r="701" spans="1:32" x14ac:dyDescent="0.3">
      <c r="A701" t="s">
        <v>1826</v>
      </c>
      <c r="B701" s="1" t="s">
        <v>1205</v>
      </c>
      <c r="C701" s="5" t="s">
        <v>2767</v>
      </c>
      <c r="D701" s="2" t="s">
        <v>4284</v>
      </c>
      <c r="E701" s="1" t="s">
        <v>521</v>
      </c>
      <c r="F701" s="3">
        <v>102000000</v>
      </c>
      <c r="G701" s="3">
        <v>102000000</v>
      </c>
      <c r="H701" s="3">
        <v>132000000</v>
      </c>
      <c r="I701" s="3">
        <v>164000000</v>
      </c>
      <c r="J701" s="3">
        <v>190000000</v>
      </c>
      <c r="K701" s="3">
        <v>195000000</v>
      </c>
      <c r="L701" s="3">
        <v>210000000</v>
      </c>
      <c r="M701" s="3">
        <v>234000000</v>
      </c>
      <c r="N701" s="3">
        <v>256000000</v>
      </c>
      <c r="O701" s="3">
        <v>246000000</v>
      </c>
      <c r="P701" s="3">
        <v>217000000</v>
      </c>
      <c r="Q701" s="3">
        <v>200000000</v>
      </c>
      <c r="R701" s="3">
        <v>196000000</v>
      </c>
      <c r="S701" s="3">
        <v>202000000</v>
      </c>
      <c r="T701" s="3">
        <v>223000000</v>
      </c>
      <c r="U701" s="3">
        <v>203000000</v>
      </c>
      <c r="V701" s="3">
        <v>119000000</v>
      </c>
      <c r="W701" s="3">
        <v>177500000</v>
      </c>
      <c r="X701" s="3">
        <v>209000000</v>
      </c>
      <c r="Y701" s="3">
        <v>228000000</v>
      </c>
      <c r="Z701" s="3">
        <v>110000000</v>
      </c>
      <c r="AA701" s="3"/>
      <c r="AB701" s="3"/>
      <c r="AC701" s="3"/>
      <c r="AD701" s="3"/>
      <c r="AE701" t="s">
        <v>5885</v>
      </c>
      <c r="AF701" t="s">
        <v>722</v>
      </c>
    </row>
    <row r="702" spans="1:32" x14ac:dyDescent="0.3">
      <c r="A702" t="s">
        <v>1826</v>
      </c>
      <c r="B702" s="1" t="s">
        <v>1205</v>
      </c>
      <c r="C702" s="5" t="s">
        <v>2768</v>
      </c>
      <c r="D702" s="2" t="s">
        <v>4285</v>
      </c>
      <c r="E702" s="1" t="s">
        <v>283</v>
      </c>
      <c r="F702" s="3">
        <v>189000000</v>
      </c>
      <c r="G702" s="3">
        <v>187000000</v>
      </c>
      <c r="H702" s="3">
        <v>358000000</v>
      </c>
      <c r="I702" s="3">
        <v>387000000</v>
      </c>
      <c r="J702" s="3">
        <v>381000000</v>
      </c>
      <c r="K702" s="3">
        <v>354000000</v>
      </c>
      <c r="L702" s="3">
        <v>373000000</v>
      </c>
      <c r="M702" s="3">
        <v>372000000</v>
      </c>
      <c r="N702" s="3">
        <v>356000000</v>
      </c>
      <c r="O702" s="3">
        <v>343000000</v>
      </c>
      <c r="P702" s="3">
        <v>352000000</v>
      </c>
      <c r="Q702" s="3">
        <v>380000000</v>
      </c>
      <c r="R702" s="3">
        <v>364000000</v>
      </c>
      <c r="S702" s="3">
        <v>381000000</v>
      </c>
      <c r="T702" s="3">
        <v>402000000</v>
      </c>
      <c r="U702" s="3">
        <v>357000000</v>
      </c>
      <c r="V702" s="3">
        <v>372000000</v>
      </c>
      <c r="W702" s="3">
        <v>386500000</v>
      </c>
      <c r="X702" s="3">
        <v>416000000</v>
      </c>
      <c r="Y702" s="3">
        <v>474000000</v>
      </c>
      <c r="Z702" s="3">
        <v>205000000</v>
      </c>
      <c r="AA702" s="3"/>
      <c r="AB702" s="3"/>
      <c r="AC702" s="3"/>
      <c r="AD702" s="3"/>
      <c r="AE702" t="s">
        <v>5886</v>
      </c>
      <c r="AF702" t="s">
        <v>722</v>
      </c>
    </row>
    <row r="703" spans="1:32" x14ac:dyDescent="0.3">
      <c r="A703" t="s">
        <v>1826</v>
      </c>
      <c r="B703" s="1" t="s">
        <v>1205</v>
      </c>
      <c r="C703" s="5" t="s">
        <v>2769</v>
      </c>
      <c r="D703" s="2" t="s">
        <v>4286</v>
      </c>
      <c r="E703" s="1" t="s">
        <v>204</v>
      </c>
      <c r="F703" s="3"/>
      <c r="G703" s="3"/>
      <c r="H703" s="3"/>
      <c r="I703" s="3"/>
      <c r="J703" s="3"/>
      <c r="K703" s="3"/>
      <c r="L703" s="3"/>
      <c r="M703" s="3">
        <v>182000</v>
      </c>
      <c r="N703" s="3">
        <v>205000</v>
      </c>
      <c r="O703" s="3">
        <v>231000</v>
      </c>
      <c r="P703" s="3">
        <v>252000</v>
      </c>
      <c r="Q703" s="3">
        <v>270000</v>
      </c>
      <c r="R703" s="3">
        <v>289000</v>
      </c>
      <c r="S703" s="3">
        <v>380000</v>
      </c>
      <c r="T703" s="3">
        <v>471000</v>
      </c>
      <c r="U703" s="3">
        <v>1441000</v>
      </c>
      <c r="V703" s="3">
        <v>1583000</v>
      </c>
      <c r="W703" s="3">
        <v>1800000</v>
      </c>
      <c r="X703" s="3">
        <v>1965000</v>
      </c>
      <c r="Y703" s="3">
        <v>2070000</v>
      </c>
      <c r="Z703" s="3">
        <v>668000</v>
      </c>
      <c r="AA703" s="3"/>
      <c r="AB703" s="3"/>
      <c r="AC703" s="3"/>
      <c r="AD703" s="3"/>
      <c r="AE703" t="s">
        <v>5887</v>
      </c>
      <c r="AF703" t="s">
        <v>344</v>
      </c>
    </row>
    <row r="704" spans="1:32" x14ac:dyDescent="0.3">
      <c r="A704" t="s">
        <v>1826</v>
      </c>
      <c r="B704" s="1" t="s">
        <v>1205</v>
      </c>
      <c r="C704" s="5" t="s">
        <v>2770</v>
      </c>
      <c r="D704" s="2" t="s">
        <v>4287</v>
      </c>
      <c r="E704" s="1" t="s">
        <v>1511</v>
      </c>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t="s">
        <v>5888</v>
      </c>
      <c r="AF704" t="s">
        <v>1701</v>
      </c>
    </row>
    <row r="705" spans="1:32" x14ac:dyDescent="0.3">
      <c r="A705" t="s">
        <v>1826</v>
      </c>
      <c r="B705" s="1" t="s">
        <v>1205</v>
      </c>
      <c r="C705" s="5" t="s">
        <v>2771</v>
      </c>
      <c r="D705" s="2" t="s">
        <v>4288</v>
      </c>
      <c r="E705" s="1" t="s">
        <v>184</v>
      </c>
      <c r="F705" s="3"/>
      <c r="G705" s="3"/>
      <c r="H705" s="3"/>
      <c r="I705" s="3"/>
      <c r="J705" s="3"/>
      <c r="K705" s="3">
        <v>1.0906750665707388</v>
      </c>
      <c r="L705" s="3">
        <v>1.1154445155511752</v>
      </c>
      <c r="M705" s="3">
        <v>1.1970165508690889</v>
      </c>
      <c r="N705" s="3">
        <v>1.1263618174712193</v>
      </c>
      <c r="O705" s="3">
        <v>1.3237104279577423</v>
      </c>
      <c r="P705" s="3">
        <v>1.6897320490522658</v>
      </c>
      <c r="Q705" s="3">
        <v>1.3606759915223776</v>
      </c>
      <c r="R705" s="3">
        <v>1.3160436071248283</v>
      </c>
      <c r="S705" s="3">
        <v>1.4705842822588779</v>
      </c>
      <c r="T705" s="3">
        <v>1.4039985560252728</v>
      </c>
      <c r="U705" s="3">
        <v>1.7118065962027826</v>
      </c>
      <c r="V705" s="3">
        <v>4.0434445907636301</v>
      </c>
      <c r="W705" s="3">
        <v>3.9592925514093942</v>
      </c>
      <c r="X705" s="3">
        <v>4.2111166889968441</v>
      </c>
      <c r="Y705" s="3">
        <v>3.9918205178507429</v>
      </c>
      <c r="Z705" s="3">
        <v>1.5062273952807523</v>
      </c>
      <c r="AA705" s="3"/>
      <c r="AB705" s="3"/>
      <c r="AC705" s="3"/>
      <c r="AD705" s="3"/>
      <c r="AE705" t="s">
        <v>5889</v>
      </c>
      <c r="AF705" t="s">
        <v>1024</v>
      </c>
    </row>
    <row r="706" spans="1:32" x14ac:dyDescent="0.3">
      <c r="A706" t="s">
        <v>1826</v>
      </c>
      <c r="B706" s="1" t="s">
        <v>1205</v>
      </c>
      <c r="C706" s="5" t="s">
        <v>2772</v>
      </c>
      <c r="D706" s="2" t="s">
        <v>4289</v>
      </c>
      <c r="E706" s="1" t="s">
        <v>733</v>
      </c>
      <c r="F706" s="3">
        <v>53000000</v>
      </c>
      <c r="G706" s="3">
        <v>58000000</v>
      </c>
      <c r="H706" s="3">
        <v>56000000</v>
      </c>
      <c r="I706" s="3">
        <v>76000000</v>
      </c>
      <c r="J706" s="3">
        <v>91000000</v>
      </c>
      <c r="K706" s="3">
        <v>93000000</v>
      </c>
      <c r="L706" s="3">
        <v>104000000</v>
      </c>
      <c r="M706" s="3">
        <v>115000000</v>
      </c>
      <c r="N706" s="3">
        <v>129000000</v>
      </c>
      <c r="O706" s="3">
        <v>164000000</v>
      </c>
      <c r="P706" s="3">
        <v>213000000</v>
      </c>
      <c r="Q706" s="3">
        <v>186000000</v>
      </c>
      <c r="R706" s="3">
        <v>172500000</v>
      </c>
      <c r="S706" s="3">
        <v>191000000</v>
      </c>
      <c r="T706" s="3">
        <v>195000000</v>
      </c>
      <c r="U706" s="3">
        <v>214000000</v>
      </c>
      <c r="V706" s="3">
        <v>477000000</v>
      </c>
      <c r="W706" s="3">
        <v>509000000</v>
      </c>
      <c r="X706" s="3">
        <v>551000000</v>
      </c>
      <c r="Y706" s="3">
        <v>550500000</v>
      </c>
      <c r="Z706" s="3">
        <v>199300003.05175802</v>
      </c>
      <c r="AA706" s="3"/>
      <c r="AB706" s="3"/>
      <c r="AC706" s="3"/>
      <c r="AD706" s="3"/>
      <c r="AE706" t="s">
        <v>5890</v>
      </c>
      <c r="AF706" t="s">
        <v>351</v>
      </c>
    </row>
    <row r="707" spans="1:32" ht="28.8" x14ac:dyDescent="0.3">
      <c r="A707" t="s">
        <v>1826</v>
      </c>
      <c r="B707" s="1" t="s">
        <v>1205</v>
      </c>
      <c r="C707" s="5" t="s">
        <v>2773</v>
      </c>
      <c r="D707" s="2" t="s">
        <v>4290</v>
      </c>
      <c r="E707" s="1" t="s">
        <v>2010</v>
      </c>
      <c r="F707" s="3">
        <v>4000000</v>
      </c>
      <c r="G707" s="3">
        <v>5000000</v>
      </c>
      <c r="H707" s="3">
        <v>5000000</v>
      </c>
      <c r="I707" s="3">
        <v>7000000</v>
      </c>
      <c r="J707" s="3">
        <v>9000000</v>
      </c>
      <c r="K707" s="3">
        <v>10000000</v>
      </c>
      <c r="L707" s="3">
        <v>11000000</v>
      </c>
      <c r="M707" s="3">
        <v>12000000</v>
      </c>
      <c r="N707" s="3">
        <v>13000000</v>
      </c>
      <c r="O707" s="3">
        <v>13000000</v>
      </c>
      <c r="P707" s="3">
        <v>12000000</v>
      </c>
      <c r="Q707" s="3">
        <v>6000000</v>
      </c>
      <c r="R707" s="3">
        <v>500000</v>
      </c>
      <c r="S707" s="3">
        <v>10000000</v>
      </c>
      <c r="T707" s="3">
        <v>11000000</v>
      </c>
      <c r="U707" s="3">
        <v>56000000</v>
      </c>
      <c r="V707" s="3">
        <v>98000000</v>
      </c>
      <c r="W707" s="3">
        <v>112000000</v>
      </c>
      <c r="X707" s="3">
        <v>108000000</v>
      </c>
      <c r="Y707" s="3">
        <v>102000000</v>
      </c>
      <c r="Z707" s="3">
        <v>33200000.762939502</v>
      </c>
      <c r="AA707" s="3"/>
      <c r="AB707" s="3"/>
      <c r="AC707" s="3"/>
      <c r="AD707" s="3"/>
      <c r="AE707" t="s">
        <v>5891</v>
      </c>
      <c r="AF707" t="s">
        <v>722</v>
      </c>
    </row>
    <row r="708" spans="1:32" x14ac:dyDescent="0.3">
      <c r="A708" t="s">
        <v>1826</v>
      </c>
      <c r="B708" s="1" t="s">
        <v>1205</v>
      </c>
      <c r="C708" s="5" t="s">
        <v>2774</v>
      </c>
      <c r="D708" s="2" t="s">
        <v>4291</v>
      </c>
      <c r="E708" s="1" t="s">
        <v>1165</v>
      </c>
      <c r="F708" s="3">
        <v>49000000</v>
      </c>
      <c r="G708" s="3">
        <v>53000000</v>
      </c>
      <c r="H708" s="3">
        <v>51000000</v>
      </c>
      <c r="I708" s="3">
        <v>69000000</v>
      </c>
      <c r="J708" s="3">
        <v>82000000</v>
      </c>
      <c r="K708" s="3">
        <v>83000000</v>
      </c>
      <c r="L708" s="3">
        <v>93000000</v>
      </c>
      <c r="M708" s="3">
        <v>103000000</v>
      </c>
      <c r="N708" s="3">
        <v>116000000</v>
      </c>
      <c r="O708" s="3">
        <v>151000000</v>
      </c>
      <c r="P708" s="3">
        <v>201000000</v>
      </c>
      <c r="Q708" s="3">
        <v>180000000</v>
      </c>
      <c r="R708" s="3">
        <v>172000000</v>
      </c>
      <c r="S708" s="3">
        <v>181000000</v>
      </c>
      <c r="T708" s="3">
        <v>184000000</v>
      </c>
      <c r="U708" s="3">
        <v>158000000</v>
      </c>
      <c r="V708" s="3">
        <v>379000000</v>
      </c>
      <c r="W708" s="3">
        <v>397000000</v>
      </c>
      <c r="X708" s="3">
        <v>443000000</v>
      </c>
      <c r="Y708" s="3">
        <v>448500000</v>
      </c>
      <c r="Z708" s="3">
        <v>166100006.10351598</v>
      </c>
      <c r="AA708" s="3"/>
      <c r="AB708" s="3"/>
      <c r="AC708" s="3"/>
      <c r="AD708" s="3"/>
      <c r="AE708" t="s">
        <v>5892</v>
      </c>
      <c r="AF708" t="s">
        <v>722</v>
      </c>
    </row>
    <row r="709" spans="1:32" x14ac:dyDescent="0.3">
      <c r="A709" t="s">
        <v>1826</v>
      </c>
      <c r="B709" s="1" t="s">
        <v>1205</v>
      </c>
      <c r="C709" s="5" t="s">
        <v>2775</v>
      </c>
      <c r="D709" s="2" t="s">
        <v>4292</v>
      </c>
      <c r="E709" s="1" t="s">
        <v>1457</v>
      </c>
      <c r="F709" s="3"/>
      <c r="G709" s="3"/>
      <c r="H709" s="3"/>
      <c r="I709" s="3"/>
      <c r="J709" s="3"/>
      <c r="K709" s="3"/>
      <c r="L709" s="3"/>
      <c r="M709" s="3"/>
      <c r="N709" s="3">
        <v>108000000</v>
      </c>
      <c r="O709" s="3"/>
      <c r="P709" s="3">
        <v>5500000</v>
      </c>
      <c r="Q709" s="3">
        <v>5500000</v>
      </c>
      <c r="R709" s="3">
        <v>50000000</v>
      </c>
      <c r="S709" s="3">
        <v>350000000</v>
      </c>
      <c r="T709" s="3">
        <v>269000000</v>
      </c>
      <c r="U709" s="3"/>
      <c r="V709" s="3"/>
      <c r="W709" s="3"/>
      <c r="X709" s="3"/>
      <c r="Y709" s="3"/>
      <c r="Z709" s="3">
        <v>810240000</v>
      </c>
      <c r="AA709" s="3">
        <v>416180000</v>
      </c>
      <c r="AB709" s="3"/>
      <c r="AC709" s="3">
        <v>60000000</v>
      </c>
      <c r="AD709" s="3"/>
      <c r="AE709" t="s">
        <v>5893</v>
      </c>
      <c r="AF709" t="s">
        <v>1723</v>
      </c>
    </row>
    <row r="710" spans="1:32" x14ac:dyDescent="0.3">
      <c r="A710" t="s">
        <v>1826</v>
      </c>
      <c r="B710" s="1" t="s">
        <v>1205</v>
      </c>
      <c r="C710" s="5" t="s">
        <v>2776</v>
      </c>
      <c r="D710" s="2" t="s">
        <v>4293</v>
      </c>
      <c r="E710" s="1" t="s">
        <v>1489</v>
      </c>
      <c r="F710" s="3"/>
      <c r="G710" s="3"/>
      <c r="H710" s="3"/>
      <c r="I710" s="3"/>
      <c r="J710" s="3"/>
      <c r="K710" s="3"/>
      <c r="L710" s="3"/>
      <c r="M710" s="3"/>
      <c r="N710" s="3"/>
      <c r="O710" s="3"/>
      <c r="P710" s="3"/>
      <c r="Q710" s="3"/>
      <c r="R710" s="3">
        <v>700000000</v>
      </c>
      <c r="S710" s="3"/>
      <c r="T710" s="3"/>
      <c r="U710" s="3"/>
      <c r="V710" s="3"/>
      <c r="W710" s="3"/>
      <c r="X710" s="3"/>
      <c r="Y710" s="3"/>
      <c r="Z710" s="3"/>
      <c r="AA710" s="3"/>
      <c r="AB710" s="3"/>
      <c r="AC710" s="3">
        <v>170000000</v>
      </c>
      <c r="AD710" s="3"/>
      <c r="AE710" t="s">
        <v>5894</v>
      </c>
      <c r="AF710" t="s">
        <v>1723</v>
      </c>
    </row>
    <row r="711" spans="1:32" x14ac:dyDescent="0.3">
      <c r="A711" t="s">
        <v>1826</v>
      </c>
      <c r="B711" s="1" t="s">
        <v>1205</v>
      </c>
      <c r="C711" s="5" t="s">
        <v>2777</v>
      </c>
      <c r="D711" s="2" t="s">
        <v>4294</v>
      </c>
      <c r="E711" s="1" t="s">
        <v>296</v>
      </c>
      <c r="F711" s="3">
        <v>140000000</v>
      </c>
      <c r="G711" s="3"/>
      <c r="H711" s="3"/>
      <c r="I711" s="3"/>
      <c r="J711" s="3">
        <v>36400000</v>
      </c>
      <c r="K711" s="3"/>
      <c r="L711" s="3"/>
      <c r="M711" s="3"/>
      <c r="N711" s="3"/>
      <c r="O711" s="3"/>
      <c r="P711" s="3"/>
      <c r="Q711" s="3"/>
      <c r="R711" s="3">
        <v>285000000</v>
      </c>
      <c r="S711" s="3"/>
      <c r="T711" s="3"/>
      <c r="U711" s="3"/>
      <c r="V711" s="3"/>
      <c r="W711" s="3">
        <v>471300000</v>
      </c>
      <c r="X711" s="3"/>
      <c r="Y711" s="3"/>
      <c r="Z711" s="3"/>
      <c r="AA711" s="3">
        <v>468310000</v>
      </c>
      <c r="AB711" s="3">
        <v>175600000</v>
      </c>
      <c r="AC711" s="3"/>
      <c r="AD711" s="3"/>
      <c r="AE711" t="s">
        <v>5895</v>
      </c>
      <c r="AF711" t="s">
        <v>1976</v>
      </c>
    </row>
    <row r="712" spans="1:32" ht="28.8" x14ac:dyDescent="0.3">
      <c r="A712" t="s">
        <v>1826</v>
      </c>
      <c r="B712" s="1" t="s">
        <v>1205</v>
      </c>
      <c r="C712" s="5" t="s">
        <v>2778</v>
      </c>
      <c r="D712" s="2" t="s">
        <v>4295</v>
      </c>
      <c r="E712" s="1" t="s">
        <v>830</v>
      </c>
      <c r="F712" s="3"/>
      <c r="G712" s="3"/>
      <c r="H712" s="3"/>
      <c r="I712" s="3"/>
      <c r="J712" s="3"/>
      <c r="K712" s="3"/>
      <c r="L712" s="3"/>
      <c r="M712" s="3"/>
      <c r="N712" s="3"/>
      <c r="O712" s="3"/>
      <c r="P712" s="3"/>
      <c r="Q712" s="3"/>
      <c r="R712" s="3"/>
      <c r="S712" s="3"/>
      <c r="T712" s="3"/>
      <c r="U712" s="3"/>
      <c r="V712" s="3"/>
      <c r="W712" s="3"/>
      <c r="X712" s="3"/>
      <c r="Y712" s="3"/>
      <c r="Z712" s="3">
        <v>192310000</v>
      </c>
      <c r="AA712" s="3"/>
      <c r="AB712" s="3"/>
      <c r="AC712" s="3"/>
      <c r="AD712" s="3"/>
      <c r="AE712" t="s">
        <v>5896</v>
      </c>
      <c r="AF712" t="s">
        <v>1702</v>
      </c>
    </row>
    <row r="713" spans="1:32" x14ac:dyDescent="0.3">
      <c r="A713" t="s">
        <v>1826</v>
      </c>
      <c r="B713" s="1" t="s">
        <v>1205</v>
      </c>
      <c r="C713" s="5" t="s">
        <v>2779</v>
      </c>
      <c r="D713" s="2" t="s">
        <v>4296</v>
      </c>
      <c r="E713" s="1" t="s">
        <v>2047</v>
      </c>
      <c r="F713" s="3">
        <v>42.078000000000003</v>
      </c>
      <c r="G713" s="3">
        <v>42.744</v>
      </c>
      <c r="H713" s="3">
        <v>43.411999999999999</v>
      </c>
      <c r="I713" s="3">
        <v>44.085000000000001</v>
      </c>
      <c r="J713" s="3">
        <v>44.765000000000001</v>
      </c>
      <c r="K713" s="3">
        <v>45.451999999999998</v>
      </c>
      <c r="L713" s="3">
        <v>46.148000000000003</v>
      </c>
      <c r="M713" s="3">
        <v>46.851999999999997</v>
      </c>
      <c r="N713" s="3">
        <v>47.613</v>
      </c>
      <c r="O713" s="3">
        <v>48.429000000000002</v>
      </c>
      <c r="P713" s="3">
        <v>49.252000000000002</v>
      </c>
      <c r="Q713" s="3">
        <v>50.076000000000001</v>
      </c>
      <c r="R713" s="3">
        <v>50.898000000000003</v>
      </c>
      <c r="S713" s="3">
        <v>48.790999999999997</v>
      </c>
      <c r="T713" s="3">
        <v>46.621000000000002</v>
      </c>
      <c r="U713" s="3">
        <v>44.411000000000001</v>
      </c>
      <c r="V713" s="3">
        <v>42.215000000000003</v>
      </c>
      <c r="W713" s="3">
        <v>41.225999999999999</v>
      </c>
      <c r="X713" s="3">
        <v>40.253999999999998</v>
      </c>
      <c r="Y713" s="3">
        <v>39.302999999999997</v>
      </c>
      <c r="Z713" s="3">
        <v>37.145000000000003</v>
      </c>
      <c r="AA713" s="3">
        <v>35.817</v>
      </c>
      <c r="AB713" s="3">
        <v>33.43</v>
      </c>
      <c r="AC713" s="3">
        <v>32.905000000000001</v>
      </c>
      <c r="AD713" s="3">
        <v>32.481999999999999</v>
      </c>
      <c r="AE713" t="s">
        <v>5897</v>
      </c>
      <c r="AF713" t="s">
        <v>557</v>
      </c>
    </row>
    <row r="714" spans="1:32" x14ac:dyDescent="0.3">
      <c r="A714" t="s">
        <v>1826</v>
      </c>
      <c r="B714" s="1" t="s">
        <v>1205</v>
      </c>
      <c r="C714" s="5" t="s">
        <v>2780</v>
      </c>
      <c r="D714" s="2" t="s">
        <v>4297</v>
      </c>
      <c r="E714" s="1" t="s">
        <v>979</v>
      </c>
      <c r="F714" s="3"/>
      <c r="G714" s="3"/>
      <c r="H714" s="3"/>
      <c r="I714" s="3"/>
      <c r="J714" s="3"/>
      <c r="K714" s="3"/>
      <c r="L714" s="3"/>
      <c r="M714" s="3"/>
      <c r="N714" s="3"/>
      <c r="O714" s="3"/>
      <c r="P714" s="3"/>
      <c r="Q714" s="3"/>
      <c r="R714" s="3">
        <v>50.984000000000002</v>
      </c>
      <c r="S714" s="3">
        <v>51.131999999999998</v>
      </c>
      <c r="T714" s="3"/>
      <c r="U714" s="3"/>
      <c r="V714" s="3">
        <v>43.054000000000002</v>
      </c>
      <c r="W714" s="3">
        <v>27.109000000000002</v>
      </c>
      <c r="X714" s="3"/>
      <c r="Y714" s="3">
        <v>39.896999999999998</v>
      </c>
      <c r="Z714" s="3"/>
      <c r="AA714" s="3"/>
      <c r="AB714" s="3">
        <v>33.664000000000001</v>
      </c>
      <c r="AC714" s="3"/>
      <c r="AD714" s="3"/>
      <c r="AE714" t="s">
        <v>5897</v>
      </c>
      <c r="AF714" t="s">
        <v>994</v>
      </c>
    </row>
    <row r="715" spans="1:32" x14ac:dyDescent="0.3">
      <c r="A715" t="s">
        <v>1826</v>
      </c>
      <c r="B715" s="1" t="s">
        <v>1205</v>
      </c>
      <c r="C715" s="5" t="s">
        <v>2781</v>
      </c>
      <c r="D715" s="2" t="s">
        <v>4298</v>
      </c>
      <c r="E715" s="1" t="s">
        <v>169</v>
      </c>
      <c r="F715" s="3">
        <v>61.039000000000001</v>
      </c>
      <c r="G715" s="3">
        <v>60.256</v>
      </c>
      <c r="H715" s="3">
        <v>59.47</v>
      </c>
      <c r="I715" s="3">
        <v>58.68</v>
      </c>
      <c r="J715" s="3">
        <v>57.889000000000003</v>
      </c>
      <c r="K715" s="3">
        <v>57.094999999999999</v>
      </c>
      <c r="L715" s="3">
        <v>56.298000000000002</v>
      </c>
      <c r="M715" s="3">
        <v>55.497999999999998</v>
      </c>
      <c r="N715" s="3">
        <v>54.658000000000001</v>
      </c>
      <c r="O715" s="3">
        <v>53.774000000000001</v>
      </c>
      <c r="P715" s="3">
        <v>52.875999999999998</v>
      </c>
      <c r="Q715" s="3">
        <v>51.969000000000001</v>
      </c>
      <c r="R715" s="3">
        <v>51.06</v>
      </c>
      <c r="S715" s="3">
        <v>51.701999999999998</v>
      </c>
      <c r="T715" s="3">
        <v>52.366999999999997</v>
      </c>
      <c r="U715" s="3">
        <v>53.026000000000003</v>
      </c>
      <c r="V715" s="3">
        <v>53.639000000000003</v>
      </c>
      <c r="W715" s="3">
        <v>51.655999999999999</v>
      </c>
      <c r="X715" s="3">
        <v>49.692</v>
      </c>
      <c r="Y715" s="3">
        <v>47.749000000000002</v>
      </c>
      <c r="Z715" s="3">
        <v>45.311</v>
      </c>
      <c r="AA715" s="3">
        <v>43.442999999999998</v>
      </c>
      <c r="AB715" s="3">
        <v>40.610999999999997</v>
      </c>
      <c r="AC715" s="3">
        <v>39.871000000000002</v>
      </c>
      <c r="AD715" s="3">
        <v>39.344000000000001</v>
      </c>
      <c r="AE715" t="s">
        <v>5897</v>
      </c>
      <c r="AF715" t="s">
        <v>557</v>
      </c>
    </row>
    <row r="716" spans="1:32" x14ac:dyDescent="0.3">
      <c r="A716" t="s">
        <v>1826</v>
      </c>
      <c r="B716" s="1" t="s">
        <v>1205</v>
      </c>
      <c r="C716" s="5" t="s">
        <v>2782</v>
      </c>
      <c r="D716" s="2" t="s">
        <v>4299</v>
      </c>
      <c r="E716" s="1" t="s">
        <v>1247</v>
      </c>
      <c r="F716" s="3"/>
      <c r="G716" s="3"/>
      <c r="H716" s="3"/>
      <c r="I716" s="3"/>
      <c r="J716" s="3"/>
      <c r="K716" s="3"/>
      <c r="L716" s="3"/>
      <c r="M716" s="3"/>
      <c r="N716" s="3"/>
      <c r="O716" s="3"/>
      <c r="P716" s="3"/>
      <c r="Q716" s="3"/>
      <c r="R716" s="3">
        <v>50.988</v>
      </c>
      <c r="S716" s="3">
        <v>50.591999999999999</v>
      </c>
      <c r="T716" s="3"/>
      <c r="U716" s="3"/>
      <c r="V716" s="3">
        <v>53.88</v>
      </c>
      <c r="W716" s="3">
        <v>31.423999999999999</v>
      </c>
      <c r="X716" s="3"/>
      <c r="Y716" s="3">
        <v>47.654000000000003</v>
      </c>
      <c r="Z716" s="3"/>
      <c r="AA716" s="3"/>
      <c r="AB716" s="3">
        <v>40.848999999999997</v>
      </c>
      <c r="AC716" s="3"/>
      <c r="AD716" s="3"/>
      <c r="AE716" t="s">
        <v>5897</v>
      </c>
      <c r="AF716" t="s">
        <v>994</v>
      </c>
    </row>
    <row r="717" spans="1:32" x14ac:dyDescent="0.3">
      <c r="A717" t="s">
        <v>1826</v>
      </c>
      <c r="B717" s="1" t="s">
        <v>1205</v>
      </c>
      <c r="C717" s="5" t="s">
        <v>2783</v>
      </c>
      <c r="D717" s="2" t="s">
        <v>4300</v>
      </c>
      <c r="E717" s="1" t="s">
        <v>1645</v>
      </c>
      <c r="F717" s="3">
        <v>51.478999999999999</v>
      </c>
      <c r="G717" s="3">
        <v>51.435000000000002</v>
      </c>
      <c r="H717" s="3">
        <v>51.390999999999998</v>
      </c>
      <c r="I717" s="3">
        <v>51.347000000000001</v>
      </c>
      <c r="J717" s="3">
        <v>51.302999999999997</v>
      </c>
      <c r="K717" s="3">
        <v>51.26</v>
      </c>
      <c r="L717" s="3">
        <v>51.216000000000001</v>
      </c>
      <c r="M717" s="3">
        <v>51.173000000000002</v>
      </c>
      <c r="N717" s="3">
        <v>51.13</v>
      </c>
      <c r="O717" s="3">
        <v>51.088999999999999</v>
      </c>
      <c r="P717" s="3">
        <v>51.05</v>
      </c>
      <c r="Q717" s="3">
        <v>51.014000000000003</v>
      </c>
      <c r="R717" s="3">
        <v>50.978000000000002</v>
      </c>
      <c r="S717" s="3">
        <v>50.237000000000002</v>
      </c>
      <c r="T717" s="3">
        <v>49.493000000000002</v>
      </c>
      <c r="U717" s="3">
        <v>48.753</v>
      </c>
      <c r="V717" s="3">
        <v>48.017000000000003</v>
      </c>
      <c r="W717" s="3">
        <v>46.561999999999998</v>
      </c>
      <c r="X717" s="3">
        <v>45.110999999999997</v>
      </c>
      <c r="Y717" s="3">
        <v>43.667999999999999</v>
      </c>
      <c r="Z717" s="3">
        <v>41.375999999999998</v>
      </c>
      <c r="AA717" s="3">
        <v>39.773000000000003</v>
      </c>
      <c r="AB717" s="3">
        <v>37.155999999999999</v>
      </c>
      <c r="AC717" s="3">
        <v>36.515000000000001</v>
      </c>
      <c r="AD717" s="3">
        <v>36.030999999999999</v>
      </c>
      <c r="AE717" t="s">
        <v>5897</v>
      </c>
      <c r="AF717" t="s">
        <v>557</v>
      </c>
    </row>
    <row r="718" spans="1:32" x14ac:dyDescent="0.3">
      <c r="A718" t="s">
        <v>1826</v>
      </c>
      <c r="B718" s="1" t="s">
        <v>1205</v>
      </c>
      <c r="C718" s="5" t="s">
        <v>2784</v>
      </c>
      <c r="D718" s="2" t="s">
        <v>4301</v>
      </c>
      <c r="E718" s="1" t="s">
        <v>1705</v>
      </c>
      <c r="F718" s="3"/>
      <c r="G718" s="3"/>
      <c r="H718" s="3"/>
      <c r="I718" s="3"/>
      <c r="J718" s="3"/>
      <c r="K718" s="3"/>
      <c r="L718" s="3"/>
      <c r="M718" s="3"/>
      <c r="N718" s="3"/>
      <c r="O718" s="3"/>
      <c r="P718" s="3"/>
      <c r="Q718" s="3"/>
      <c r="R718" s="3">
        <v>50.985999999999997</v>
      </c>
      <c r="S718" s="3">
        <v>50.871000000000002</v>
      </c>
      <c r="T718" s="3"/>
      <c r="U718" s="3"/>
      <c r="V718" s="3">
        <v>48.024000000000001</v>
      </c>
      <c r="W718" s="3">
        <v>29.251000000000001</v>
      </c>
      <c r="X718" s="3"/>
      <c r="Y718" s="3">
        <v>43.677</v>
      </c>
      <c r="Z718" s="3"/>
      <c r="AA718" s="3"/>
      <c r="AB718" s="3">
        <v>37.183</v>
      </c>
      <c r="AC718" s="3"/>
      <c r="AD718" s="3"/>
      <c r="AE718" t="s">
        <v>5897</v>
      </c>
      <c r="AF718" t="s">
        <v>994</v>
      </c>
    </row>
    <row r="719" spans="1:32" ht="28.8" x14ac:dyDescent="0.3">
      <c r="A719" t="s">
        <v>1826</v>
      </c>
      <c r="B719" s="1" t="s">
        <v>1205</v>
      </c>
      <c r="C719" s="5" t="s">
        <v>2785</v>
      </c>
      <c r="D719" s="2" t="s">
        <v>4302</v>
      </c>
      <c r="E719" s="1" t="s">
        <v>1865</v>
      </c>
      <c r="F719" s="3">
        <v>50.363</v>
      </c>
      <c r="G719" s="3">
        <v>51.366</v>
      </c>
      <c r="H719" s="3">
        <v>52.37</v>
      </c>
      <c r="I719" s="3">
        <v>53.377000000000002</v>
      </c>
      <c r="J719" s="3">
        <v>54.384999999999998</v>
      </c>
      <c r="K719" s="3">
        <v>55.395000000000003</v>
      </c>
      <c r="L719" s="3">
        <v>56.408000000000001</v>
      </c>
      <c r="M719" s="3">
        <v>57.420999999999999</v>
      </c>
      <c r="N719" s="3">
        <v>58.42</v>
      </c>
      <c r="O719" s="3">
        <v>59.41</v>
      </c>
      <c r="P719" s="3">
        <v>60.408999999999999</v>
      </c>
      <c r="Q719" s="3">
        <v>61.414999999999999</v>
      </c>
      <c r="R719" s="3">
        <v>62.427</v>
      </c>
      <c r="S719" s="3">
        <v>61.353000000000002</v>
      </c>
      <c r="T719" s="3">
        <v>60.284999999999997</v>
      </c>
      <c r="U719" s="3">
        <v>59.228000000000002</v>
      </c>
      <c r="V719" s="3">
        <v>58.173000000000002</v>
      </c>
      <c r="W719" s="3">
        <v>57.506</v>
      </c>
      <c r="X719" s="3">
        <v>56.84</v>
      </c>
      <c r="Y719" s="3">
        <v>56.176000000000002</v>
      </c>
      <c r="Z719" s="3">
        <v>56.631</v>
      </c>
      <c r="AA719" s="3">
        <v>58.28</v>
      </c>
      <c r="AB719" s="3">
        <v>58.957999999999998</v>
      </c>
      <c r="AC719" s="3">
        <v>58.863999999999997</v>
      </c>
      <c r="AD719" s="3">
        <v>58.841000000000001</v>
      </c>
      <c r="AE719" t="s">
        <v>5898</v>
      </c>
      <c r="AF719" t="s">
        <v>775</v>
      </c>
    </row>
    <row r="720" spans="1:32" x14ac:dyDescent="0.3">
      <c r="A720" t="s">
        <v>1826</v>
      </c>
      <c r="B720" s="1" t="s">
        <v>1205</v>
      </c>
      <c r="C720" s="5" t="s">
        <v>2786</v>
      </c>
      <c r="D720" s="2" t="s">
        <v>4303</v>
      </c>
      <c r="E720" s="1" t="s">
        <v>92</v>
      </c>
      <c r="F720" s="3"/>
      <c r="G720" s="3"/>
      <c r="H720" s="3"/>
      <c r="I720" s="3"/>
      <c r="J720" s="3"/>
      <c r="K720" s="3"/>
      <c r="L720" s="3"/>
      <c r="M720" s="3"/>
      <c r="N720" s="3"/>
      <c r="O720" s="3"/>
      <c r="P720" s="3"/>
      <c r="Q720" s="3"/>
      <c r="R720" s="3">
        <v>62.524000000000001</v>
      </c>
      <c r="S720" s="3">
        <v>69.578000000000003</v>
      </c>
      <c r="T720" s="3"/>
      <c r="U720" s="3"/>
      <c r="V720" s="3">
        <v>58.292000000000002</v>
      </c>
      <c r="W720" s="3">
        <v>46.171999999999997</v>
      </c>
      <c r="X720" s="3"/>
      <c r="Y720" s="3">
        <v>56.235999999999997</v>
      </c>
      <c r="Z720" s="3"/>
      <c r="AA720" s="3"/>
      <c r="AB720" s="3">
        <v>59.58</v>
      </c>
      <c r="AC720" s="3"/>
      <c r="AD720" s="3"/>
      <c r="AE720" t="s">
        <v>5899</v>
      </c>
      <c r="AF720" t="s">
        <v>656</v>
      </c>
    </row>
    <row r="721" spans="1:32" ht="28.8" x14ac:dyDescent="0.3">
      <c r="A721" t="s">
        <v>1826</v>
      </c>
      <c r="B721" s="1" t="s">
        <v>1205</v>
      </c>
      <c r="C721" s="5" t="s">
        <v>2787</v>
      </c>
      <c r="D721" s="2" t="s">
        <v>4304</v>
      </c>
      <c r="E721" s="1" t="s">
        <v>666</v>
      </c>
      <c r="F721" s="3">
        <v>51.024000000000001</v>
      </c>
      <c r="G721" s="3">
        <v>52.093000000000004</v>
      </c>
      <c r="H721" s="3">
        <v>53.161000000000001</v>
      </c>
      <c r="I721" s="3">
        <v>54.225000000000001</v>
      </c>
      <c r="J721" s="3">
        <v>55.286999999999999</v>
      </c>
      <c r="K721" s="3">
        <v>56.345999999999997</v>
      </c>
      <c r="L721" s="3">
        <v>57.402000000000001</v>
      </c>
      <c r="M721" s="3">
        <v>58.454999999999998</v>
      </c>
      <c r="N721" s="3">
        <v>59.5</v>
      </c>
      <c r="O721" s="3">
        <v>60.548000000000002</v>
      </c>
      <c r="P721" s="3">
        <v>61.615000000000002</v>
      </c>
      <c r="Q721" s="3">
        <v>62.701999999999998</v>
      </c>
      <c r="R721" s="3">
        <v>63.808999999999997</v>
      </c>
      <c r="S721" s="3">
        <v>62.741</v>
      </c>
      <c r="T721" s="3">
        <v>61.646000000000001</v>
      </c>
      <c r="U721" s="3">
        <v>60.529000000000003</v>
      </c>
      <c r="V721" s="3">
        <v>59.417000000000002</v>
      </c>
      <c r="W721" s="3">
        <v>58.965000000000003</v>
      </c>
      <c r="X721" s="3">
        <v>58.49</v>
      </c>
      <c r="Y721" s="3">
        <v>57.991999999999997</v>
      </c>
      <c r="Z721" s="3">
        <v>58.274999999999999</v>
      </c>
      <c r="AA721" s="3">
        <v>59.784999999999997</v>
      </c>
      <c r="AB721" s="3">
        <v>60.316000000000003</v>
      </c>
      <c r="AC721" s="3">
        <v>60.234999999999999</v>
      </c>
      <c r="AD721" s="3">
        <v>60.225000000000001</v>
      </c>
      <c r="AE721" t="s">
        <v>5900</v>
      </c>
      <c r="AF721" t="s">
        <v>557</v>
      </c>
    </row>
    <row r="722" spans="1:32" ht="28.8" x14ac:dyDescent="0.3">
      <c r="A722" t="s">
        <v>1826</v>
      </c>
      <c r="B722" s="1" t="s">
        <v>1205</v>
      </c>
      <c r="C722" s="5" t="s">
        <v>2788</v>
      </c>
      <c r="D722" s="2" t="s">
        <v>4305</v>
      </c>
      <c r="E722" s="1" t="s">
        <v>2058</v>
      </c>
      <c r="F722" s="3">
        <v>80.326999999999998</v>
      </c>
      <c r="G722" s="3">
        <v>79.661000000000001</v>
      </c>
      <c r="H722" s="3">
        <v>78.988</v>
      </c>
      <c r="I722" s="3">
        <v>78.308999999999997</v>
      </c>
      <c r="J722" s="3">
        <v>77.625</v>
      </c>
      <c r="K722" s="3">
        <v>76.938000000000002</v>
      </c>
      <c r="L722" s="3">
        <v>76.245999999999995</v>
      </c>
      <c r="M722" s="3">
        <v>75.55</v>
      </c>
      <c r="N722" s="3">
        <v>74.828999999999994</v>
      </c>
      <c r="O722" s="3">
        <v>74.093000000000004</v>
      </c>
      <c r="P722" s="3">
        <v>73.364999999999995</v>
      </c>
      <c r="Q722" s="3">
        <v>72.641999999999996</v>
      </c>
      <c r="R722" s="3">
        <v>71.921999999999997</v>
      </c>
      <c r="S722" s="3">
        <v>72.694000000000003</v>
      </c>
      <c r="T722" s="3">
        <v>73.468000000000004</v>
      </c>
      <c r="U722" s="3">
        <v>74.253</v>
      </c>
      <c r="V722" s="3">
        <v>75.036000000000001</v>
      </c>
      <c r="W722" s="3">
        <v>74.287999999999997</v>
      </c>
      <c r="X722" s="3">
        <v>73.528000000000006</v>
      </c>
      <c r="Y722" s="3">
        <v>72.757999999999996</v>
      </c>
      <c r="Z722" s="3">
        <v>72.992999999999995</v>
      </c>
      <c r="AA722" s="3">
        <v>74.376000000000005</v>
      </c>
      <c r="AB722" s="3">
        <v>74.695999999999998</v>
      </c>
      <c r="AC722" s="3">
        <v>74.281999999999996</v>
      </c>
      <c r="AD722" s="3">
        <v>74.221000000000004</v>
      </c>
      <c r="AE722" t="s">
        <v>5899</v>
      </c>
      <c r="AF722" t="s">
        <v>557</v>
      </c>
    </row>
    <row r="723" spans="1:32" ht="28.8" x14ac:dyDescent="0.3">
      <c r="A723" t="s">
        <v>1826</v>
      </c>
      <c r="B723" s="1" t="s">
        <v>1205</v>
      </c>
      <c r="C723" s="5" t="s">
        <v>2789</v>
      </c>
      <c r="D723" s="2" t="s">
        <v>4306</v>
      </c>
      <c r="E723" s="1" t="s">
        <v>383</v>
      </c>
      <c r="F723" s="3"/>
      <c r="G723" s="3"/>
      <c r="H723" s="3"/>
      <c r="I723" s="3"/>
      <c r="J723" s="3"/>
      <c r="K723" s="3"/>
      <c r="L723" s="3"/>
      <c r="M723" s="3"/>
      <c r="N723" s="3"/>
      <c r="O723" s="3"/>
      <c r="P723" s="3"/>
      <c r="Q723" s="3"/>
      <c r="R723" s="3">
        <v>72.034000000000006</v>
      </c>
      <c r="S723" s="3">
        <v>80.899000000000001</v>
      </c>
      <c r="T723" s="3"/>
      <c r="U723" s="3"/>
      <c r="V723" s="3">
        <v>75.19</v>
      </c>
      <c r="W723" s="3">
        <v>65.658000000000001</v>
      </c>
      <c r="X723" s="3"/>
      <c r="Y723" s="3">
        <v>72.835999999999999</v>
      </c>
      <c r="Z723" s="3"/>
      <c r="AA723" s="3"/>
      <c r="AB723" s="3">
        <v>75.527000000000001</v>
      </c>
      <c r="AC723" s="3"/>
      <c r="AD723" s="3"/>
      <c r="AE723" t="s">
        <v>5899</v>
      </c>
      <c r="AF723" t="s">
        <v>994</v>
      </c>
    </row>
    <row r="724" spans="1:32" ht="28.8" x14ac:dyDescent="0.3">
      <c r="A724" t="s">
        <v>1826</v>
      </c>
      <c r="B724" s="1" t="s">
        <v>1205</v>
      </c>
      <c r="C724" s="5" t="s">
        <v>2790</v>
      </c>
      <c r="D724" s="2" t="s">
        <v>4307</v>
      </c>
      <c r="E724" s="1" t="s">
        <v>867</v>
      </c>
      <c r="F724" s="3">
        <v>80.540000000000006</v>
      </c>
      <c r="G724" s="3">
        <v>79.94</v>
      </c>
      <c r="H724" s="3">
        <v>79.33</v>
      </c>
      <c r="I724" s="3">
        <v>78.712000000000003</v>
      </c>
      <c r="J724" s="3">
        <v>78.087000000000003</v>
      </c>
      <c r="K724" s="3">
        <v>77.454999999999998</v>
      </c>
      <c r="L724" s="3">
        <v>76.816999999999993</v>
      </c>
      <c r="M724" s="3">
        <v>76.171999999999997</v>
      </c>
      <c r="N724" s="3">
        <v>75.504999999999995</v>
      </c>
      <c r="O724" s="3">
        <v>74.828999999999994</v>
      </c>
      <c r="P724" s="3">
        <v>74.167000000000002</v>
      </c>
      <c r="Q724" s="3">
        <v>73.516000000000005</v>
      </c>
      <c r="R724" s="3">
        <v>72.875</v>
      </c>
      <c r="S724" s="3">
        <v>73.671000000000006</v>
      </c>
      <c r="T724" s="3">
        <v>74.45</v>
      </c>
      <c r="U724" s="3">
        <v>75.218000000000004</v>
      </c>
      <c r="V724" s="3">
        <v>75.986000000000004</v>
      </c>
      <c r="W724" s="3">
        <v>75.307000000000002</v>
      </c>
      <c r="X724" s="3">
        <v>74.629000000000005</v>
      </c>
      <c r="Y724" s="3">
        <v>73.951999999999998</v>
      </c>
      <c r="Z724" s="3">
        <v>74.022000000000006</v>
      </c>
      <c r="AA724" s="3">
        <v>75.251999999999995</v>
      </c>
      <c r="AB724" s="3">
        <v>75.471999999999994</v>
      </c>
      <c r="AC724" s="3">
        <v>75.076999999999998</v>
      </c>
      <c r="AD724" s="3">
        <v>74.995999999999995</v>
      </c>
      <c r="AE724" t="s">
        <v>5900</v>
      </c>
      <c r="AF724" t="s">
        <v>557</v>
      </c>
    </row>
    <row r="725" spans="1:32" ht="28.8" x14ac:dyDescent="0.3">
      <c r="A725" t="s">
        <v>1826</v>
      </c>
      <c r="B725" s="1" t="s">
        <v>1205</v>
      </c>
      <c r="C725" s="5" t="s">
        <v>2791</v>
      </c>
      <c r="D725" s="2" t="s">
        <v>4308</v>
      </c>
      <c r="E725" s="1" t="s">
        <v>1851</v>
      </c>
      <c r="F725" s="3">
        <v>65.474000000000004</v>
      </c>
      <c r="G725" s="3">
        <v>65.625</v>
      </c>
      <c r="H725" s="3">
        <v>65.775999999999996</v>
      </c>
      <c r="I725" s="3">
        <v>65.927000000000007</v>
      </c>
      <c r="J725" s="3">
        <v>66.076999999999998</v>
      </c>
      <c r="K725" s="3">
        <v>66.227000000000004</v>
      </c>
      <c r="L725" s="3">
        <v>66.376999999999995</v>
      </c>
      <c r="M725" s="3">
        <v>66.527000000000001</v>
      </c>
      <c r="N725" s="3">
        <v>66.676000000000002</v>
      </c>
      <c r="O725" s="3">
        <v>66.825000000000003</v>
      </c>
      <c r="P725" s="3">
        <v>66.972999999999999</v>
      </c>
      <c r="Q725" s="3">
        <v>67.120999999999995</v>
      </c>
      <c r="R725" s="3">
        <v>67.269000000000005</v>
      </c>
      <c r="S725" s="3">
        <v>67.159000000000006</v>
      </c>
      <c r="T725" s="3">
        <v>67.049000000000007</v>
      </c>
      <c r="U725" s="3">
        <v>66.938999999999993</v>
      </c>
      <c r="V725" s="3">
        <v>66.828999999999994</v>
      </c>
      <c r="W725" s="3">
        <v>66.120999999999995</v>
      </c>
      <c r="X725" s="3">
        <v>65.406000000000006</v>
      </c>
      <c r="Y725" s="3">
        <v>64.683999999999997</v>
      </c>
      <c r="Z725" s="3">
        <v>65.02</v>
      </c>
      <c r="AA725" s="3">
        <v>66.525000000000006</v>
      </c>
      <c r="AB725" s="3">
        <v>67.013000000000005</v>
      </c>
      <c r="AC725" s="3">
        <v>66.748999999999995</v>
      </c>
      <c r="AD725" s="3">
        <v>66.700999999999993</v>
      </c>
      <c r="AE725" t="s">
        <v>5899</v>
      </c>
      <c r="AF725" t="s">
        <v>557</v>
      </c>
    </row>
    <row r="726" spans="1:32" x14ac:dyDescent="0.3">
      <c r="A726" t="s">
        <v>1826</v>
      </c>
      <c r="B726" s="1" t="s">
        <v>1205</v>
      </c>
      <c r="C726" s="5" t="s">
        <v>2792</v>
      </c>
      <c r="D726" s="2" t="s">
        <v>4309</v>
      </c>
      <c r="E726" s="1" t="s">
        <v>948</v>
      </c>
      <c r="F726" s="3"/>
      <c r="G726" s="3"/>
      <c r="H726" s="3"/>
      <c r="I726" s="3"/>
      <c r="J726" s="3"/>
      <c r="K726" s="3"/>
      <c r="L726" s="3"/>
      <c r="M726" s="3"/>
      <c r="N726" s="3"/>
      <c r="O726" s="3"/>
      <c r="P726" s="3"/>
      <c r="Q726" s="3"/>
      <c r="R726" s="3">
        <v>67.269000000000005</v>
      </c>
      <c r="S726" s="3">
        <v>75.347999999999999</v>
      </c>
      <c r="T726" s="3"/>
      <c r="U726" s="3"/>
      <c r="V726" s="3">
        <v>66.828999999999994</v>
      </c>
      <c r="W726" s="3">
        <v>56.061999999999998</v>
      </c>
      <c r="X726" s="3"/>
      <c r="Y726" s="3">
        <v>64.683999999999997</v>
      </c>
      <c r="Z726" s="3"/>
      <c r="AA726" s="3"/>
      <c r="AB726" s="3">
        <v>67.149000000000001</v>
      </c>
      <c r="AC726" s="3"/>
      <c r="AD726" s="3"/>
      <c r="AE726" t="s">
        <v>5899</v>
      </c>
      <c r="AF726" t="s">
        <v>994</v>
      </c>
    </row>
    <row r="727" spans="1:32" ht="28.8" x14ac:dyDescent="0.3">
      <c r="A727" t="s">
        <v>1826</v>
      </c>
      <c r="B727" s="1" t="s">
        <v>1205</v>
      </c>
      <c r="C727" s="5" t="s">
        <v>2793</v>
      </c>
      <c r="D727" s="2" t="s">
        <v>4310</v>
      </c>
      <c r="E727" s="1" t="s">
        <v>881</v>
      </c>
      <c r="F727" s="3">
        <v>65.92</v>
      </c>
      <c r="G727" s="3">
        <v>66.135000000000005</v>
      </c>
      <c r="H727" s="3">
        <v>66.346999999999994</v>
      </c>
      <c r="I727" s="3">
        <v>66.555999999999997</v>
      </c>
      <c r="J727" s="3">
        <v>66.760000000000005</v>
      </c>
      <c r="K727" s="3">
        <v>66.960999999999999</v>
      </c>
      <c r="L727" s="3">
        <v>67.158000000000001</v>
      </c>
      <c r="M727" s="3">
        <v>67.352000000000004</v>
      </c>
      <c r="N727" s="3">
        <v>67.55</v>
      </c>
      <c r="O727" s="3">
        <v>67.759</v>
      </c>
      <c r="P727" s="3">
        <v>67.974000000000004</v>
      </c>
      <c r="Q727" s="3">
        <v>68.198999999999998</v>
      </c>
      <c r="R727" s="3">
        <v>68.435000000000002</v>
      </c>
      <c r="S727" s="3">
        <v>68.341999999999999</v>
      </c>
      <c r="T727" s="3">
        <v>68.224000000000004</v>
      </c>
      <c r="U727" s="3">
        <v>68.076999999999998</v>
      </c>
      <c r="V727" s="3">
        <v>67.933000000000007</v>
      </c>
      <c r="W727" s="3">
        <v>67.364000000000004</v>
      </c>
      <c r="X727" s="3">
        <v>66.784000000000006</v>
      </c>
      <c r="Y727" s="3">
        <v>66.19</v>
      </c>
      <c r="Z727" s="3">
        <v>66.358000000000004</v>
      </c>
      <c r="AA727" s="3">
        <v>67.718000000000004</v>
      </c>
      <c r="AB727" s="3">
        <v>68.082999999999998</v>
      </c>
      <c r="AC727" s="3">
        <v>67.834999999999994</v>
      </c>
      <c r="AD727" s="3">
        <v>67.784000000000006</v>
      </c>
      <c r="AE727" t="s">
        <v>5900</v>
      </c>
      <c r="AF727" t="s">
        <v>557</v>
      </c>
    </row>
    <row r="728" spans="1:32" ht="28.8" x14ac:dyDescent="0.3">
      <c r="A728" t="s">
        <v>1826</v>
      </c>
      <c r="B728" s="1" t="s">
        <v>1205</v>
      </c>
      <c r="C728" s="5" t="s">
        <v>2794</v>
      </c>
      <c r="D728" s="2" t="s">
        <v>4311</v>
      </c>
      <c r="E728" s="1" t="s">
        <v>1255</v>
      </c>
      <c r="F728" s="3"/>
      <c r="G728" s="3"/>
      <c r="H728" s="3"/>
      <c r="I728" s="3"/>
      <c r="J728" s="3"/>
      <c r="K728" s="3"/>
      <c r="L728" s="3"/>
      <c r="M728" s="3"/>
      <c r="N728" s="3"/>
      <c r="O728" s="3"/>
      <c r="P728" s="3"/>
      <c r="Q728" s="3"/>
      <c r="R728" s="3">
        <v>76.356999999999999</v>
      </c>
      <c r="S728" s="3">
        <v>83.308000000000007</v>
      </c>
      <c r="T728" s="3"/>
      <c r="U728" s="3"/>
      <c r="V728" s="3">
        <v>64.941000000000003</v>
      </c>
      <c r="W728" s="3">
        <v>42.014000000000003</v>
      </c>
      <c r="X728" s="3"/>
      <c r="Y728" s="3">
        <v>76.378</v>
      </c>
      <c r="Z728" s="3"/>
      <c r="AA728" s="3"/>
      <c r="AB728" s="3">
        <v>73.751999999999995</v>
      </c>
      <c r="AC728" s="3"/>
      <c r="AD728" s="3"/>
      <c r="AE728" t="s">
        <v>5901</v>
      </c>
      <c r="AF728" t="s">
        <v>569</v>
      </c>
    </row>
    <row r="729" spans="1:32" ht="28.8" x14ac:dyDescent="0.3">
      <c r="A729" t="s">
        <v>1826</v>
      </c>
      <c r="B729" s="1" t="s">
        <v>1205</v>
      </c>
      <c r="C729" s="5" t="s">
        <v>2795</v>
      </c>
      <c r="D729" s="2" t="s">
        <v>4312</v>
      </c>
      <c r="E729" s="1" t="s">
        <v>1593</v>
      </c>
      <c r="F729" s="3"/>
      <c r="G729" s="3"/>
      <c r="H729" s="3"/>
      <c r="I729" s="3"/>
      <c r="J729" s="3"/>
      <c r="K729" s="3"/>
      <c r="L729" s="3"/>
      <c r="M729" s="3"/>
      <c r="N729" s="3"/>
      <c r="O729" s="3"/>
      <c r="P729" s="3"/>
      <c r="Q729" s="3"/>
      <c r="R729" s="3">
        <v>71.055000000000007</v>
      </c>
      <c r="S729" s="3">
        <v>73.835999999999999</v>
      </c>
      <c r="T729" s="3"/>
      <c r="U729" s="3"/>
      <c r="V729" s="3">
        <v>54.365000000000002</v>
      </c>
      <c r="W729" s="3">
        <v>31.187000000000001</v>
      </c>
      <c r="X729" s="3"/>
      <c r="Y729" s="3">
        <v>66.447999999999993</v>
      </c>
      <c r="Z729" s="3"/>
      <c r="AA729" s="3"/>
      <c r="AB729" s="3">
        <v>65.802000000000007</v>
      </c>
      <c r="AC729" s="3"/>
      <c r="AD729" s="3"/>
      <c r="AE729" t="s">
        <v>5901</v>
      </c>
      <c r="AF729" t="s">
        <v>569</v>
      </c>
    </row>
    <row r="730" spans="1:32" ht="28.8" x14ac:dyDescent="0.3">
      <c r="A730" t="s">
        <v>1826</v>
      </c>
      <c r="B730" s="1" t="s">
        <v>1205</v>
      </c>
      <c r="C730" s="5" t="s">
        <v>2796</v>
      </c>
      <c r="D730" s="2" t="s">
        <v>4313</v>
      </c>
      <c r="E730" s="1" t="s">
        <v>304</v>
      </c>
      <c r="F730" s="3"/>
      <c r="G730" s="3"/>
      <c r="H730" s="3"/>
      <c r="I730" s="3"/>
      <c r="J730" s="3"/>
      <c r="K730" s="3"/>
      <c r="L730" s="3"/>
      <c r="M730" s="3"/>
      <c r="N730" s="3"/>
      <c r="O730" s="3"/>
      <c r="P730" s="3"/>
      <c r="Q730" s="3"/>
      <c r="R730" s="3">
        <v>78.66</v>
      </c>
      <c r="S730" s="3">
        <v>86.272999999999996</v>
      </c>
      <c r="T730" s="3"/>
      <c r="U730" s="3"/>
      <c r="V730" s="3">
        <v>69.069999999999993</v>
      </c>
      <c r="W730" s="3">
        <v>47.177</v>
      </c>
      <c r="X730" s="3"/>
      <c r="Y730" s="3">
        <v>80.259</v>
      </c>
      <c r="Z730" s="3"/>
      <c r="AA730" s="3"/>
      <c r="AB730" s="3">
        <v>78.421000000000006</v>
      </c>
      <c r="AC730" s="3"/>
      <c r="AD730" s="3"/>
      <c r="AE730" t="s">
        <v>5901</v>
      </c>
      <c r="AF730" t="s">
        <v>569</v>
      </c>
    </row>
    <row r="731" spans="1:32" ht="28.8" x14ac:dyDescent="0.3">
      <c r="A731" t="s">
        <v>1826</v>
      </c>
      <c r="B731" s="1" t="s">
        <v>1205</v>
      </c>
      <c r="C731" s="5" t="s">
        <v>2797</v>
      </c>
      <c r="D731" s="2" t="s">
        <v>4314</v>
      </c>
      <c r="E731" s="1" t="s">
        <v>518</v>
      </c>
      <c r="F731" s="3"/>
      <c r="G731" s="3"/>
      <c r="H731" s="3"/>
      <c r="I731" s="3"/>
      <c r="J731" s="3"/>
      <c r="K731" s="3"/>
      <c r="L731" s="3"/>
      <c r="M731" s="3"/>
      <c r="N731" s="3"/>
      <c r="O731" s="3"/>
      <c r="P731" s="3"/>
      <c r="Q731" s="3"/>
      <c r="R731" s="3">
        <v>65.423000000000002</v>
      </c>
      <c r="S731" s="3">
        <v>65.581000000000003</v>
      </c>
      <c r="T731" s="3"/>
      <c r="U731" s="3"/>
      <c r="V731" s="3">
        <v>56.637</v>
      </c>
      <c r="W731" s="3">
        <v>66.350999999999999</v>
      </c>
      <c r="X731" s="3"/>
      <c r="Y731" s="3">
        <v>50.826999999999998</v>
      </c>
      <c r="Z731" s="3"/>
      <c r="AA731" s="3"/>
      <c r="AB731" s="3">
        <v>57.015999999999998</v>
      </c>
      <c r="AC731" s="3"/>
      <c r="AD731" s="3"/>
      <c r="AE731" t="s">
        <v>5902</v>
      </c>
      <c r="AF731" t="s">
        <v>569</v>
      </c>
    </row>
    <row r="732" spans="1:32" ht="28.8" x14ac:dyDescent="0.3">
      <c r="A732" t="s">
        <v>1826</v>
      </c>
      <c r="B732" s="1" t="s">
        <v>1205</v>
      </c>
      <c r="C732" s="5" t="s">
        <v>2798</v>
      </c>
      <c r="D732" s="2" t="s">
        <v>4315</v>
      </c>
      <c r="E732" s="1" t="s">
        <v>1888</v>
      </c>
      <c r="F732" s="3"/>
      <c r="G732" s="3"/>
      <c r="H732" s="3"/>
      <c r="I732" s="3"/>
      <c r="J732" s="3"/>
      <c r="K732" s="3"/>
      <c r="L732" s="3"/>
      <c r="M732" s="3"/>
      <c r="N732" s="3"/>
      <c r="O732" s="3"/>
      <c r="P732" s="3"/>
      <c r="Q732" s="3"/>
      <c r="R732" s="3">
        <v>61.091999999999999</v>
      </c>
      <c r="S732" s="3">
        <v>57.213999999999999</v>
      </c>
      <c r="T732" s="3"/>
      <c r="U732" s="3"/>
      <c r="V732" s="3">
        <v>45.000999999999998</v>
      </c>
      <c r="W732" s="3">
        <v>54.232999999999997</v>
      </c>
      <c r="X732" s="3"/>
      <c r="Y732" s="3">
        <v>41.695999999999998</v>
      </c>
      <c r="Z732" s="3"/>
      <c r="AA732" s="3"/>
      <c r="AB732" s="3">
        <v>48.899000000000001</v>
      </c>
      <c r="AC732" s="3"/>
      <c r="AD732" s="3"/>
      <c r="AE732" t="s">
        <v>5902</v>
      </c>
      <c r="AF732" t="s">
        <v>569</v>
      </c>
    </row>
    <row r="733" spans="1:32" ht="28.8" x14ac:dyDescent="0.3">
      <c r="A733" t="s">
        <v>1826</v>
      </c>
      <c r="B733" s="1" t="s">
        <v>1205</v>
      </c>
      <c r="C733" s="5" t="s">
        <v>2799</v>
      </c>
      <c r="D733" s="2" t="s">
        <v>4316</v>
      </c>
      <c r="E733" s="1" t="s">
        <v>22</v>
      </c>
      <c r="F733" s="3"/>
      <c r="G733" s="3"/>
      <c r="H733" s="3"/>
      <c r="I733" s="3"/>
      <c r="J733" s="3"/>
      <c r="K733" s="3"/>
      <c r="L733" s="3"/>
      <c r="M733" s="3"/>
      <c r="N733" s="3"/>
      <c r="O733" s="3"/>
      <c r="P733" s="3"/>
      <c r="Q733" s="3"/>
      <c r="R733" s="3">
        <v>69.162000000000006</v>
      </c>
      <c r="S733" s="3">
        <v>71.063999999999993</v>
      </c>
      <c r="T733" s="3"/>
      <c r="U733" s="3"/>
      <c r="V733" s="3">
        <v>64.537999999999997</v>
      </c>
      <c r="W733" s="3">
        <v>77.444999999999993</v>
      </c>
      <c r="X733" s="3"/>
      <c r="Y733" s="3">
        <v>56.883000000000003</v>
      </c>
      <c r="Z733" s="3"/>
      <c r="AA733" s="3"/>
      <c r="AB733" s="3">
        <v>64.569999999999993</v>
      </c>
      <c r="AC733" s="3"/>
      <c r="AD733" s="3"/>
      <c r="AE733" t="s">
        <v>5902</v>
      </c>
      <c r="AF733" t="s">
        <v>569</v>
      </c>
    </row>
    <row r="734" spans="1:32" ht="28.8" x14ac:dyDescent="0.3">
      <c r="A734" t="s">
        <v>1826</v>
      </c>
      <c r="B734" s="1" t="s">
        <v>1205</v>
      </c>
      <c r="C734" s="5" t="s">
        <v>2800</v>
      </c>
      <c r="D734" s="2" t="s">
        <v>4317</v>
      </c>
      <c r="E734" s="1" t="s">
        <v>624</v>
      </c>
      <c r="F734" s="3"/>
      <c r="G734" s="3"/>
      <c r="H734" s="3"/>
      <c r="I734" s="3"/>
      <c r="J734" s="3"/>
      <c r="K734" s="3"/>
      <c r="L734" s="3"/>
      <c r="M734" s="3"/>
      <c r="N734" s="3"/>
      <c r="O734" s="3"/>
      <c r="P734" s="3"/>
      <c r="Q734" s="3"/>
      <c r="R734" s="3">
        <v>44.451999999999998</v>
      </c>
      <c r="S734" s="3">
        <v>64.296999999999997</v>
      </c>
      <c r="T734" s="3"/>
      <c r="U734" s="3"/>
      <c r="V734" s="3">
        <v>55.500999999999998</v>
      </c>
      <c r="W734" s="3">
        <v>45.578000000000003</v>
      </c>
      <c r="X734" s="3"/>
      <c r="Y734" s="3">
        <v>60.573999999999998</v>
      </c>
      <c r="Z734" s="3"/>
      <c r="AA734" s="3"/>
      <c r="AB734" s="3">
        <v>66.471999999999994</v>
      </c>
      <c r="AC734" s="3"/>
      <c r="AD734" s="3"/>
      <c r="AE734" t="s">
        <v>5903</v>
      </c>
      <c r="AF734" t="s">
        <v>569</v>
      </c>
    </row>
    <row r="735" spans="1:32" ht="28.8" x14ac:dyDescent="0.3">
      <c r="A735" t="s">
        <v>1826</v>
      </c>
      <c r="B735" s="1" t="s">
        <v>1205</v>
      </c>
      <c r="C735" s="5" t="s">
        <v>2801</v>
      </c>
      <c r="D735" s="2" t="s">
        <v>4318</v>
      </c>
      <c r="E735" s="1" t="s">
        <v>1159</v>
      </c>
      <c r="F735" s="3"/>
      <c r="G735" s="3"/>
      <c r="H735" s="3"/>
      <c r="I735" s="3"/>
      <c r="J735" s="3"/>
      <c r="K735" s="3"/>
      <c r="L735" s="3"/>
      <c r="M735" s="3"/>
      <c r="N735" s="3"/>
      <c r="O735" s="3"/>
      <c r="P735" s="3"/>
      <c r="Q735" s="3"/>
      <c r="R735" s="3">
        <v>35.005000000000003</v>
      </c>
      <c r="S735" s="3">
        <v>54.655999999999999</v>
      </c>
      <c r="T735" s="3"/>
      <c r="U735" s="3"/>
      <c r="V735" s="3">
        <v>42.741999999999997</v>
      </c>
      <c r="W735" s="3">
        <v>36.399000000000001</v>
      </c>
      <c r="X735" s="3"/>
      <c r="Y735" s="3">
        <v>50.709000000000003</v>
      </c>
      <c r="Z735" s="3"/>
      <c r="AA735" s="3"/>
      <c r="AB735" s="3">
        <v>52.793999999999997</v>
      </c>
      <c r="AC735" s="3"/>
      <c r="AD735" s="3"/>
      <c r="AE735" t="s">
        <v>5903</v>
      </c>
      <c r="AF735" t="s">
        <v>569</v>
      </c>
    </row>
    <row r="736" spans="1:32" ht="28.8" x14ac:dyDescent="0.3">
      <c r="A736" t="s">
        <v>1826</v>
      </c>
      <c r="B736" s="1" t="s">
        <v>1205</v>
      </c>
      <c r="C736" s="5" t="s">
        <v>2802</v>
      </c>
      <c r="D736" s="2" t="s">
        <v>4319</v>
      </c>
      <c r="E736" s="1" t="s">
        <v>1339</v>
      </c>
      <c r="F736" s="3"/>
      <c r="G736" s="3"/>
      <c r="H736" s="3"/>
      <c r="I736" s="3"/>
      <c r="J736" s="3"/>
      <c r="K736" s="3"/>
      <c r="L736" s="3"/>
      <c r="M736" s="3"/>
      <c r="N736" s="3"/>
      <c r="O736" s="3"/>
      <c r="P736" s="3"/>
      <c r="Q736" s="3"/>
      <c r="R736" s="3">
        <v>50.015000000000001</v>
      </c>
      <c r="S736" s="3">
        <v>69.325000000000003</v>
      </c>
      <c r="T736" s="3"/>
      <c r="U736" s="3"/>
      <c r="V736" s="3">
        <v>62.209000000000003</v>
      </c>
      <c r="W736" s="3">
        <v>51.488999999999997</v>
      </c>
      <c r="X736" s="3"/>
      <c r="Y736" s="3">
        <v>65.105999999999995</v>
      </c>
      <c r="Z736" s="3"/>
      <c r="AA736" s="3"/>
      <c r="AB736" s="3">
        <v>74.417000000000002</v>
      </c>
      <c r="AC736" s="3"/>
      <c r="AD736" s="3"/>
      <c r="AE736" t="s">
        <v>5903</v>
      </c>
      <c r="AF736" t="s">
        <v>569</v>
      </c>
    </row>
    <row r="737" spans="1:32" x14ac:dyDescent="0.3">
      <c r="A737" t="s">
        <v>1826</v>
      </c>
      <c r="B737" s="1" t="s">
        <v>1205</v>
      </c>
      <c r="C737" s="5" t="s">
        <v>2803</v>
      </c>
      <c r="D737" s="2" t="s">
        <v>4320</v>
      </c>
      <c r="E737" s="1" t="s">
        <v>593</v>
      </c>
      <c r="F737" s="3">
        <v>38.130116053567811</v>
      </c>
      <c r="G737" s="3">
        <v>38.827886511004067</v>
      </c>
      <c r="H737" s="3">
        <v>39.520005135189308</v>
      </c>
      <c r="I737" s="3">
        <v>40.208958006615191</v>
      </c>
      <c r="J737" s="3">
        <v>40.89689832190156</v>
      </c>
      <c r="K737" s="3">
        <v>41.586335762641369</v>
      </c>
      <c r="L737" s="3">
        <v>42.275118969848222</v>
      </c>
      <c r="M737" s="3">
        <v>42.961101278646716</v>
      </c>
      <c r="N737" s="3">
        <v>43.53563882854143</v>
      </c>
      <c r="O737" s="3">
        <v>44.010209246125058</v>
      </c>
      <c r="P737" s="3">
        <v>44.500421398207315</v>
      </c>
      <c r="Q737" s="3">
        <v>44.995089185040172</v>
      </c>
      <c r="R737" s="3">
        <v>45.478371200663794</v>
      </c>
      <c r="S737" s="3">
        <v>44.586234147442894</v>
      </c>
      <c r="T737" s="3">
        <v>43.777837120748075</v>
      </c>
      <c r="U737" s="3">
        <v>43.069659203963283</v>
      </c>
      <c r="V737" s="3">
        <v>42.364075580926787</v>
      </c>
      <c r="W737" s="3">
        <v>42.323453039257437</v>
      </c>
      <c r="X737" s="3">
        <v>42.295783293231686</v>
      </c>
      <c r="Y737" s="3">
        <v>42.28668219995982</v>
      </c>
      <c r="Z737" s="3">
        <v>42.442694329002265</v>
      </c>
      <c r="AA737" s="3">
        <v>42.730223219475697</v>
      </c>
      <c r="AB737" s="3">
        <v>42.950064628661025</v>
      </c>
      <c r="AC737" s="3">
        <v>43.086081463141426</v>
      </c>
      <c r="AD737" s="3">
        <v>43.131954183465112</v>
      </c>
      <c r="AE737" t="s">
        <v>5904</v>
      </c>
      <c r="AF737" t="s">
        <v>1606</v>
      </c>
    </row>
    <row r="738" spans="1:32" x14ac:dyDescent="0.3">
      <c r="A738" t="s">
        <v>1826</v>
      </c>
      <c r="B738" s="1" t="s">
        <v>1205</v>
      </c>
      <c r="C738" s="5" t="s">
        <v>2804</v>
      </c>
      <c r="D738" s="2" t="s">
        <v>4321</v>
      </c>
      <c r="E738" s="1" t="s">
        <v>1958</v>
      </c>
      <c r="F738" s="3">
        <v>6253233</v>
      </c>
      <c r="G738" s="3">
        <v>6429804</v>
      </c>
      <c r="H738" s="3">
        <v>6605404</v>
      </c>
      <c r="I738" s="3">
        <v>6779544</v>
      </c>
      <c r="J738" s="3">
        <v>6954300</v>
      </c>
      <c r="K738" s="3">
        <v>7133307</v>
      </c>
      <c r="L738" s="3">
        <v>7316980</v>
      </c>
      <c r="M738" s="3">
        <v>7505748</v>
      </c>
      <c r="N738" s="3">
        <v>7771201</v>
      </c>
      <c r="O738" s="3">
        <v>8106769</v>
      </c>
      <c r="P738" s="3">
        <v>8433828</v>
      </c>
      <c r="Q738" s="3">
        <v>8749057</v>
      </c>
      <c r="R738" s="3">
        <v>9048653</v>
      </c>
      <c r="S738" s="3">
        <v>9300550</v>
      </c>
      <c r="T738" s="3">
        <v>9534032</v>
      </c>
      <c r="U738" s="3">
        <v>9764022</v>
      </c>
      <c r="V738" s="3">
        <v>10013267</v>
      </c>
      <c r="W738" s="3">
        <v>10180365</v>
      </c>
      <c r="X738" s="3">
        <v>10349949</v>
      </c>
      <c r="Y738" s="3">
        <v>10522774</v>
      </c>
      <c r="Z738" s="3">
        <v>10870521</v>
      </c>
      <c r="AA738" s="3">
        <v>11440310</v>
      </c>
      <c r="AB738" s="3">
        <v>11882499</v>
      </c>
      <c r="AC738" s="3">
        <v>12216126</v>
      </c>
      <c r="AD738" s="3">
        <v>12594667</v>
      </c>
      <c r="AE738" t="s">
        <v>5905</v>
      </c>
      <c r="AF738" t="s">
        <v>1606</v>
      </c>
    </row>
    <row r="739" spans="1:32" x14ac:dyDescent="0.3">
      <c r="A739" t="s">
        <v>1826</v>
      </c>
      <c r="B739" s="1" t="s">
        <v>1205</v>
      </c>
      <c r="C739" s="5" t="s">
        <v>2805</v>
      </c>
      <c r="D739" s="2" t="s">
        <v>4322</v>
      </c>
      <c r="E739" s="1" t="s">
        <v>587</v>
      </c>
      <c r="F739" s="3">
        <v>318000</v>
      </c>
      <c r="G739" s="3">
        <v>318000</v>
      </c>
      <c r="H739" s="3">
        <v>318000</v>
      </c>
      <c r="I739" s="3">
        <v>318000</v>
      </c>
      <c r="J739" s="3">
        <v>318000</v>
      </c>
      <c r="K739" s="3">
        <v>318000</v>
      </c>
      <c r="L739" s="3">
        <v>318000</v>
      </c>
      <c r="M739" s="3">
        <v>318000</v>
      </c>
      <c r="N739" s="3">
        <v>318000</v>
      </c>
      <c r="O739" s="3">
        <v>318000</v>
      </c>
      <c r="P739" s="3">
        <v>318000</v>
      </c>
      <c r="Q739" s="3">
        <v>318000</v>
      </c>
      <c r="R739" s="3">
        <v>318000</v>
      </c>
      <c r="S739" s="3">
        <v>318000</v>
      </c>
      <c r="T739" s="3">
        <v>318000</v>
      </c>
      <c r="U739" s="3">
        <v>318000</v>
      </c>
      <c r="V739" s="3">
        <v>318000</v>
      </c>
      <c r="W739" s="3">
        <v>318000</v>
      </c>
      <c r="X739" s="3">
        <v>318000</v>
      </c>
      <c r="Y739" s="3">
        <v>318000</v>
      </c>
      <c r="Z739" s="3">
        <v>318000</v>
      </c>
      <c r="AA739" s="3">
        <v>318000</v>
      </c>
      <c r="AB739" s="3">
        <v>318000</v>
      </c>
      <c r="AC739" s="3"/>
      <c r="AD739" s="3"/>
      <c r="AE739" t="s">
        <v>5906</v>
      </c>
      <c r="AF739" t="s">
        <v>1928</v>
      </c>
    </row>
    <row r="740" spans="1:32" x14ac:dyDescent="0.3">
      <c r="A740" t="s">
        <v>1826</v>
      </c>
      <c r="B740" s="1" t="s">
        <v>1205</v>
      </c>
      <c r="C740" s="5" t="s">
        <v>2806</v>
      </c>
      <c r="D740" s="2" t="s">
        <v>4323</v>
      </c>
      <c r="E740" s="1" t="s">
        <v>1142</v>
      </c>
      <c r="F740" s="3">
        <v>0.51280966514996296</v>
      </c>
      <c r="G740" s="3"/>
      <c r="H740" s="3"/>
      <c r="I740" s="3"/>
      <c r="J740" s="3"/>
      <c r="K740" s="3"/>
      <c r="L740" s="3"/>
      <c r="M740" s="3"/>
      <c r="N740" s="3"/>
      <c r="O740" s="3"/>
      <c r="P740" s="3"/>
      <c r="Q740" s="3"/>
      <c r="R740" s="3"/>
      <c r="S740" s="3"/>
      <c r="T740" s="3"/>
      <c r="U740" s="3">
        <v>0.51280966514918003</v>
      </c>
      <c r="V740" s="3"/>
      <c r="W740" s="3"/>
      <c r="X740" s="3"/>
      <c r="Y740" s="3"/>
      <c r="Z740" s="3"/>
      <c r="AA740" s="3"/>
      <c r="AB740" s="3"/>
      <c r="AC740" s="3"/>
      <c r="AD740" s="3"/>
      <c r="AE740" t="s">
        <v>5907</v>
      </c>
      <c r="AF740" t="s">
        <v>289</v>
      </c>
    </row>
    <row r="741" spans="1:32" x14ac:dyDescent="0.3">
      <c r="A741" t="s">
        <v>1826</v>
      </c>
      <c r="B741" s="1" t="s">
        <v>1205</v>
      </c>
      <c r="C741" s="5" t="s">
        <v>2807</v>
      </c>
      <c r="D741" s="2" t="s">
        <v>4324</v>
      </c>
      <c r="E741" s="1" t="s">
        <v>0</v>
      </c>
      <c r="F741" s="3">
        <v>764363</v>
      </c>
      <c r="G741" s="3">
        <v>760406</v>
      </c>
      <c r="H741" s="3">
        <v>759651</v>
      </c>
      <c r="I741" s="3">
        <v>730329</v>
      </c>
      <c r="J741" s="3">
        <v>743359</v>
      </c>
      <c r="K741" s="3">
        <v>775972</v>
      </c>
      <c r="L741" s="3">
        <v>788783</v>
      </c>
      <c r="M741" s="3">
        <v>780280</v>
      </c>
      <c r="N741" s="3">
        <v>811788</v>
      </c>
      <c r="O741" s="3">
        <v>834856</v>
      </c>
      <c r="P741" s="3">
        <v>864043</v>
      </c>
      <c r="Q741" s="3">
        <v>853734</v>
      </c>
      <c r="R741" s="3">
        <v>1121491</v>
      </c>
      <c r="S741" s="3">
        <v>1246187</v>
      </c>
      <c r="T741" s="3">
        <v>1294102</v>
      </c>
      <c r="U741" s="3">
        <v>1503735</v>
      </c>
      <c r="V741" s="3">
        <v>1423194</v>
      </c>
      <c r="W741" s="3">
        <v>1464090</v>
      </c>
      <c r="X741" s="3">
        <v>1425662</v>
      </c>
      <c r="Y741" s="3">
        <v>1387042</v>
      </c>
      <c r="Z741" s="3">
        <v>1291849</v>
      </c>
      <c r="AA741" s="3">
        <v>1321740</v>
      </c>
      <c r="AB741" s="3">
        <v>1463957</v>
      </c>
      <c r="AC741" s="3"/>
      <c r="AD741" s="3"/>
      <c r="AE741" t="s">
        <v>5908</v>
      </c>
      <c r="AF741" t="s">
        <v>470</v>
      </c>
    </row>
    <row r="742" spans="1:32" x14ac:dyDescent="0.3">
      <c r="A742" t="s">
        <v>1826</v>
      </c>
      <c r="B742" s="1" t="s">
        <v>1205</v>
      </c>
      <c r="C742" s="5" t="s">
        <v>2808</v>
      </c>
      <c r="D742" s="2" t="s">
        <v>4325</v>
      </c>
      <c r="E742" s="1" t="s">
        <v>773</v>
      </c>
      <c r="F742" s="3"/>
      <c r="G742" s="3"/>
      <c r="H742" s="3"/>
      <c r="I742" s="3"/>
      <c r="J742" s="3"/>
      <c r="K742" s="3"/>
      <c r="L742" s="3"/>
      <c r="M742" s="3"/>
      <c r="N742" s="3"/>
      <c r="O742" s="3"/>
      <c r="P742" s="3">
        <v>1</v>
      </c>
      <c r="Q742" s="3"/>
      <c r="R742" s="3">
        <v>2</v>
      </c>
      <c r="S742" s="3"/>
      <c r="T742" s="3"/>
      <c r="U742" s="3"/>
      <c r="V742" s="3">
        <v>2</v>
      </c>
      <c r="W742" s="3"/>
      <c r="X742" s="3">
        <v>4</v>
      </c>
      <c r="Y742" s="3"/>
      <c r="Z742" s="3"/>
      <c r="AA742" s="3"/>
      <c r="AB742" s="3"/>
      <c r="AC742" s="3"/>
      <c r="AD742" s="3"/>
      <c r="AE742" t="s">
        <v>5909</v>
      </c>
      <c r="AF742" t="s">
        <v>2025</v>
      </c>
    </row>
    <row r="743" spans="1:32" x14ac:dyDescent="0.3">
      <c r="A743" t="s">
        <v>1826</v>
      </c>
      <c r="B743" s="1" t="s">
        <v>1205</v>
      </c>
      <c r="C743" s="5" t="s">
        <v>2809</v>
      </c>
      <c r="D743" s="2" t="s">
        <v>4326</v>
      </c>
      <c r="E743" s="1" t="s">
        <v>1202</v>
      </c>
      <c r="F743" s="3"/>
      <c r="G743" s="3"/>
      <c r="H743" s="3"/>
      <c r="I743" s="3"/>
      <c r="J743" s="3"/>
      <c r="K743" s="3"/>
      <c r="L743" s="3"/>
      <c r="M743" s="3"/>
      <c r="N743" s="3"/>
      <c r="O743" s="3"/>
      <c r="P743" s="3">
        <v>1</v>
      </c>
      <c r="Q743" s="3"/>
      <c r="R743" s="3">
        <v>5</v>
      </c>
      <c r="S743" s="3"/>
      <c r="T743" s="3"/>
      <c r="U743" s="3"/>
      <c r="V743" s="3">
        <v>10</v>
      </c>
      <c r="W743" s="3"/>
      <c r="X743" s="3">
        <v>4</v>
      </c>
      <c r="Y743" s="3"/>
      <c r="Z743" s="3"/>
      <c r="AA743" s="3"/>
      <c r="AB743" s="3"/>
      <c r="AC743" s="3"/>
      <c r="AD743" s="3"/>
      <c r="AE743" t="s">
        <v>5910</v>
      </c>
      <c r="AF743" t="s">
        <v>682</v>
      </c>
    </row>
    <row r="744" spans="1:32" ht="28.8" x14ac:dyDescent="0.3">
      <c r="A744" t="s">
        <v>1826</v>
      </c>
      <c r="B744" s="1" t="s">
        <v>1205</v>
      </c>
      <c r="C744" s="5" t="s">
        <v>2810</v>
      </c>
      <c r="D744" s="2" t="s">
        <v>4327</v>
      </c>
      <c r="E744" s="1" t="s">
        <v>1757</v>
      </c>
      <c r="F744" s="3"/>
      <c r="G744" s="3"/>
      <c r="H744" s="3"/>
      <c r="I744" s="3"/>
      <c r="J744" s="3"/>
      <c r="K744" s="3"/>
      <c r="L744" s="3"/>
      <c r="M744" s="3"/>
      <c r="N744" s="3"/>
      <c r="O744" s="3"/>
      <c r="P744" s="3"/>
      <c r="Q744" s="3"/>
      <c r="R744" s="3"/>
      <c r="S744" s="3"/>
      <c r="T744" s="3">
        <v>79.573257446289006</v>
      </c>
      <c r="U744" s="3"/>
      <c r="V744" s="3"/>
      <c r="W744" s="3"/>
      <c r="X744" s="3"/>
      <c r="Y744" s="3">
        <v>79.885421752929602</v>
      </c>
      <c r="Z744" s="3"/>
      <c r="AA744" s="3"/>
      <c r="AB744" s="3"/>
      <c r="AC744" s="3"/>
      <c r="AD744" s="3"/>
      <c r="AE744" t="s">
        <v>5911</v>
      </c>
      <c r="AF744" t="s">
        <v>88</v>
      </c>
    </row>
    <row r="745" spans="1:32" ht="28.8" x14ac:dyDescent="0.3">
      <c r="A745" t="s">
        <v>1826</v>
      </c>
      <c r="B745" s="1" t="s">
        <v>1205</v>
      </c>
      <c r="C745" s="5" t="s">
        <v>2811</v>
      </c>
      <c r="D745" s="2" t="s">
        <v>4328</v>
      </c>
      <c r="E745" s="1" t="s">
        <v>245</v>
      </c>
      <c r="F745" s="3"/>
      <c r="G745" s="3"/>
      <c r="H745" s="3"/>
      <c r="I745" s="3"/>
      <c r="J745" s="3"/>
      <c r="K745" s="3"/>
      <c r="L745" s="3"/>
      <c r="M745" s="3"/>
      <c r="N745" s="3"/>
      <c r="O745" s="3"/>
      <c r="P745" s="3"/>
      <c r="Q745" s="3"/>
      <c r="R745" s="3"/>
      <c r="S745" s="3"/>
      <c r="T745" s="3">
        <v>77.997650146484304</v>
      </c>
      <c r="U745" s="3"/>
      <c r="V745" s="3"/>
      <c r="W745" s="3"/>
      <c r="X745" s="3"/>
      <c r="Y745" s="3">
        <v>78.919303894042898</v>
      </c>
      <c r="Z745" s="3"/>
      <c r="AA745" s="3"/>
      <c r="AB745" s="3"/>
      <c r="AC745" s="3"/>
      <c r="AD745" s="3"/>
      <c r="AE745" t="s">
        <v>5912</v>
      </c>
      <c r="AF745" t="s">
        <v>88</v>
      </c>
    </row>
    <row r="746" spans="1:32" ht="43.2" x14ac:dyDescent="0.3">
      <c r="A746" t="s">
        <v>1826</v>
      </c>
      <c r="B746" s="1" t="s">
        <v>1205</v>
      </c>
      <c r="C746" s="5" t="s">
        <v>2812</v>
      </c>
      <c r="D746" s="2" t="s">
        <v>4329</v>
      </c>
      <c r="E746" s="1" t="s">
        <v>1517</v>
      </c>
      <c r="F746" s="3"/>
      <c r="G746" s="3"/>
      <c r="H746" s="3"/>
      <c r="I746" s="3"/>
      <c r="J746" s="3"/>
      <c r="K746" s="3"/>
      <c r="L746" s="3"/>
      <c r="M746" s="3"/>
      <c r="N746" s="3"/>
      <c r="O746" s="3"/>
      <c r="P746" s="3"/>
      <c r="Q746" s="3"/>
      <c r="R746" s="3"/>
      <c r="S746" s="3"/>
      <c r="T746" s="3">
        <v>80.922927856445298</v>
      </c>
      <c r="U746" s="3"/>
      <c r="V746" s="3"/>
      <c r="W746" s="3"/>
      <c r="X746" s="3"/>
      <c r="Y746" s="3">
        <v>80.724357604980398</v>
      </c>
      <c r="Z746" s="3"/>
      <c r="AA746" s="3"/>
      <c r="AB746" s="3"/>
      <c r="AC746" s="3"/>
      <c r="AD746" s="3"/>
      <c r="AE746" t="s">
        <v>5913</v>
      </c>
      <c r="AF746" t="s">
        <v>88</v>
      </c>
    </row>
    <row r="747" spans="1:32" x14ac:dyDescent="0.3">
      <c r="A747" t="s">
        <v>1826</v>
      </c>
      <c r="B747" s="1" t="s">
        <v>1205</v>
      </c>
      <c r="C747" s="5" t="s">
        <v>2813</v>
      </c>
      <c r="D747" s="2" t="s">
        <v>4330</v>
      </c>
      <c r="E747" s="1" t="s">
        <v>764</v>
      </c>
      <c r="F747" s="3"/>
      <c r="G747" s="3"/>
      <c r="H747" s="3"/>
      <c r="I747" s="3"/>
      <c r="J747" s="3"/>
      <c r="K747" s="3">
        <v>7.0491666666666699</v>
      </c>
      <c r="L747" s="3">
        <v>4.7366666666666699</v>
      </c>
      <c r="M747" s="3">
        <v>4.7516666666666696</v>
      </c>
      <c r="N747" s="3">
        <v>4.9841666666666704</v>
      </c>
      <c r="O747" s="3">
        <v>4.9775</v>
      </c>
      <c r="P747" s="3">
        <v>5.1133333333333297</v>
      </c>
      <c r="Q747" s="3">
        <v>5.2559166666666703</v>
      </c>
      <c r="R747" s="3">
        <v>5.0391666666666701</v>
      </c>
      <c r="S747" s="3">
        <v>5.2874999999999996</v>
      </c>
      <c r="T747" s="3">
        <v>5.3383333333333303</v>
      </c>
      <c r="U747" s="3">
        <v>5.1541666666666703</v>
      </c>
      <c r="V747" s="3">
        <v>5.2949999999999999</v>
      </c>
      <c r="W747" s="3">
        <v>5.14</v>
      </c>
      <c r="X747" s="3"/>
      <c r="Y747" s="3"/>
      <c r="Z747" s="3"/>
      <c r="AA747" s="3"/>
      <c r="AB747" s="3"/>
      <c r="AC747" s="3"/>
      <c r="AD747" s="3"/>
      <c r="AE747" t="s">
        <v>5914</v>
      </c>
      <c r="AF747" t="s">
        <v>1714</v>
      </c>
    </row>
    <row r="748" spans="1:32" ht="28.8" x14ac:dyDescent="0.3">
      <c r="A748" t="s">
        <v>1826</v>
      </c>
      <c r="B748" s="1" t="s">
        <v>1205</v>
      </c>
      <c r="C748" s="5" t="s">
        <v>2814</v>
      </c>
      <c r="D748" s="2" t="s">
        <v>4331</v>
      </c>
      <c r="E748" s="1" t="s">
        <v>578</v>
      </c>
      <c r="F748" s="3">
        <v>6.1681260945999998</v>
      </c>
      <c r="G748" s="3">
        <v>6.2910683012000002</v>
      </c>
      <c r="H748" s="3">
        <v>6.4140105078999996</v>
      </c>
      <c r="I748" s="3">
        <v>6.5369527144999999</v>
      </c>
      <c r="J748" s="3">
        <v>6.6598949212000003</v>
      </c>
      <c r="K748" s="3">
        <v>6.7828371277999997</v>
      </c>
      <c r="L748" s="3">
        <v>6.5944736329999998</v>
      </c>
      <c r="M748" s="3">
        <v>6.4015372640999999</v>
      </c>
      <c r="N748" s="3">
        <v>6.2108873322000004</v>
      </c>
      <c r="O748" s="3">
        <v>6.0236670557999998</v>
      </c>
      <c r="P748" s="3">
        <v>5.8364467795000001</v>
      </c>
      <c r="Q748" s="3">
        <v>5.6492265032000004</v>
      </c>
      <c r="R748" s="3">
        <v>5.4642926639000002</v>
      </c>
      <c r="S748" s="3">
        <v>5.2759291691000003</v>
      </c>
      <c r="T748" s="3">
        <v>5.0875656743000004</v>
      </c>
      <c r="U748" s="3">
        <v>5.0875656743000004</v>
      </c>
      <c r="V748" s="3">
        <v>5.0875656743000004</v>
      </c>
      <c r="W748" s="3">
        <v>5.0875656743000004</v>
      </c>
      <c r="X748" s="3">
        <v>5.0875656743000004</v>
      </c>
      <c r="Y748" s="3">
        <v>5.0875656743000004</v>
      </c>
      <c r="Z748" s="3">
        <v>5.0875656743000004</v>
      </c>
      <c r="AA748" s="3">
        <v>5.0875656743000004</v>
      </c>
      <c r="AB748" s="3"/>
      <c r="AC748" s="3"/>
      <c r="AD748" s="3"/>
      <c r="AE748" t="s">
        <v>5915</v>
      </c>
      <c r="AF748" t="s">
        <v>1876</v>
      </c>
    </row>
    <row r="749" spans="1:32" x14ac:dyDescent="0.3">
      <c r="A749" t="s">
        <v>1826</v>
      </c>
      <c r="B749" s="1" t="s">
        <v>1205</v>
      </c>
      <c r="C749" s="5" t="s">
        <v>2815</v>
      </c>
      <c r="D749" s="2" t="s">
        <v>4332</v>
      </c>
      <c r="E749" s="1" t="s">
        <v>1353</v>
      </c>
      <c r="F749" s="3">
        <v>52.548000000000002</v>
      </c>
      <c r="G749" s="3">
        <v>52.494999999999997</v>
      </c>
      <c r="H749" s="3">
        <v>52.529000000000003</v>
      </c>
      <c r="I749" s="3">
        <v>52.354999999999997</v>
      </c>
      <c r="J749" s="3">
        <v>52.975000000000001</v>
      </c>
      <c r="K749" s="3">
        <v>53.600999999999999</v>
      </c>
      <c r="L749" s="3">
        <v>53.963000000000001</v>
      </c>
      <c r="M749" s="3">
        <v>54.65</v>
      </c>
      <c r="N749" s="3">
        <v>55.634</v>
      </c>
      <c r="O749" s="3">
        <v>56.314</v>
      </c>
      <c r="P749" s="3">
        <v>56.911999999999999</v>
      </c>
      <c r="Q749" s="3">
        <v>57.673000000000002</v>
      </c>
      <c r="R749" s="3">
        <v>58.314</v>
      </c>
      <c r="S749" s="3">
        <v>58.856000000000002</v>
      </c>
      <c r="T749" s="3">
        <v>59.462000000000003</v>
      </c>
      <c r="U749" s="3">
        <v>60.021999999999998</v>
      </c>
      <c r="V749" s="3">
        <v>60.661000000000001</v>
      </c>
      <c r="W749" s="3">
        <v>61.23</v>
      </c>
      <c r="X749" s="3">
        <v>61.756</v>
      </c>
      <c r="Y749" s="3">
        <v>62.295000000000002</v>
      </c>
      <c r="Z749" s="3">
        <v>62.335999999999999</v>
      </c>
      <c r="AA749" s="3">
        <v>62.313000000000002</v>
      </c>
      <c r="AB749" s="3">
        <v>63.731000000000002</v>
      </c>
      <c r="AC749" s="3">
        <v>64.132000000000005</v>
      </c>
      <c r="AD749" s="3"/>
      <c r="AE749" t="s">
        <v>5916</v>
      </c>
      <c r="AF749" t="s">
        <v>815</v>
      </c>
    </row>
    <row r="750" spans="1:32" x14ac:dyDescent="0.3">
      <c r="A750" t="s">
        <v>1826</v>
      </c>
      <c r="B750" s="1" t="s">
        <v>1205</v>
      </c>
      <c r="C750" s="5" t="s">
        <v>2816</v>
      </c>
      <c r="D750" s="2" t="s">
        <v>4333</v>
      </c>
      <c r="E750" s="1" t="s">
        <v>1543</v>
      </c>
      <c r="F750" s="3">
        <v>50.313000000000002</v>
      </c>
      <c r="G750" s="3">
        <v>50.432000000000002</v>
      </c>
      <c r="H750" s="3">
        <v>50.621000000000002</v>
      </c>
      <c r="I750" s="3">
        <v>50.579000000000001</v>
      </c>
      <c r="J750" s="3">
        <v>50.969000000000001</v>
      </c>
      <c r="K750" s="3">
        <v>51.356000000000002</v>
      </c>
      <c r="L750" s="3">
        <v>51.881999999999998</v>
      </c>
      <c r="M750" s="3">
        <v>52.353000000000002</v>
      </c>
      <c r="N750" s="3">
        <v>52.856000000000002</v>
      </c>
      <c r="O750" s="3">
        <v>53.325000000000003</v>
      </c>
      <c r="P750" s="3">
        <v>53.814</v>
      </c>
      <c r="Q750" s="3">
        <v>54.445</v>
      </c>
      <c r="R750" s="3">
        <v>55.012999999999998</v>
      </c>
      <c r="S750" s="3">
        <v>55.462000000000003</v>
      </c>
      <c r="T750" s="3">
        <v>56.268000000000001</v>
      </c>
      <c r="U750" s="3">
        <v>56.731000000000002</v>
      </c>
      <c r="V750" s="3">
        <v>57.176000000000002</v>
      </c>
      <c r="W750" s="3">
        <v>57.622</v>
      </c>
      <c r="X750" s="3">
        <v>58.063000000000002</v>
      </c>
      <c r="Y750" s="3">
        <v>58.493000000000002</v>
      </c>
      <c r="Z750" s="3">
        <v>58.241999999999997</v>
      </c>
      <c r="AA750" s="3">
        <v>58.496000000000002</v>
      </c>
      <c r="AB750" s="3">
        <v>59.649000000000001</v>
      </c>
      <c r="AC750" s="3">
        <v>60.015999999999998</v>
      </c>
      <c r="AD750" s="3"/>
      <c r="AE750" t="s">
        <v>5916</v>
      </c>
      <c r="AF750" t="s">
        <v>815</v>
      </c>
    </row>
    <row r="751" spans="1:32" x14ac:dyDescent="0.3">
      <c r="A751" t="s">
        <v>1826</v>
      </c>
      <c r="B751" s="1" t="s">
        <v>1205</v>
      </c>
      <c r="C751" s="5" t="s">
        <v>2817</v>
      </c>
      <c r="D751" s="2" t="s">
        <v>4334</v>
      </c>
      <c r="E751" s="1" t="s">
        <v>1486</v>
      </c>
      <c r="F751" s="3">
        <v>51.393000000000001</v>
      </c>
      <c r="G751" s="3">
        <v>51.427999999999997</v>
      </c>
      <c r="H751" s="3">
        <v>51.543999999999997</v>
      </c>
      <c r="I751" s="3">
        <v>51.442999999999998</v>
      </c>
      <c r="J751" s="3">
        <v>51.939</v>
      </c>
      <c r="K751" s="3">
        <v>52.432000000000002</v>
      </c>
      <c r="L751" s="3">
        <v>52.884999999999998</v>
      </c>
      <c r="M751" s="3">
        <v>53.451999999999998</v>
      </c>
      <c r="N751" s="3">
        <v>54.179000000000002</v>
      </c>
      <c r="O751" s="3">
        <v>54.744</v>
      </c>
      <c r="P751" s="3">
        <v>55.281999999999996</v>
      </c>
      <c r="Q751" s="3">
        <v>55.972000000000001</v>
      </c>
      <c r="R751" s="3">
        <v>56.57</v>
      </c>
      <c r="S751" s="3">
        <v>57.057000000000002</v>
      </c>
      <c r="T751" s="3">
        <v>57.771999999999998</v>
      </c>
      <c r="U751" s="3">
        <v>58.280999999999999</v>
      </c>
      <c r="V751" s="3">
        <v>58.814</v>
      </c>
      <c r="W751" s="3">
        <v>59.314999999999998</v>
      </c>
      <c r="X751" s="3">
        <v>59.795000000000002</v>
      </c>
      <c r="Y751" s="3">
        <v>60.274000000000001</v>
      </c>
      <c r="Z751" s="3">
        <v>60.14</v>
      </c>
      <c r="AA751" s="3">
        <v>60.29</v>
      </c>
      <c r="AB751" s="3">
        <v>61.561999999999998</v>
      </c>
      <c r="AC751" s="3">
        <v>61.944000000000003</v>
      </c>
      <c r="AD751" s="3"/>
      <c r="AE751" t="s">
        <v>5916</v>
      </c>
      <c r="AF751" t="s">
        <v>78</v>
      </c>
    </row>
    <row r="752" spans="1:32" x14ac:dyDescent="0.3">
      <c r="A752" t="s">
        <v>1826</v>
      </c>
      <c r="B752" s="1" t="s">
        <v>1205</v>
      </c>
      <c r="C752" s="5" t="s">
        <v>2818</v>
      </c>
      <c r="D752" s="2" t="s">
        <v>4335</v>
      </c>
      <c r="E752" s="1" t="s">
        <v>1370</v>
      </c>
      <c r="F752" s="3">
        <v>2.1562046981661198</v>
      </c>
      <c r="G752" s="3">
        <v>2.2782797508592201</v>
      </c>
      <c r="H752" s="3">
        <v>2.36758119248459</v>
      </c>
      <c r="I752" s="3">
        <v>2.4569967676663298</v>
      </c>
      <c r="J752" s="3">
        <v>2.4610098448849498</v>
      </c>
      <c r="K752" s="3">
        <v>2.63722488137289</v>
      </c>
      <c r="L752" s="3">
        <v>2.8859255153608601</v>
      </c>
      <c r="M752" s="3">
        <v>2.9777992934866901</v>
      </c>
      <c r="N752" s="3">
        <v>2.9150607731333298</v>
      </c>
      <c r="O752" s="3">
        <v>3.0436315594427099</v>
      </c>
      <c r="P752" s="3">
        <v>3.0624721631127398</v>
      </c>
      <c r="Q752" s="3">
        <v>2.9382811786859202</v>
      </c>
      <c r="R752" s="3">
        <v>2.9131268943756798</v>
      </c>
      <c r="S752" s="3">
        <v>2.7895214087893798</v>
      </c>
      <c r="T752" s="3">
        <v>2.6531930540851199</v>
      </c>
      <c r="U752" s="3">
        <v>2.51737617217711</v>
      </c>
      <c r="V752" s="3">
        <v>2.3831150371023102</v>
      </c>
      <c r="W752" s="3">
        <v>2.2151952221414501</v>
      </c>
      <c r="X752" s="3">
        <v>2.0573358824397801</v>
      </c>
      <c r="Y752" s="3">
        <v>1.92836208249421</v>
      </c>
      <c r="Z752" s="3">
        <v>1.9756693742321101</v>
      </c>
      <c r="AA752" s="3">
        <v>1.9839314939045201</v>
      </c>
      <c r="AB752" s="3">
        <v>1.7344477915207599</v>
      </c>
      <c r="AC752" s="3">
        <v>1.4898051200270701</v>
      </c>
      <c r="AD752" s="3"/>
      <c r="AE752" t="s">
        <v>5917</v>
      </c>
      <c r="AF752" t="s">
        <v>1832</v>
      </c>
    </row>
    <row r="753" spans="1:32" x14ac:dyDescent="0.3">
      <c r="A753" t="s">
        <v>1826</v>
      </c>
      <c r="B753" s="1" t="s">
        <v>1205</v>
      </c>
      <c r="C753" s="5" t="s">
        <v>2819</v>
      </c>
      <c r="D753" s="2" t="s">
        <v>4336</v>
      </c>
      <c r="E753" s="1" t="s">
        <v>1005</v>
      </c>
      <c r="F753" s="3">
        <v>46</v>
      </c>
      <c r="G753" s="3">
        <v>44</v>
      </c>
      <c r="H753" s="3">
        <v>42</v>
      </c>
      <c r="I753" s="3">
        <v>41</v>
      </c>
      <c r="J753" s="3">
        <v>41</v>
      </c>
      <c r="K753" s="3">
        <v>38</v>
      </c>
      <c r="L753" s="3">
        <v>35</v>
      </c>
      <c r="M753" s="3">
        <v>34</v>
      </c>
      <c r="N753" s="3">
        <v>34</v>
      </c>
      <c r="O753" s="3">
        <v>33</v>
      </c>
      <c r="P753" s="3">
        <v>33</v>
      </c>
      <c r="Q753" s="3">
        <v>34</v>
      </c>
      <c r="R753" s="3">
        <v>34</v>
      </c>
      <c r="S753" s="3">
        <v>36</v>
      </c>
      <c r="T753" s="3">
        <v>38</v>
      </c>
      <c r="U753" s="3">
        <v>40</v>
      </c>
      <c r="V753" s="3">
        <v>42</v>
      </c>
      <c r="W753" s="3">
        <v>45</v>
      </c>
      <c r="X753" s="3">
        <v>49</v>
      </c>
      <c r="Y753" s="3">
        <v>52</v>
      </c>
      <c r="Z753" s="3">
        <v>51</v>
      </c>
      <c r="AA753" s="3">
        <v>50</v>
      </c>
      <c r="AB753" s="3">
        <v>58</v>
      </c>
      <c r="AC753" s="3">
        <v>67</v>
      </c>
      <c r="AD753" s="3"/>
      <c r="AE753" t="s">
        <v>5917</v>
      </c>
      <c r="AF753" t="s">
        <v>1832</v>
      </c>
    </row>
    <row r="754" spans="1:32" x14ac:dyDescent="0.3">
      <c r="A754" t="s">
        <v>1826</v>
      </c>
      <c r="B754" s="1" t="s">
        <v>1205</v>
      </c>
      <c r="C754" s="5" t="s">
        <v>2820</v>
      </c>
      <c r="D754" s="2" t="s">
        <v>4337</v>
      </c>
      <c r="E754" s="1" t="s">
        <v>647</v>
      </c>
      <c r="F754" s="3"/>
      <c r="G754" s="3"/>
      <c r="H754" s="3"/>
      <c r="I754" s="3"/>
      <c r="J754" s="3"/>
      <c r="K754" s="3"/>
      <c r="L754" s="3">
        <v>17.031207941600002</v>
      </c>
      <c r="M754" s="3">
        <v>16.2631013574</v>
      </c>
      <c r="N754" s="3">
        <v>19.986089597500001</v>
      </c>
      <c r="O754" s="3">
        <v>19.303393014400001</v>
      </c>
      <c r="P754" s="3">
        <v>19.946929165499999</v>
      </c>
      <c r="Q754" s="3">
        <v>19.959116331000001</v>
      </c>
      <c r="R754" s="3">
        <v>19.501681190399999</v>
      </c>
      <c r="S754" s="3">
        <v>21.357238945300001</v>
      </c>
      <c r="T754" s="3">
        <v>22.4579503436</v>
      </c>
      <c r="U754" s="3">
        <v>21.569258652399999</v>
      </c>
      <c r="V754" s="3">
        <v>20.6383670749</v>
      </c>
      <c r="W754" s="3">
        <v>18.9750549279</v>
      </c>
      <c r="X754" s="3">
        <v>19.605379262</v>
      </c>
      <c r="Y754" s="3">
        <v>19.970201198600002</v>
      </c>
      <c r="Z754" s="3">
        <v>19.9814975669</v>
      </c>
      <c r="AA754" s="3">
        <v>19.284502063200001</v>
      </c>
      <c r="AB754" s="3"/>
      <c r="AC754" s="3"/>
      <c r="AD754" s="3"/>
      <c r="AE754" t="s">
        <v>5918</v>
      </c>
      <c r="AF754" t="s">
        <v>568</v>
      </c>
    </row>
    <row r="755" spans="1:32" x14ac:dyDescent="0.3">
      <c r="A755" t="s">
        <v>1826</v>
      </c>
      <c r="B755" s="1" t="s">
        <v>1205</v>
      </c>
      <c r="C755" s="5" t="s">
        <v>2821</v>
      </c>
      <c r="D755" s="2" t="s">
        <v>4338</v>
      </c>
      <c r="E755" s="1" t="s">
        <v>1966</v>
      </c>
      <c r="F755" s="3">
        <v>41</v>
      </c>
      <c r="G755" s="3">
        <v>38</v>
      </c>
      <c r="H755" s="3">
        <v>38</v>
      </c>
      <c r="I755" s="3">
        <v>39</v>
      </c>
      <c r="J755" s="3">
        <v>39</v>
      </c>
      <c r="K755" s="3">
        <v>39</v>
      </c>
      <c r="L755" s="3">
        <v>40</v>
      </c>
      <c r="M755" s="3">
        <v>38</v>
      </c>
      <c r="N755" s="3">
        <v>38</v>
      </c>
      <c r="O755" s="3">
        <v>38</v>
      </c>
      <c r="P755" s="3">
        <v>39</v>
      </c>
      <c r="Q755" s="3">
        <v>39</v>
      </c>
      <c r="R755" s="3">
        <v>37</v>
      </c>
      <c r="S755" s="3">
        <v>37</v>
      </c>
      <c r="T755" s="3">
        <v>38</v>
      </c>
      <c r="U755" s="3">
        <v>39</v>
      </c>
      <c r="V755" s="3">
        <v>43</v>
      </c>
      <c r="W755" s="3">
        <v>45</v>
      </c>
      <c r="X755" s="3">
        <v>45</v>
      </c>
      <c r="Y755" s="3">
        <v>46</v>
      </c>
      <c r="Z755" s="3">
        <v>46</v>
      </c>
      <c r="AA755" s="3"/>
      <c r="AB755" s="3"/>
      <c r="AC755" s="3"/>
      <c r="AD755" s="3"/>
      <c r="AE755" t="s">
        <v>5919</v>
      </c>
      <c r="AF755" t="s">
        <v>1233</v>
      </c>
    </row>
    <row r="756" spans="1:32" x14ac:dyDescent="0.3">
      <c r="A756" t="s">
        <v>1826</v>
      </c>
      <c r="B756" s="1" t="s">
        <v>1205</v>
      </c>
      <c r="C756" s="5" t="s">
        <v>2822</v>
      </c>
      <c r="D756" s="2" t="s">
        <v>4339</v>
      </c>
      <c r="E756" s="1" t="s">
        <v>1530</v>
      </c>
      <c r="F756" s="3">
        <v>39</v>
      </c>
      <c r="G756" s="3"/>
      <c r="H756" s="3"/>
      <c r="I756" s="3"/>
      <c r="J756" s="3"/>
      <c r="K756" s="3"/>
      <c r="L756" s="3"/>
      <c r="M756" s="3"/>
      <c r="N756" s="3"/>
      <c r="O756" s="3"/>
      <c r="P756" s="3"/>
      <c r="Q756" s="3"/>
      <c r="R756" s="3">
        <v>30.461719512939499</v>
      </c>
      <c r="S756" s="3"/>
      <c r="T756" s="3">
        <v>37</v>
      </c>
      <c r="U756" s="3"/>
      <c r="V756" s="3">
        <v>40.7476615905762</v>
      </c>
      <c r="W756" s="3"/>
      <c r="X756" s="3"/>
      <c r="Y756" s="3">
        <v>87</v>
      </c>
      <c r="Z756" s="3"/>
      <c r="AA756" s="3">
        <v>40.255088806152301</v>
      </c>
      <c r="AB756" s="3"/>
      <c r="AC756" s="3"/>
      <c r="AD756" s="3"/>
      <c r="AE756" t="s">
        <v>5920</v>
      </c>
      <c r="AF756" t="s">
        <v>973</v>
      </c>
    </row>
    <row r="757" spans="1:32" x14ac:dyDescent="0.3">
      <c r="A757" t="s">
        <v>1826</v>
      </c>
      <c r="B757" s="1" t="s">
        <v>1205</v>
      </c>
      <c r="C757" s="5" t="s">
        <v>2823</v>
      </c>
      <c r="D757" s="2" t="s">
        <v>4340</v>
      </c>
      <c r="E757" s="1" t="s">
        <v>250</v>
      </c>
      <c r="F757" s="3">
        <v>61</v>
      </c>
      <c r="G757" s="3"/>
      <c r="H757" s="3"/>
      <c r="I757" s="3"/>
      <c r="J757" s="3"/>
      <c r="K757" s="3"/>
      <c r="L757" s="3"/>
      <c r="M757" s="3"/>
      <c r="N757" s="3"/>
      <c r="O757" s="3"/>
      <c r="P757" s="3"/>
      <c r="Q757" s="3"/>
      <c r="R757" s="3">
        <v>51.5926704406738</v>
      </c>
      <c r="S757" s="3"/>
      <c r="T757" s="3">
        <v>51</v>
      </c>
      <c r="U757" s="3"/>
      <c r="V757" s="3">
        <v>59.621379852294901</v>
      </c>
      <c r="W757" s="3"/>
      <c r="X757" s="3"/>
      <c r="Y757" s="3">
        <v>93</v>
      </c>
      <c r="Z757" s="3"/>
      <c r="AA757" s="3">
        <v>60.2039184570312</v>
      </c>
      <c r="AB757" s="3"/>
      <c r="AC757" s="3"/>
      <c r="AD757" s="3"/>
      <c r="AE757" t="s">
        <v>5920</v>
      </c>
      <c r="AF757" t="s">
        <v>973</v>
      </c>
    </row>
    <row r="758" spans="1:32" x14ac:dyDescent="0.3">
      <c r="A758" t="s">
        <v>1826</v>
      </c>
      <c r="B758" s="1" t="s">
        <v>1205</v>
      </c>
      <c r="C758" s="5" t="s">
        <v>2824</v>
      </c>
      <c r="D758" s="2" t="s">
        <v>4341</v>
      </c>
      <c r="E758" s="1" t="s">
        <v>449</v>
      </c>
      <c r="F758" s="3">
        <v>49</v>
      </c>
      <c r="G758" s="3"/>
      <c r="H758" s="3"/>
      <c r="I758" s="3"/>
      <c r="J758" s="3"/>
      <c r="K758" s="3"/>
      <c r="L758" s="3"/>
      <c r="M758" s="3"/>
      <c r="N758" s="3"/>
      <c r="O758" s="3"/>
      <c r="P758" s="3"/>
      <c r="Q758" s="3"/>
      <c r="R758" s="3">
        <v>40.9816284179688</v>
      </c>
      <c r="S758" s="3"/>
      <c r="T758" s="3">
        <v>44</v>
      </c>
      <c r="U758" s="3"/>
      <c r="V758" s="3">
        <v>50.039680480957003</v>
      </c>
      <c r="W758" s="3"/>
      <c r="X758" s="3"/>
      <c r="Y758" s="3">
        <v>90</v>
      </c>
      <c r="Z758" s="3"/>
      <c r="AA758" s="3">
        <v>50.000640869140597</v>
      </c>
      <c r="AB758" s="3"/>
      <c r="AC758" s="3"/>
      <c r="AD758" s="3"/>
      <c r="AE758" t="s">
        <v>5920</v>
      </c>
      <c r="AF758" t="s">
        <v>973</v>
      </c>
    </row>
    <row r="759" spans="1:32" x14ac:dyDescent="0.3">
      <c r="A759" t="s">
        <v>1826</v>
      </c>
      <c r="B759" s="1" t="s">
        <v>1205</v>
      </c>
      <c r="C759" s="5" t="s">
        <v>2825</v>
      </c>
      <c r="D759" s="2" t="s">
        <v>4342</v>
      </c>
      <c r="E759" s="1" t="s">
        <v>458</v>
      </c>
      <c r="F759" s="3">
        <v>1</v>
      </c>
      <c r="G759" s="3"/>
      <c r="H759" s="3"/>
      <c r="I759" s="3"/>
      <c r="J759" s="3"/>
      <c r="K759" s="3"/>
      <c r="L759" s="3"/>
      <c r="M759" s="3"/>
      <c r="N759" s="3"/>
      <c r="O759" s="3"/>
      <c r="P759" s="3"/>
      <c r="Q759" s="3"/>
      <c r="R759" s="3">
        <v>0.66430002450943004</v>
      </c>
      <c r="S759" s="3"/>
      <c r="T759" s="3">
        <v>1</v>
      </c>
      <c r="U759" s="3"/>
      <c r="V759" s="3">
        <v>0.76037001609802202</v>
      </c>
      <c r="W759" s="3"/>
      <c r="X759" s="3"/>
      <c r="Y759" s="3">
        <v>1</v>
      </c>
      <c r="Z759" s="3"/>
      <c r="AA759" s="3">
        <v>0.76572000980377197</v>
      </c>
      <c r="AB759" s="3"/>
      <c r="AC759" s="3"/>
      <c r="AD759" s="3"/>
      <c r="AE759" t="s">
        <v>5921</v>
      </c>
      <c r="AF759" t="s">
        <v>1754</v>
      </c>
    </row>
    <row r="760" spans="1:32" x14ac:dyDescent="0.3">
      <c r="A760" t="s">
        <v>1826</v>
      </c>
      <c r="B760" s="1" t="s">
        <v>1205</v>
      </c>
      <c r="C760" s="5" t="s">
        <v>2826</v>
      </c>
      <c r="D760" s="2" t="s">
        <v>4343</v>
      </c>
      <c r="E760" s="1" t="s">
        <v>1856</v>
      </c>
      <c r="F760" s="3">
        <v>52</v>
      </c>
      <c r="G760" s="3"/>
      <c r="H760" s="3"/>
      <c r="I760" s="3"/>
      <c r="J760" s="3"/>
      <c r="K760" s="3"/>
      <c r="L760" s="3">
        <v>38.569999694824197</v>
      </c>
      <c r="M760" s="3"/>
      <c r="N760" s="3"/>
      <c r="O760" s="3"/>
      <c r="P760" s="3"/>
      <c r="Q760" s="3"/>
      <c r="R760" s="3">
        <v>38.750080108642599</v>
      </c>
      <c r="S760" s="3"/>
      <c r="T760" s="3">
        <v>47</v>
      </c>
      <c r="U760" s="3"/>
      <c r="V760" s="3">
        <v>54.737640380859403</v>
      </c>
      <c r="W760" s="3"/>
      <c r="X760" s="3"/>
      <c r="Y760" s="3">
        <v>76</v>
      </c>
      <c r="Z760" s="3"/>
      <c r="AA760" s="3">
        <v>58.318271636962898</v>
      </c>
      <c r="AB760" s="3"/>
      <c r="AC760" s="3"/>
      <c r="AD760" s="3"/>
      <c r="AE760" t="s">
        <v>5922</v>
      </c>
      <c r="AF760" t="s">
        <v>1423</v>
      </c>
    </row>
    <row r="761" spans="1:32" x14ac:dyDescent="0.3">
      <c r="A761" t="s">
        <v>1826</v>
      </c>
      <c r="B761" s="1" t="s">
        <v>1205</v>
      </c>
      <c r="C761" s="5" t="s">
        <v>2827</v>
      </c>
      <c r="D761" s="2" t="s">
        <v>4344</v>
      </c>
      <c r="E761" s="1" t="s">
        <v>2052</v>
      </c>
      <c r="F761" s="3">
        <v>71</v>
      </c>
      <c r="G761" s="3"/>
      <c r="H761" s="3"/>
      <c r="I761" s="3"/>
      <c r="J761" s="3"/>
      <c r="K761" s="3"/>
      <c r="L761" s="3"/>
      <c r="M761" s="3"/>
      <c r="N761" s="3"/>
      <c r="O761" s="3"/>
      <c r="P761" s="3"/>
      <c r="Q761" s="3"/>
      <c r="R761" s="3">
        <v>58.332630157470703</v>
      </c>
      <c r="S761" s="3"/>
      <c r="T761" s="3">
        <v>59</v>
      </c>
      <c r="U761" s="3"/>
      <c r="V761" s="3">
        <v>71.988227844238295</v>
      </c>
      <c r="W761" s="3"/>
      <c r="X761" s="3"/>
      <c r="Y761" s="3">
        <v>93</v>
      </c>
      <c r="Z761" s="3"/>
      <c r="AA761" s="3">
        <v>76.161453247070298</v>
      </c>
      <c r="AB761" s="3"/>
      <c r="AC761" s="3"/>
      <c r="AD761" s="3"/>
      <c r="AE761" t="s">
        <v>5922</v>
      </c>
      <c r="AF761" t="s">
        <v>1423</v>
      </c>
    </row>
    <row r="762" spans="1:32" x14ac:dyDescent="0.3">
      <c r="A762" t="s">
        <v>1826</v>
      </c>
      <c r="B762" s="1" t="s">
        <v>1205</v>
      </c>
      <c r="C762" s="5" t="s">
        <v>2828</v>
      </c>
      <c r="D762" s="2" t="s">
        <v>4345</v>
      </c>
      <c r="E762" s="1" t="s">
        <v>69</v>
      </c>
      <c r="F762" s="3">
        <v>61</v>
      </c>
      <c r="G762" s="3"/>
      <c r="H762" s="3"/>
      <c r="I762" s="3"/>
      <c r="J762" s="3"/>
      <c r="K762" s="3"/>
      <c r="L762" s="3"/>
      <c r="M762" s="3"/>
      <c r="N762" s="3"/>
      <c r="O762" s="3"/>
      <c r="P762" s="3"/>
      <c r="Q762" s="3"/>
      <c r="R762" s="3">
        <v>48.309959411621101</v>
      </c>
      <c r="S762" s="3"/>
      <c r="T762" s="3">
        <v>53</v>
      </c>
      <c r="U762" s="3"/>
      <c r="V762" s="3">
        <v>62.9905815124512</v>
      </c>
      <c r="W762" s="3"/>
      <c r="X762" s="3"/>
      <c r="Y762" s="3">
        <v>84</v>
      </c>
      <c r="Z762" s="3"/>
      <c r="AA762" s="3">
        <v>66.844268798828097</v>
      </c>
      <c r="AB762" s="3"/>
      <c r="AC762" s="3"/>
      <c r="AD762" s="3"/>
      <c r="AE762" t="s">
        <v>5922</v>
      </c>
      <c r="AF762" t="s">
        <v>243</v>
      </c>
    </row>
    <row r="763" spans="1:32" x14ac:dyDescent="0.3">
      <c r="A763" t="s">
        <v>1826</v>
      </c>
      <c r="B763" s="1" t="s">
        <v>1205</v>
      </c>
      <c r="C763" s="5" t="s">
        <v>2829</v>
      </c>
      <c r="D763" s="2" t="s">
        <v>4346</v>
      </c>
      <c r="E763" s="1" t="s">
        <v>785</v>
      </c>
      <c r="F763" s="3">
        <v>66.75</v>
      </c>
      <c r="G763" s="3">
        <v>68.400000000000006</v>
      </c>
      <c r="H763" s="3">
        <v>70.349999999999994</v>
      </c>
      <c r="I763" s="3">
        <v>71.650000000000006</v>
      </c>
      <c r="J763" s="3">
        <v>75.209999999999994</v>
      </c>
      <c r="K763" s="3">
        <v>75.39</v>
      </c>
      <c r="L763" s="3">
        <v>76.58</v>
      </c>
      <c r="M763" s="3">
        <v>77.989999999999995</v>
      </c>
      <c r="N763" s="3">
        <v>81.7</v>
      </c>
      <c r="O763" s="3">
        <v>84.72</v>
      </c>
      <c r="P763" s="3">
        <v>87.8</v>
      </c>
      <c r="Q763" s="3">
        <v>87.82</v>
      </c>
      <c r="R763" s="3">
        <v>92.97</v>
      </c>
      <c r="S763" s="3">
        <v>99.35</v>
      </c>
      <c r="T763" s="3">
        <v>97.83</v>
      </c>
      <c r="U763" s="3">
        <v>98.87</v>
      </c>
      <c r="V763" s="3">
        <v>103.3</v>
      </c>
      <c r="W763" s="3">
        <v>107.17</v>
      </c>
      <c r="X763" s="3">
        <v>111.73</v>
      </c>
      <c r="Y763" s="3">
        <v>118.59</v>
      </c>
      <c r="Z763" s="3">
        <v>121.01</v>
      </c>
      <c r="AA763" s="3">
        <v>117.98</v>
      </c>
      <c r="AB763" s="3">
        <v>116.93</v>
      </c>
      <c r="AC763" s="3"/>
      <c r="AD763" s="3"/>
      <c r="AE763" t="s">
        <v>5923</v>
      </c>
      <c r="AF763" t="s">
        <v>230</v>
      </c>
    </row>
    <row r="764" spans="1:32" x14ac:dyDescent="0.3">
      <c r="A764" t="s">
        <v>1826</v>
      </c>
      <c r="B764" s="1" t="s">
        <v>1205</v>
      </c>
      <c r="C764" s="5" t="s">
        <v>2830</v>
      </c>
      <c r="D764" s="2" t="s">
        <v>4347</v>
      </c>
      <c r="E764" s="1" t="s">
        <v>950</v>
      </c>
      <c r="F764" s="3"/>
      <c r="G764" s="3"/>
      <c r="H764" s="3"/>
      <c r="I764" s="3"/>
      <c r="J764" s="3"/>
      <c r="K764" s="3"/>
      <c r="L764" s="3"/>
      <c r="M764" s="3">
        <v>2</v>
      </c>
      <c r="N764" s="3"/>
      <c r="O764" s="3"/>
      <c r="P764" s="3">
        <v>2.95</v>
      </c>
      <c r="Q764" s="3"/>
      <c r="R764" s="3">
        <v>2.69</v>
      </c>
      <c r="S764" s="3"/>
      <c r="T764" s="3">
        <v>2.9726349999999999</v>
      </c>
      <c r="U764" s="3"/>
      <c r="V764" s="3">
        <v>2.6157699999999999</v>
      </c>
      <c r="W764" s="3"/>
      <c r="X764" s="3">
        <v>3.14</v>
      </c>
      <c r="Y764" s="3"/>
      <c r="Z764" s="3"/>
      <c r="AA764" s="3"/>
      <c r="AB764" s="3"/>
      <c r="AC764" s="3"/>
      <c r="AD764" s="3"/>
      <c r="AE764" t="s">
        <v>5924</v>
      </c>
      <c r="AF764" t="s">
        <v>1908</v>
      </c>
    </row>
    <row r="765" spans="1:32" ht="28.8" x14ac:dyDescent="0.3">
      <c r="A765" t="s">
        <v>1826</v>
      </c>
      <c r="B765" s="1" t="s">
        <v>1205</v>
      </c>
      <c r="C765" s="5" t="s">
        <v>2831</v>
      </c>
      <c r="D765" s="2" t="s">
        <v>4348</v>
      </c>
      <c r="E765" s="1" t="s">
        <v>1954</v>
      </c>
      <c r="F765" s="3"/>
      <c r="G765" s="3"/>
      <c r="H765" s="3"/>
      <c r="I765" s="3"/>
      <c r="J765" s="3"/>
      <c r="K765" s="3"/>
      <c r="L765" s="3"/>
      <c r="M765" s="3">
        <v>2.38</v>
      </c>
      <c r="N765" s="3"/>
      <c r="O765" s="3"/>
      <c r="P765" s="3">
        <v>2.57</v>
      </c>
      <c r="Q765" s="3"/>
      <c r="R765" s="3">
        <v>2.73</v>
      </c>
      <c r="S765" s="3"/>
      <c r="T765" s="3">
        <v>2.623745</v>
      </c>
      <c r="U765" s="3"/>
      <c r="V765" s="3">
        <v>2.6172360000000001</v>
      </c>
      <c r="W765" s="3"/>
      <c r="X765" s="3">
        <v>3.23</v>
      </c>
      <c r="Y765" s="3"/>
      <c r="Z765" s="3"/>
      <c r="AA765" s="3"/>
      <c r="AB765" s="3"/>
      <c r="AC765" s="3"/>
      <c r="AD765" s="3"/>
      <c r="AE765" t="s">
        <v>5925</v>
      </c>
      <c r="AF765" t="s">
        <v>1908</v>
      </c>
    </row>
    <row r="766" spans="1:32" ht="28.8" x14ac:dyDescent="0.3">
      <c r="A766" t="s">
        <v>1826</v>
      </c>
      <c r="B766" s="1" t="s">
        <v>1205</v>
      </c>
      <c r="C766" s="5" t="s">
        <v>2832</v>
      </c>
      <c r="D766" s="2" t="s">
        <v>4349</v>
      </c>
      <c r="E766" s="1" t="s">
        <v>343</v>
      </c>
      <c r="F766" s="3"/>
      <c r="G766" s="3"/>
      <c r="H766" s="3"/>
      <c r="I766" s="3"/>
      <c r="J766" s="3"/>
      <c r="K766" s="3"/>
      <c r="L766" s="3"/>
      <c r="M766" s="3">
        <v>2.13</v>
      </c>
      <c r="N766" s="3"/>
      <c r="O766" s="3"/>
      <c r="P766" s="3">
        <v>2.44</v>
      </c>
      <c r="Q766" s="3"/>
      <c r="R766" s="3">
        <v>2.9</v>
      </c>
      <c r="S766" s="3"/>
      <c r="T766" s="3">
        <v>2.8707199999999999</v>
      </c>
      <c r="U766" s="3"/>
      <c r="V766" s="3">
        <v>2.5367519999999999</v>
      </c>
      <c r="W766" s="3"/>
      <c r="X766" s="3">
        <v>3.21</v>
      </c>
      <c r="Y766" s="3"/>
      <c r="Z766" s="3"/>
      <c r="AA766" s="3"/>
      <c r="AB766" s="3"/>
      <c r="AC766" s="3"/>
      <c r="AD766" s="3"/>
      <c r="AE766" t="s">
        <v>5926</v>
      </c>
      <c r="AF766" t="s">
        <v>1908</v>
      </c>
    </row>
    <row r="767" spans="1:32" ht="28.8" x14ac:dyDescent="0.3">
      <c r="A767" t="s">
        <v>1826</v>
      </c>
      <c r="B767" s="1" t="s">
        <v>1205</v>
      </c>
      <c r="C767" s="5" t="s">
        <v>2833</v>
      </c>
      <c r="D767" s="2" t="s">
        <v>4350</v>
      </c>
      <c r="E767" s="1" t="s">
        <v>410</v>
      </c>
      <c r="F767" s="3"/>
      <c r="G767" s="3"/>
      <c r="H767" s="3"/>
      <c r="I767" s="3"/>
      <c r="J767" s="3"/>
      <c r="K767" s="3"/>
      <c r="L767" s="3"/>
      <c r="M767" s="3">
        <v>2.2200000000000002</v>
      </c>
      <c r="N767" s="3"/>
      <c r="O767" s="3"/>
      <c r="P767" s="3">
        <v>2.16</v>
      </c>
      <c r="Q767" s="3"/>
      <c r="R767" s="3">
        <v>2.31</v>
      </c>
      <c r="S767" s="3"/>
      <c r="T767" s="3">
        <v>2.33324</v>
      </c>
      <c r="U767" s="3"/>
      <c r="V767" s="3">
        <v>2.6666669999999999</v>
      </c>
      <c r="W767" s="3"/>
      <c r="X767" s="3">
        <v>2.78</v>
      </c>
      <c r="Y767" s="3"/>
      <c r="Z767" s="3"/>
      <c r="AA767" s="3"/>
      <c r="AB767" s="3"/>
      <c r="AC767" s="3"/>
      <c r="AD767" s="3"/>
      <c r="AE767" t="s">
        <v>5927</v>
      </c>
      <c r="AF767" t="s">
        <v>1908</v>
      </c>
    </row>
    <row r="768" spans="1:32" ht="28.8" x14ac:dyDescent="0.3">
      <c r="A768" t="s">
        <v>1826</v>
      </c>
      <c r="B768" s="1" t="s">
        <v>1205</v>
      </c>
      <c r="C768" s="5" t="s">
        <v>2834</v>
      </c>
      <c r="D768" s="2" t="s">
        <v>4351</v>
      </c>
      <c r="E768" s="1" t="s">
        <v>934</v>
      </c>
      <c r="F768" s="3"/>
      <c r="G768" s="3"/>
      <c r="H768" s="3"/>
      <c r="I768" s="3"/>
      <c r="J768" s="3"/>
      <c r="K768" s="3"/>
      <c r="L768" s="3"/>
      <c r="M768" s="3">
        <v>3.25</v>
      </c>
      <c r="N768" s="3"/>
      <c r="O768" s="3"/>
      <c r="P768" s="3">
        <v>2.73</v>
      </c>
      <c r="Q768" s="3"/>
      <c r="R768" s="3">
        <v>3.36</v>
      </c>
      <c r="S768" s="3"/>
      <c r="T768" s="3">
        <v>3.3132100000000002</v>
      </c>
      <c r="U768" s="3"/>
      <c r="V768" s="3">
        <v>2.7066789999999998</v>
      </c>
      <c r="W768" s="3"/>
      <c r="X768" s="3">
        <v>3.23</v>
      </c>
      <c r="Y768" s="3"/>
      <c r="Z768" s="3"/>
      <c r="AA768" s="3"/>
      <c r="AB768" s="3"/>
      <c r="AC768" s="3"/>
      <c r="AD768" s="3"/>
      <c r="AE768" t="s">
        <v>5928</v>
      </c>
      <c r="AF768" t="s">
        <v>1908</v>
      </c>
    </row>
    <row r="769" spans="1:32" x14ac:dyDescent="0.3">
      <c r="A769" t="s">
        <v>1826</v>
      </c>
      <c r="B769" s="1" t="s">
        <v>1205</v>
      </c>
      <c r="C769" s="5" t="s">
        <v>2835</v>
      </c>
      <c r="D769" s="2" t="s">
        <v>4352</v>
      </c>
      <c r="E769" s="1" t="s">
        <v>497</v>
      </c>
      <c r="F769" s="3"/>
      <c r="G769" s="3"/>
      <c r="H769" s="3"/>
      <c r="I769" s="3"/>
      <c r="J769" s="3"/>
      <c r="K769" s="3"/>
      <c r="L769" s="3"/>
      <c r="M769" s="3">
        <v>2.36</v>
      </c>
      <c r="N769" s="3"/>
      <c r="O769" s="3"/>
      <c r="P769" s="3">
        <v>2.5299999999999998</v>
      </c>
      <c r="Q769" s="3"/>
      <c r="R769" s="3">
        <v>2.73</v>
      </c>
      <c r="S769" s="3"/>
      <c r="T769" s="3">
        <v>2.761981</v>
      </c>
      <c r="U769" s="3"/>
      <c r="V769" s="3">
        <v>2.602573</v>
      </c>
      <c r="W769" s="3"/>
      <c r="X769" s="3">
        <v>3.08</v>
      </c>
      <c r="Y769" s="3"/>
      <c r="Z769" s="3"/>
      <c r="AA769" s="3"/>
      <c r="AB769" s="3"/>
      <c r="AC769" s="3"/>
      <c r="AD769" s="3"/>
      <c r="AE769" t="s">
        <v>5929</v>
      </c>
      <c r="AF769" t="s">
        <v>1908</v>
      </c>
    </row>
    <row r="770" spans="1:32" ht="28.8" x14ac:dyDescent="0.3">
      <c r="A770" t="s">
        <v>1826</v>
      </c>
      <c r="B770" s="1" t="s">
        <v>1205</v>
      </c>
      <c r="C770" s="5" t="s">
        <v>2836</v>
      </c>
      <c r="D770" s="2" t="s">
        <v>4353</v>
      </c>
      <c r="E770" s="1" t="s">
        <v>140</v>
      </c>
      <c r="F770" s="3"/>
      <c r="G770" s="3"/>
      <c r="H770" s="3"/>
      <c r="I770" s="3"/>
      <c r="J770" s="3"/>
      <c r="K770" s="3"/>
      <c r="L770" s="3"/>
      <c r="M770" s="3">
        <v>2.2200000000000002</v>
      </c>
      <c r="N770" s="3"/>
      <c r="O770" s="3"/>
      <c r="P770" s="3">
        <v>2.37</v>
      </c>
      <c r="Q770" s="3"/>
      <c r="R770" s="3">
        <v>2.31</v>
      </c>
      <c r="S770" s="3"/>
      <c r="T770" s="3">
        <v>2.4087299999999998</v>
      </c>
      <c r="U770" s="3"/>
      <c r="V770" s="3">
        <v>2.4632480000000001</v>
      </c>
      <c r="W770" s="3"/>
      <c r="X770" s="3">
        <v>2.89</v>
      </c>
      <c r="Y770" s="3"/>
      <c r="Z770" s="3"/>
      <c r="AA770" s="3"/>
      <c r="AB770" s="3"/>
      <c r="AC770" s="3"/>
      <c r="AD770" s="3"/>
      <c r="AE770" t="s">
        <v>5930</v>
      </c>
      <c r="AF770" t="s">
        <v>1908</v>
      </c>
    </row>
    <row r="771" spans="1:32" x14ac:dyDescent="0.3">
      <c r="A771" t="s">
        <v>1826</v>
      </c>
      <c r="B771" s="1" t="s">
        <v>1205</v>
      </c>
      <c r="C771" s="5" t="s">
        <v>2837</v>
      </c>
      <c r="D771" s="2" t="s">
        <v>4354</v>
      </c>
      <c r="E771" s="1" t="s">
        <v>604</v>
      </c>
      <c r="F771" s="3">
        <v>19.407014520000001</v>
      </c>
      <c r="G771" s="3">
        <v>19.395055849999999</v>
      </c>
      <c r="H771" s="3">
        <v>19.388429500000001</v>
      </c>
      <c r="I771" s="3">
        <v>19.378153730000001</v>
      </c>
      <c r="J771" s="3">
        <v>19.372112229999999</v>
      </c>
      <c r="K771" s="3">
        <v>19.355518050000001</v>
      </c>
      <c r="L771" s="3">
        <v>19.345135490000001</v>
      </c>
      <c r="M771" s="3">
        <v>19.32559144</v>
      </c>
      <c r="N771" s="3">
        <v>19.310386170000001</v>
      </c>
      <c r="O771" s="3">
        <v>19.28577602</v>
      </c>
      <c r="P771" s="3">
        <v>19.255270459999998</v>
      </c>
      <c r="Q771" s="3">
        <v>19.20902242</v>
      </c>
      <c r="R771" s="3">
        <v>19.12436808</v>
      </c>
      <c r="S771" s="3">
        <v>19.016133799999999</v>
      </c>
      <c r="T771" s="3">
        <v>18.892890149999999</v>
      </c>
      <c r="U771" s="3">
        <v>18.763761779999999</v>
      </c>
      <c r="V771" s="3">
        <v>18.644709030000001</v>
      </c>
      <c r="W771" s="3">
        <v>18.532922280000001</v>
      </c>
      <c r="X771" s="3">
        <v>18.435937119999998</v>
      </c>
      <c r="Y771" s="3">
        <v>18.353915929999999</v>
      </c>
      <c r="Z771" s="3">
        <v>18.289761479999999</v>
      </c>
      <c r="AA771" s="3"/>
      <c r="AB771" s="3"/>
      <c r="AC771" s="3"/>
      <c r="AD771" s="3"/>
      <c r="AE771" t="s">
        <v>5931</v>
      </c>
      <c r="AF771" t="s">
        <v>1385</v>
      </c>
    </row>
    <row r="772" spans="1:32" ht="28.8" x14ac:dyDescent="0.3">
      <c r="A772" t="s">
        <v>1826</v>
      </c>
      <c r="B772" s="1" t="s">
        <v>1205</v>
      </c>
      <c r="C772" s="5" t="s">
        <v>2838</v>
      </c>
      <c r="D772" s="2" t="s">
        <v>4355</v>
      </c>
      <c r="E772" s="1" t="s">
        <v>1643</v>
      </c>
      <c r="F772" s="3">
        <v>25.354900360107401</v>
      </c>
      <c r="G772" s="3">
        <v>16.635339736938501</v>
      </c>
      <c r="H772" s="3">
        <v>18.4876098632812</v>
      </c>
      <c r="I772" s="3"/>
      <c r="J772" s="3"/>
      <c r="K772" s="3"/>
      <c r="L772" s="3">
        <v>18.942949295043899</v>
      </c>
      <c r="M772" s="3">
        <v>18.638299942016602</v>
      </c>
      <c r="N772" s="3">
        <v>23.4899597167969</v>
      </c>
      <c r="O772" s="3">
        <v>24.724889755248999</v>
      </c>
      <c r="P772" s="3"/>
      <c r="Q772" s="3">
        <v>21.889890670776399</v>
      </c>
      <c r="R772" s="3">
        <v>25.538860321044901</v>
      </c>
      <c r="S772" s="3">
        <v>27.505119323730501</v>
      </c>
      <c r="T772" s="3">
        <v>25.8225498199463</v>
      </c>
      <c r="U772" s="3">
        <v>27.410480499267599</v>
      </c>
      <c r="V772" s="3">
        <v>31.221879959106399</v>
      </c>
      <c r="W772" s="3">
        <v>37.728660583496101</v>
      </c>
      <c r="X772" s="3">
        <v>41.796878814697301</v>
      </c>
      <c r="Y772" s="3">
        <v>45.358478546142599</v>
      </c>
      <c r="Z772" s="3">
        <v>50.022281646728501</v>
      </c>
      <c r="AA772" s="3">
        <v>50.385147094726598</v>
      </c>
      <c r="AB772" s="3">
        <v>55.4727783203125</v>
      </c>
      <c r="AC772" s="3">
        <v>80.779861450195298</v>
      </c>
      <c r="AD772" s="3"/>
      <c r="AE772" t="s">
        <v>5932</v>
      </c>
      <c r="AF772" t="s">
        <v>1682</v>
      </c>
    </row>
    <row r="773" spans="1:32" ht="28.8" x14ac:dyDescent="0.3">
      <c r="A773" t="s">
        <v>1826</v>
      </c>
      <c r="B773" s="1" t="s">
        <v>1205</v>
      </c>
      <c r="C773" s="5" t="s">
        <v>2839</v>
      </c>
      <c r="D773" s="2" t="s">
        <v>4356</v>
      </c>
      <c r="E773" s="1" t="s">
        <v>349</v>
      </c>
      <c r="F773" s="3">
        <v>20.911420822143601</v>
      </c>
      <c r="G773" s="3">
        <v>29.3520202636719</v>
      </c>
      <c r="H773" s="3">
        <v>32.180980682372997</v>
      </c>
      <c r="I773" s="3"/>
      <c r="J773" s="3"/>
      <c r="K773" s="3"/>
      <c r="L773" s="3">
        <v>31.2830905914307</v>
      </c>
      <c r="M773" s="3">
        <v>31.711290359497099</v>
      </c>
      <c r="N773" s="3">
        <v>42.752159118652301</v>
      </c>
      <c r="O773" s="3">
        <v>39.095878601074197</v>
      </c>
      <c r="P773" s="3"/>
      <c r="Q773" s="3">
        <v>33.752628326416001</v>
      </c>
      <c r="R773" s="3">
        <v>36.765911102294901</v>
      </c>
      <c r="S773" s="3">
        <v>40.337738037109403</v>
      </c>
      <c r="T773" s="3">
        <v>36.3394584655762</v>
      </c>
      <c r="U773" s="3">
        <v>38.7041015625</v>
      </c>
      <c r="V773" s="3">
        <v>43.449939727783203</v>
      </c>
      <c r="W773" s="3">
        <v>50.901611328125</v>
      </c>
      <c r="X773" s="3">
        <v>53.3666381835938</v>
      </c>
      <c r="Y773" s="3">
        <v>55.247531890869098</v>
      </c>
      <c r="Z773" s="3">
        <v>59.150779724121101</v>
      </c>
      <c r="AA773" s="3">
        <v>60.414985656738303</v>
      </c>
      <c r="AB773" s="3">
        <v>60.197708129882798</v>
      </c>
      <c r="AC773" s="3">
        <v>80.120147705078097</v>
      </c>
      <c r="AD773" s="3"/>
      <c r="AE773" t="s">
        <v>5932</v>
      </c>
      <c r="AF773" t="s">
        <v>1682</v>
      </c>
    </row>
    <row r="774" spans="1:32" ht="28.8" x14ac:dyDescent="0.3">
      <c r="A774" t="s">
        <v>1826</v>
      </c>
      <c r="B774" s="1" t="s">
        <v>1205</v>
      </c>
      <c r="C774" s="5" t="s">
        <v>2840</v>
      </c>
      <c r="D774" s="2" t="s">
        <v>4357</v>
      </c>
      <c r="E774" s="1" t="s">
        <v>860</v>
      </c>
      <c r="F774" s="3">
        <v>23.1172790527344</v>
      </c>
      <c r="G774" s="3">
        <v>23.0848903656006</v>
      </c>
      <c r="H774" s="3">
        <v>25.472610473632798</v>
      </c>
      <c r="I774" s="3"/>
      <c r="J774" s="3"/>
      <c r="K774" s="3"/>
      <c r="L774" s="3">
        <v>25.134559631347699</v>
      </c>
      <c r="M774" s="3">
        <v>25.194839477539102</v>
      </c>
      <c r="N774" s="3">
        <v>33.148311614990199</v>
      </c>
      <c r="O774" s="3">
        <v>31.928899765014599</v>
      </c>
      <c r="P774" s="3"/>
      <c r="Q774" s="3">
        <v>27.841510772705099</v>
      </c>
      <c r="R774" s="3">
        <v>31.185840606689499</v>
      </c>
      <c r="S774" s="3">
        <v>33.976230621337898</v>
      </c>
      <c r="T774" s="3">
        <v>31.1385898590088</v>
      </c>
      <c r="U774" s="3">
        <v>33.130359649658203</v>
      </c>
      <c r="V774" s="3">
        <v>37.427490234375</v>
      </c>
      <c r="W774" s="3">
        <v>44.427661895752003</v>
      </c>
      <c r="X774" s="3">
        <v>47.680381774902301</v>
      </c>
      <c r="Y774" s="3">
        <v>50.384151458740199</v>
      </c>
      <c r="Z774" s="3">
        <v>54.656959533691399</v>
      </c>
      <c r="AA774" s="3">
        <v>55.471656799316399</v>
      </c>
      <c r="AB774" s="3">
        <v>57.864830017089801</v>
      </c>
      <c r="AC774" s="3">
        <v>80.446578979492202</v>
      </c>
      <c r="AD774" s="3"/>
      <c r="AE774" t="s">
        <v>5932</v>
      </c>
      <c r="AF774" t="s">
        <v>1682</v>
      </c>
    </row>
    <row r="775" spans="1:32" x14ac:dyDescent="0.3">
      <c r="A775" t="s">
        <v>1826</v>
      </c>
      <c r="B775" s="1" t="s">
        <v>1205</v>
      </c>
      <c r="C775" s="5" t="s">
        <v>2841</v>
      </c>
      <c r="D775" s="2" t="s">
        <v>4358</v>
      </c>
      <c r="E775" s="1" t="s">
        <v>879</v>
      </c>
      <c r="F775" s="3">
        <v>12</v>
      </c>
      <c r="G775" s="3">
        <v>12</v>
      </c>
      <c r="H775" s="3">
        <v>12</v>
      </c>
      <c r="I775" s="3">
        <v>12</v>
      </c>
      <c r="J775" s="3">
        <v>12</v>
      </c>
      <c r="K775" s="3">
        <v>12</v>
      </c>
      <c r="L775" s="3">
        <v>12</v>
      </c>
      <c r="M775" s="3">
        <v>12</v>
      </c>
      <c r="N775" s="3">
        <v>12</v>
      </c>
      <c r="O775" s="3">
        <v>12</v>
      </c>
      <c r="P775" s="3">
        <v>12</v>
      </c>
      <c r="Q775" s="3">
        <v>12</v>
      </c>
      <c r="R775" s="3">
        <v>12</v>
      </c>
      <c r="S775" s="3">
        <v>12</v>
      </c>
      <c r="T775" s="3">
        <v>12</v>
      </c>
      <c r="U775" s="3">
        <v>12</v>
      </c>
      <c r="V775" s="3">
        <v>12</v>
      </c>
      <c r="W775" s="3">
        <v>12</v>
      </c>
      <c r="X775" s="3">
        <v>12</v>
      </c>
      <c r="Y775" s="3">
        <v>12</v>
      </c>
      <c r="Z775" s="3">
        <v>12</v>
      </c>
      <c r="AA775" s="3">
        <v>12</v>
      </c>
      <c r="AB775" s="3">
        <v>12</v>
      </c>
      <c r="AC775" s="3">
        <v>12</v>
      </c>
      <c r="AD775" s="3"/>
      <c r="AE775" t="s">
        <v>5933</v>
      </c>
      <c r="AF775" t="s">
        <v>517</v>
      </c>
    </row>
    <row r="776" spans="1:32" x14ac:dyDescent="0.3">
      <c r="A776" t="s">
        <v>1826</v>
      </c>
      <c r="B776" s="1" t="s">
        <v>1205</v>
      </c>
      <c r="C776" s="5" t="s">
        <v>2842</v>
      </c>
      <c r="D776" s="2" t="s">
        <v>4359</v>
      </c>
      <c r="E776" s="1" t="s">
        <v>51</v>
      </c>
      <c r="F776" s="3"/>
      <c r="G776" s="3"/>
      <c r="H776" s="3"/>
      <c r="I776" s="3"/>
      <c r="J776" s="3"/>
      <c r="K776" s="3"/>
      <c r="L776" s="3"/>
      <c r="M776" s="3"/>
      <c r="N776" s="3"/>
      <c r="O776" s="3"/>
      <c r="P776" s="3"/>
      <c r="Q776" s="3"/>
      <c r="R776" s="3"/>
      <c r="S776" s="3"/>
      <c r="T776" s="3"/>
      <c r="U776" s="3"/>
      <c r="V776" s="3"/>
      <c r="W776" s="3"/>
      <c r="X776" s="3"/>
      <c r="Y776" s="3"/>
      <c r="Z776" s="3"/>
      <c r="AA776" s="3"/>
      <c r="AB776" s="3">
        <v>3.2509410760217587</v>
      </c>
      <c r="AC776" s="3"/>
      <c r="AD776" s="3"/>
      <c r="AE776" t="s">
        <v>5934</v>
      </c>
      <c r="AF776" t="s">
        <v>718</v>
      </c>
    </row>
    <row r="777" spans="1:32" x14ac:dyDescent="0.3">
      <c r="A777" t="s">
        <v>1826</v>
      </c>
      <c r="B777" s="1" t="s">
        <v>1205</v>
      </c>
      <c r="C777" s="5" t="s">
        <v>2843</v>
      </c>
      <c r="D777" s="2" t="s">
        <v>4360</v>
      </c>
      <c r="E777" s="1" t="s">
        <v>758</v>
      </c>
      <c r="F777" s="3"/>
      <c r="G777" s="3"/>
      <c r="H777" s="3"/>
      <c r="I777" s="3"/>
      <c r="J777" s="3"/>
      <c r="K777" s="3"/>
      <c r="L777" s="3"/>
      <c r="M777" s="3"/>
      <c r="N777" s="3"/>
      <c r="O777" s="3"/>
      <c r="P777" s="3"/>
      <c r="Q777" s="3"/>
      <c r="R777" s="3"/>
      <c r="S777" s="3"/>
      <c r="T777" s="3">
        <v>8.3000030517578107</v>
      </c>
      <c r="U777" s="3"/>
      <c r="V777" s="3"/>
      <c r="W777" s="3"/>
      <c r="X777" s="3"/>
      <c r="Y777" s="3">
        <v>8.3000030517578107</v>
      </c>
      <c r="Z777" s="3"/>
      <c r="AA777" s="3"/>
      <c r="AB777" s="3"/>
      <c r="AC777" s="3"/>
      <c r="AD777" s="3"/>
      <c r="AE777" t="s">
        <v>5935</v>
      </c>
      <c r="AF777" t="s">
        <v>474</v>
      </c>
    </row>
    <row r="778" spans="1:32" ht="28.8" x14ac:dyDescent="0.3">
      <c r="A778" t="s">
        <v>1826</v>
      </c>
      <c r="B778" s="1" t="s">
        <v>1205</v>
      </c>
      <c r="C778" s="5" t="s">
        <v>2844</v>
      </c>
      <c r="D778" s="2" t="s">
        <v>4361</v>
      </c>
      <c r="E778" s="1" t="s">
        <v>1571</v>
      </c>
      <c r="F778" s="3"/>
      <c r="G778" s="3"/>
      <c r="H778" s="3"/>
      <c r="I778" s="3"/>
      <c r="J778" s="3"/>
      <c r="K778" s="3"/>
      <c r="L778" s="3"/>
      <c r="M778" s="3"/>
      <c r="N778" s="3"/>
      <c r="O778" s="3"/>
      <c r="P778" s="3"/>
      <c r="Q778" s="3"/>
      <c r="R778" s="3"/>
      <c r="S778" s="3"/>
      <c r="T778" s="3">
        <v>79.196212768554602</v>
      </c>
      <c r="U778" s="3"/>
      <c r="V778" s="3"/>
      <c r="W778" s="3"/>
      <c r="X778" s="3"/>
      <c r="Y778" s="3">
        <v>78.979667663574205</v>
      </c>
      <c r="Z778" s="3"/>
      <c r="AA778" s="3"/>
      <c r="AB778" s="3"/>
      <c r="AC778" s="3"/>
      <c r="AD778" s="3"/>
      <c r="AE778" t="s">
        <v>5936</v>
      </c>
      <c r="AF778" t="s">
        <v>1075</v>
      </c>
    </row>
    <row r="779" spans="1:32" x14ac:dyDescent="0.3">
      <c r="A779" t="s">
        <v>1826</v>
      </c>
      <c r="B779" s="1" t="s">
        <v>1205</v>
      </c>
      <c r="C779" s="5" t="s">
        <v>2845</v>
      </c>
      <c r="D779" s="2" t="s">
        <v>4362</v>
      </c>
      <c r="E779" s="1" t="s">
        <v>484</v>
      </c>
      <c r="F779" s="3"/>
      <c r="G779" s="3"/>
      <c r="H779" s="3"/>
      <c r="I779" s="3"/>
      <c r="J779" s="3"/>
      <c r="K779" s="3"/>
      <c r="L779" s="3"/>
      <c r="M779" s="3"/>
      <c r="N779" s="3"/>
      <c r="O779" s="3"/>
      <c r="P779" s="3"/>
      <c r="Q779" s="3"/>
      <c r="R779" s="3"/>
      <c r="S779" s="3"/>
      <c r="T779" s="3"/>
      <c r="U779" s="3"/>
      <c r="V779" s="3"/>
      <c r="W779" s="3"/>
      <c r="X779" s="3">
        <v>31</v>
      </c>
      <c r="Y779" s="3"/>
      <c r="Z779" s="3"/>
      <c r="AA779" s="3"/>
      <c r="AB779" s="3"/>
      <c r="AC779" s="3"/>
      <c r="AD779" s="3"/>
      <c r="AE779" t="s">
        <v>5937</v>
      </c>
      <c r="AF779" t="s">
        <v>393</v>
      </c>
    </row>
    <row r="780" spans="1:32" x14ac:dyDescent="0.3">
      <c r="A780" t="s">
        <v>1826</v>
      </c>
      <c r="B780" s="1" t="s">
        <v>1205</v>
      </c>
      <c r="C780" s="5" t="s">
        <v>2846</v>
      </c>
      <c r="D780" s="2" t="s">
        <v>4363</v>
      </c>
      <c r="E780" s="1" t="s">
        <v>1798</v>
      </c>
      <c r="F780" s="3"/>
      <c r="G780" s="3"/>
      <c r="H780" s="3"/>
      <c r="I780" s="3"/>
      <c r="J780" s="3"/>
      <c r="K780" s="3"/>
      <c r="L780" s="3"/>
      <c r="M780" s="3"/>
      <c r="N780" s="3"/>
      <c r="O780" s="3"/>
      <c r="P780" s="3"/>
      <c r="Q780" s="3"/>
      <c r="R780" s="3"/>
      <c r="S780" s="3"/>
      <c r="T780" s="3"/>
      <c r="U780" s="3"/>
      <c r="V780" s="3"/>
      <c r="W780" s="3"/>
      <c r="X780" s="3"/>
      <c r="Y780" s="3"/>
      <c r="Z780" s="3"/>
      <c r="AA780" s="3"/>
      <c r="AB780" s="3"/>
      <c r="AC780" s="3">
        <v>41.698055269999998</v>
      </c>
      <c r="AD780" s="3"/>
      <c r="AE780" t="s">
        <v>5938</v>
      </c>
      <c r="AF780" t="s">
        <v>541</v>
      </c>
    </row>
    <row r="781" spans="1:32" x14ac:dyDescent="0.3">
      <c r="A781" t="s">
        <v>1826</v>
      </c>
      <c r="B781" s="1" t="s">
        <v>1205</v>
      </c>
      <c r="C781" s="5" t="s">
        <v>2847</v>
      </c>
      <c r="D781" s="2" t="s">
        <v>4364</v>
      </c>
      <c r="E781" s="1" t="s">
        <v>1275</v>
      </c>
      <c r="F781" s="3">
        <v>14.342914333414667</v>
      </c>
      <c r="G781" s="3">
        <v>19.296280851031273</v>
      </c>
      <c r="H781" s="3">
        <v>20.672305895171544</v>
      </c>
      <c r="I781" s="3">
        <v>21.534589292817873</v>
      </c>
      <c r="J781" s="3">
        <v>25.863553494334397</v>
      </c>
      <c r="K781" s="3">
        <v>24.925688841482781</v>
      </c>
      <c r="L781" s="3">
        <v>19.431274194811408</v>
      </c>
      <c r="M781" s="3">
        <v>18.087298493443743</v>
      </c>
      <c r="N781" s="3">
        <v>12.440585699020069</v>
      </c>
      <c r="O781" s="3">
        <v>15.332860091584042</v>
      </c>
      <c r="P781" s="3">
        <v>16.134631343946875</v>
      </c>
      <c r="Q781" s="3">
        <v>9.5089731713925669</v>
      </c>
      <c r="R781" s="3">
        <v>9.9407435999584237</v>
      </c>
      <c r="S781" s="3">
        <v>27.62108936125901</v>
      </c>
      <c r="T781" s="3">
        <v>16.689672113678899</v>
      </c>
      <c r="U781" s="3">
        <v>20.745223887178014</v>
      </c>
      <c r="V781" s="3">
        <v>13.667643501845978</v>
      </c>
      <c r="W781" s="3">
        <v>15.74023890635266</v>
      </c>
      <c r="X781" s="3">
        <v>10.160065663392995</v>
      </c>
      <c r="Y781" s="3">
        <v>9.9274864424494673</v>
      </c>
      <c r="Z781" s="3">
        <v>8.8338171647780399</v>
      </c>
      <c r="AA781" s="3">
        <v>9.5967972542008813</v>
      </c>
      <c r="AB781" s="3">
        <v>9.9927927468690037</v>
      </c>
      <c r="AC781" s="3">
        <v>13.585741908887213</v>
      </c>
      <c r="AD781" s="3"/>
      <c r="AE781" t="s">
        <v>5939</v>
      </c>
      <c r="AF781" t="s">
        <v>1098</v>
      </c>
    </row>
    <row r="782" spans="1:32" x14ac:dyDescent="0.3">
      <c r="A782" t="s">
        <v>1826</v>
      </c>
      <c r="B782" s="1" t="s">
        <v>1205</v>
      </c>
      <c r="C782" s="5" t="s">
        <v>2848</v>
      </c>
      <c r="D782" s="2" t="s">
        <v>4365</v>
      </c>
      <c r="E782" s="1" t="s">
        <v>263</v>
      </c>
      <c r="F782" s="3">
        <v>46.163570796719569</v>
      </c>
      <c r="G782" s="3">
        <v>49.693046723625841</v>
      </c>
      <c r="H782" s="3">
        <v>53.949790412556261</v>
      </c>
      <c r="I782" s="3">
        <v>56.361158559895273</v>
      </c>
      <c r="J782" s="3">
        <v>57.236759414158442</v>
      </c>
      <c r="K782" s="3">
        <v>54.813791102647592</v>
      </c>
      <c r="L782" s="3">
        <v>48.268888112860957</v>
      </c>
      <c r="M782" s="3">
        <v>48.787002606674527</v>
      </c>
      <c r="N782" s="3">
        <v>42.340185898508679</v>
      </c>
      <c r="O782" s="3">
        <v>49.632772842638346</v>
      </c>
      <c r="P782" s="3">
        <v>54.997059283746331</v>
      </c>
      <c r="Q782" s="3">
        <v>44.115145405085386</v>
      </c>
      <c r="R782" s="3">
        <v>47.049975037123858</v>
      </c>
      <c r="S782" s="3">
        <v>58.599482049558404</v>
      </c>
      <c r="T782" s="3">
        <v>55.472306738827612</v>
      </c>
      <c r="U782" s="3">
        <v>64.210863894333642</v>
      </c>
      <c r="V782" s="3">
        <v>62.239219903562415</v>
      </c>
      <c r="W782" s="3">
        <v>60.679185279941095</v>
      </c>
      <c r="X782" s="3">
        <v>55.457484883271945</v>
      </c>
      <c r="Y782" s="3">
        <v>55.703935393236357</v>
      </c>
      <c r="Z782" s="3">
        <v>57.145153657243576</v>
      </c>
      <c r="AA782" s="3">
        <v>58.860184893610288</v>
      </c>
      <c r="AB782" s="3">
        <v>53.673499755884727</v>
      </c>
      <c r="AC782" s="3">
        <v>56.297804821940886</v>
      </c>
      <c r="AD782" s="3"/>
      <c r="AE782" t="s">
        <v>5940</v>
      </c>
      <c r="AF782" t="s">
        <v>1098</v>
      </c>
    </row>
    <row r="783" spans="1:32" x14ac:dyDescent="0.3">
      <c r="A783" t="s">
        <v>1826</v>
      </c>
      <c r="B783" s="1" t="s">
        <v>1205</v>
      </c>
      <c r="C783" s="5" t="s">
        <v>2849</v>
      </c>
      <c r="D783" s="2" t="s">
        <v>4366</v>
      </c>
      <c r="E783" s="1" t="s">
        <v>267</v>
      </c>
      <c r="F783" s="3">
        <v>11.154471127864896</v>
      </c>
      <c r="G783" s="3">
        <v>10.767258503353808</v>
      </c>
      <c r="H783" s="3">
        <v>9.7970217928970449</v>
      </c>
      <c r="I783" s="3">
        <v>8.8899512213956733</v>
      </c>
      <c r="J783" s="3">
        <v>8.7929048265968799</v>
      </c>
      <c r="K783" s="3">
        <v>10.28226527471357</v>
      </c>
      <c r="L783" s="3">
        <v>10.028878605608215</v>
      </c>
      <c r="M783" s="3">
        <v>10.310609281788162</v>
      </c>
      <c r="N783" s="3">
        <v>10.204023647777746</v>
      </c>
      <c r="O783" s="3">
        <v>9.6276934950128137</v>
      </c>
      <c r="P783" s="3">
        <v>9.0019111963344063</v>
      </c>
      <c r="Q783" s="3">
        <v>9.2213557501250953</v>
      </c>
      <c r="R783" s="3">
        <v>10.318251527279873</v>
      </c>
      <c r="S783" s="3">
        <v>11.85018556035654</v>
      </c>
      <c r="T783" s="3">
        <v>12.20069981279989</v>
      </c>
      <c r="U783" s="3">
        <v>11.430599016841203</v>
      </c>
      <c r="V783" s="3">
        <v>12.54303429905227</v>
      </c>
      <c r="W783" s="3">
        <v>11.2836181003932</v>
      </c>
      <c r="X783" s="3">
        <v>11.290984342232596</v>
      </c>
      <c r="Y783" s="3">
        <v>12.319968428731585</v>
      </c>
      <c r="Z783" s="3">
        <v>12.051943398124756</v>
      </c>
      <c r="AA783" s="3">
        <v>13.397081501932067</v>
      </c>
      <c r="AB783" s="3">
        <v>12.811077606083348</v>
      </c>
      <c r="AC783" s="3">
        <v>13.252991852888002</v>
      </c>
      <c r="AD783" s="3">
        <v>12.927092814554481</v>
      </c>
      <c r="AE783" t="s">
        <v>5941</v>
      </c>
      <c r="AF783" t="s">
        <v>718</v>
      </c>
    </row>
    <row r="784" spans="1:32" x14ac:dyDescent="0.3">
      <c r="A784" t="s">
        <v>1826</v>
      </c>
      <c r="B784" s="1" t="s">
        <v>1205</v>
      </c>
      <c r="C784" s="5" t="s">
        <v>2850</v>
      </c>
      <c r="D784" s="2" t="s">
        <v>4367</v>
      </c>
      <c r="E784" s="1" t="s">
        <v>1909</v>
      </c>
      <c r="F784" s="3"/>
      <c r="G784" s="3"/>
      <c r="H784" s="3"/>
      <c r="I784" s="3"/>
      <c r="J784" s="3"/>
      <c r="K784" s="3"/>
      <c r="L784" s="3"/>
      <c r="M784" s="3"/>
      <c r="N784" s="3"/>
      <c r="O784" s="3">
        <v>-0.33282438620177857</v>
      </c>
      <c r="P784" s="3">
        <v>-0.95650184599921317</v>
      </c>
      <c r="Q784" s="3">
        <v>-13.367419795781672</v>
      </c>
      <c r="R784" s="3">
        <v>15.377376051671504</v>
      </c>
      <c r="S784" s="3">
        <v>12.507621318139854</v>
      </c>
      <c r="T784" s="3">
        <v>4.1698549719646252</v>
      </c>
      <c r="U784" s="3">
        <v>9.6259763113022814</v>
      </c>
      <c r="V784" s="3">
        <v>5.1986405788638308</v>
      </c>
      <c r="W784" s="3">
        <v>8.025053928503695</v>
      </c>
      <c r="X784" s="3">
        <v>22.625890486214047</v>
      </c>
      <c r="Y784" s="3">
        <v>20.585581974253301</v>
      </c>
      <c r="Z784" s="3">
        <v>-5.6685891546840281</v>
      </c>
      <c r="AA784" s="3">
        <v>4.7066492474859416</v>
      </c>
      <c r="AB784" s="3">
        <v>4.9720982877063449</v>
      </c>
      <c r="AC784" s="3">
        <v>22.191260264657274</v>
      </c>
      <c r="AD784" s="3"/>
      <c r="AE784" t="s">
        <v>5942</v>
      </c>
      <c r="AF784" t="s">
        <v>718</v>
      </c>
    </row>
    <row r="785" spans="1:32" x14ac:dyDescent="0.3">
      <c r="A785" t="s">
        <v>1826</v>
      </c>
      <c r="B785" s="1" t="s">
        <v>1205</v>
      </c>
      <c r="C785" s="5" t="s">
        <v>2851</v>
      </c>
      <c r="D785" s="2" t="s">
        <v>4368</v>
      </c>
      <c r="E785" s="1" t="s">
        <v>1872</v>
      </c>
      <c r="F785" s="3"/>
      <c r="G785" s="3"/>
      <c r="H785" s="3"/>
      <c r="I785" s="3"/>
      <c r="J785" s="3"/>
      <c r="K785" s="3"/>
      <c r="L785" s="3"/>
      <c r="M785" s="3"/>
      <c r="N785" s="3">
        <v>4131038324.7863269</v>
      </c>
      <c r="O785" s="3">
        <v>4117289221.8380966</v>
      </c>
      <c r="P785" s="3">
        <v>4077907274.4260883</v>
      </c>
      <c r="Q785" s="3">
        <v>3532796290.1708345</v>
      </c>
      <c r="R785" s="3">
        <v>4076047660.8499041</v>
      </c>
      <c r="S785" s="3">
        <v>4585864267.0159073</v>
      </c>
      <c r="T785" s="3">
        <v>4777088156.1616192</v>
      </c>
      <c r="U785" s="3">
        <v>5236929530.4437637</v>
      </c>
      <c r="V785" s="3">
        <v>5509178674.0999165</v>
      </c>
      <c r="W785" s="3">
        <v>5951293233.7140598</v>
      </c>
      <c r="X785" s="3">
        <v>7297826323.2876692</v>
      </c>
      <c r="Y785" s="3">
        <v>8800126343.4066887</v>
      </c>
      <c r="Z785" s="3">
        <v>8301283335.9058456</v>
      </c>
      <c r="AA785" s="3">
        <v>8691995625.5669346</v>
      </c>
      <c r="AB785" s="3">
        <v>9124170191.2332592</v>
      </c>
      <c r="AC785" s="3">
        <v>11148938545.360109</v>
      </c>
      <c r="AD785" s="3"/>
      <c r="AE785" t="s">
        <v>5943</v>
      </c>
      <c r="AF785" t="s">
        <v>718</v>
      </c>
    </row>
    <row r="786" spans="1:32" x14ac:dyDescent="0.3">
      <c r="A786" t="s">
        <v>1826</v>
      </c>
      <c r="B786" s="1" t="s">
        <v>1205</v>
      </c>
      <c r="C786" s="5" t="s">
        <v>2852</v>
      </c>
      <c r="D786" s="2" t="s">
        <v>4369</v>
      </c>
      <c r="E786" s="1" t="s">
        <v>1198</v>
      </c>
      <c r="F786" s="3"/>
      <c r="G786" s="3"/>
      <c r="H786" s="3"/>
      <c r="I786" s="3"/>
      <c r="J786" s="3"/>
      <c r="K786" s="3"/>
      <c r="L786" s="3"/>
      <c r="M786" s="3"/>
      <c r="N786" s="3">
        <v>2442318182500</v>
      </c>
      <c r="O786" s="3">
        <v>2434189552000</v>
      </c>
      <c r="P786" s="3">
        <v>2410906484000</v>
      </c>
      <c r="Q786" s="3">
        <v>2088630493400</v>
      </c>
      <c r="R786" s="3">
        <v>2409807058700</v>
      </c>
      <c r="S786" s="3">
        <v>2711216600100</v>
      </c>
      <c r="T786" s="3">
        <v>2824270400300</v>
      </c>
      <c r="U786" s="3">
        <v>3096134000000</v>
      </c>
      <c r="V786" s="3">
        <v>3257090878500</v>
      </c>
      <c r="W786" s="3">
        <v>3518474178000</v>
      </c>
      <c r="X786" s="3">
        <v>4314560292300</v>
      </c>
      <c r="Y786" s="3">
        <v>5202737638100</v>
      </c>
      <c r="Z786" s="3">
        <v>4907815816600</v>
      </c>
      <c r="AA786" s="3">
        <v>5138809492800</v>
      </c>
      <c r="AB786" s="3">
        <v>5394316151600</v>
      </c>
      <c r="AC786" s="3">
        <v>6591382888300</v>
      </c>
      <c r="AD786" s="3"/>
      <c r="AE786" t="s">
        <v>5944</v>
      </c>
      <c r="AF786" t="s">
        <v>718</v>
      </c>
    </row>
    <row r="787" spans="1:32" x14ac:dyDescent="0.3">
      <c r="A787" t="s">
        <v>1826</v>
      </c>
      <c r="B787" s="1" t="s">
        <v>1205</v>
      </c>
      <c r="C787" s="5" t="s">
        <v>2853</v>
      </c>
      <c r="D787" s="2" t="s">
        <v>4370</v>
      </c>
      <c r="E787" s="1" t="s">
        <v>1069</v>
      </c>
      <c r="F787" s="3">
        <v>1313271302300</v>
      </c>
      <c r="G787" s="3">
        <v>1325664710700</v>
      </c>
      <c r="H787" s="3">
        <v>1227034315000</v>
      </c>
      <c r="I787" s="3">
        <v>1095583154799.9999</v>
      </c>
      <c r="J787" s="3">
        <v>1090146161499.9999</v>
      </c>
      <c r="K787" s="3">
        <v>1303140000000</v>
      </c>
      <c r="L787" s="3">
        <v>1324580000000</v>
      </c>
      <c r="M787" s="3">
        <v>1419312000000</v>
      </c>
      <c r="N787" s="3">
        <v>1550899000000</v>
      </c>
      <c r="O787" s="3">
        <v>1534341000000</v>
      </c>
      <c r="P787" s="3">
        <v>1556096000000</v>
      </c>
      <c r="Q787" s="3">
        <v>1594544000000</v>
      </c>
      <c r="R787" s="3">
        <v>1912423000000</v>
      </c>
      <c r="S787" s="3">
        <v>2502672000000</v>
      </c>
      <c r="T787" s="3">
        <v>2942393000000</v>
      </c>
      <c r="U787" s="3">
        <v>3096134000000</v>
      </c>
      <c r="V787" s="3">
        <v>3598184000000</v>
      </c>
      <c r="W787" s="3">
        <v>3440561000000</v>
      </c>
      <c r="X787" s="3">
        <v>3670259000000</v>
      </c>
      <c r="Y787" s="3">
        <v>4358682000000</v>
      </c>
      <c r="Z787" s="3">
        <v>4372198000000</v>
      </c>
      <c r="AA787" s="3">
        <v>5407981000000</v>
      </c>
      <c r="AB787" s="3">
        <v>5667467000000</v>
      </c>
      <c r="AC787" s="3">
        <v>6400387233200</v>
      </c>
      <c r="AD787" s="3">
        <v>6783124869600</v>
      </c>
      <c r="AE787" t="s">
        <v>5945</v>
      </c>
      <c r="AF787" t="s">
        <v>718</v>
      </c>
    </row>
    <row r="788" spans="1:32" x14ac:dyDescent="0.3">
      <c r="A788" t="s">
        <v>1826</v>
      </c>
      <c r="B788" s="1" t="s">
        <v>1205</v>
      </c>
      <c r="C788" s="5" t="s">
        <v>2854</v>
      </c>
      <c r="D788" s="2" t="s">
        <v>4371</v>
      </c>
      <c r="E788" s="1" t="s">
        <v>1739</v>
      </c>
      <c r="F788" s="3">
        <v>1849136231.6816106</v>
      </c>
      <c r="G788" s="3">
        <v>1810033979.3123844</v>
      </c>
      <c r="H788" s="3">
        <v>1768791868.5165854</v>
      </c>
      <c r="I788" s="3">
        <v>1889270594.5551133</v>
      </c>
      <c r="J788" s="3">
        <v>2067262543.8477759</v>
      </c>
      <c r="K788" s="3">
        <v>2471539744.9276681</v>
      </c>
      <c r="L788" s="3">
        <v>2535442245.9656339</v>
      </c>
      <c r="M788" s="3">
        <v>2965340607.2824984</v>
      </c>
      <c r="N788" s="3">
        <v>3477351698.2703595</v>
      </c>
      <c r="O788" s="3">
        <v>3262518514.9569907</v>
      </c>
      <c r="P788" s="3">
        <v>3144935419.6431646</v>
      </c>
      <c r="Q788" s="3">
        <v>3383657610.9189548</v>
      </c>
      <c r="R788" s="3">
        <v>3745762921.0745397</v>
      </c>
      <c r="S788" s="3">
        <v>5067167250.9716263</v>
      </c>
      <c r="T788" s="3">
        <v>5959188494.4776411</v>
      </c>
      <c r="U788" s="3">
        <v>5236929530.4437637</v>
      </c>
      <c r="V788" s="3">
        <v>6071802070.2520685</v>
      </c>
      <c r="W788" s="3">
        <v>5925292352.1512499</v>
      </c>
      <c r="X788" s="3">
        <v>6607763803.5815868</v>
      </c>
      <c r="Y788" s="3">
        <v>7439153563.0684586</v>
      </c>
      <c r="Z788" s="3">
        <v>7596081145.1626587</v>
      </c>
      <c r="AA788" s="3">
        <v>9752356800.9600143</v>
      </c>
      <c r="AB788" s="3">
        <v>9085978128.6300755</v>
      </c>
      <c r="AC788" s="3">
        <v>10551774518.016205</v>
      </c>
      <c r="AD788" s="3">
        <v>11186901088.120518</v>
      </c>
      <c r="AE788" t="s">
        <v>5946</v>
      </c>
      <c r="AF788" t="s">
        <v>718</v>
      </c>
    </row>
    <row r="789" spans="1:32" x14ac:dyDescent="0.3">
      <c r="A789" t="s">
        <v>1826</v>
      </c>
      <c r="B789" s="1" t="s">
        <v>1205</v>
      </c>
      <c r="C789" s="5" t="s">
        <v>2855</v>
      </c>
      <c r="D789" s="2" t="s">
        <v>4372</v>
      </c>
      <c r="E789" s="1" t="s">
        <v>416</v>
      </c>
      <c r="F789" s="3"/>
      <c r="G789" s="3"/>
      <c r="H789" s="3"/>
      <c r="I789" s="3"/>
      <c r="J789" s="3"/>
      <c r="K789" s="3"/>
      <c r="L789" s="3"/>
      <c r="M789" s="3"/>
      <c r="N789" s="3"/>
      <c r="O789" s="3"/>
      <c r="P789" s="3"/>
      <c r="Q789" s="3"/>
      <c r="R789" s="3"/>
      <c r="S789" s="3">
        <v>0.1</v>
      </c>
      <c r="T789" s="3">
        <v>0.1</v>
      </c>
      <c r="U789" s="3">
        <v>0.1</v>
      </c>
      <c r="V789" s="3">
        <v>0.1</v>
      </c>
      <c r="W789" s="3">
        <v>0.1</v>
      </c>
      <c r="X789" s="3">
        <v>0.1</v>
      </c>
      <c r="Y789" s="3">
        <v>0.1</v>
      </c>
      <c r="Z789" s="3">
        <v>0.1</v>
      </c>
      <c r="AA789" s="3">
        <v>0.1</v>
      </c>
      <c r="AB789" s="3">
        <v>0.1</v>
      </c>
      <c r="AC789" s="3">
        <v>0.1</v>
      </c>
      <c r="AD789" s="3">
        <v>0.1</v>
      </c>
      <c r="AE789" t="s">
        <v>5947</v>
      </c>
      <c r="AF789" t="s">
        <v>1773</v>
      </c>
    </row>
    <row r="790" spans="1:32" x14ac:dyDescent="0.3">
      <c r="A790" t="s">
        <v>1826</v>
      </c>
      <c r="B790" s="1" t="s">
        <v>1205</v>
      </c>
      <c r="C790" s="5" t="s">
        <v>2856</v>
      </c>
      <c r="D790" s="2" t="s">
        <v>4373</v>
      </c>
      <c r="E790" s="1" t="s">
        <v>730</v>
      </c>
      <c r="F790" s="3">
        <v>2.6320561480725502</v>
      </c>
      <c r="G790" s="3">
        <v>5.8548397200707791</v>
      </c>
      <c r="H790" s="3">
        <v>7.2819435404470818</v>
      </c>
      <c r="I790" s="3">
        <v>7.7645825072461774</v>
      </c>
      <c r="J790" s="3">
        <v>8.8583964434798546</v>
      </c>
      <c r="K790" s="3">
        <v>9.7034483862190708</v>
      </c>
      <c r="L790" s="3">
        <v>16.436027356193396</v>
      </c>
      <c r="M790" s="3">
        <v>28.877412152428249</v>
      </c>
      <c r="N790" s="3">
        <v>20.798579794634144</v>
      </c>
      <c r="O790" s="3">
        <v>18.072900378034827</v>
      </c>
      <c r="P790" s="3">
        <v>20.489056840479243</v>
      </c>
      <c r="Q790" s="3">
        <v>17.135361517485194</v>
      </c>
      <c r="R790" s="3"/>
      <c r="S790" s="3">
        <v>27.639815043240251</v>
      </c>
      <c r="T790" s="3">
        <v>23.975592519050817</v>
      </c>
      <c r="U790" s="3">
        <v>27.26842429427667</v>
      </c>
      <c r="V790" s="3">
        <v>25.54065468823535</v>
      </c>
      <c r="W790" s="3">
        <v>23.776695248620054</v>
      </c>
      <c r="X790" s="3">
        <v>14.444557347957588</v>
      </c>
      <c r="Y790" s="3">
        <v>13.414610280938923</v>
      </c>
      <c r="Z790" s="3">
        <v>11.6319843905098</v>
      </c>
      <c r="AA790" s="3"/>
      <c r="AB790" s="3"/>
      <c r="AC790" s="3"/>
      <c r="AD790" s="3"/>
      <c r="AE790" t="s">
        <v>5948</v>
      </c>
      <c r="AF790" t="s">
        <v>337</v>
      </c>
    </row>
    <row r="791" spans="1:32" x14ac:dyDescent="0.3">
      <c r="A791" t="s">
        <v>1826</v>
      </c>
      <c r="B791" s="1" t="s">
        <v>1205</v>
      </c>
      <c r="C791" s="5" t="s">
        <v>2857</v>
      </c>
      <c r="D791" s="2" t="s">
        <v>4374</v>
      </c>
      <c r="E791" s="1" t="s">
        <v>1308</v>
      </c>
      <c r="F791" s="3">
        <v>436330000</v>
      </c>
      <c r="G791" s="3">
        <v>984230000</v>
      </c>
      <c r="H791" s="3">
        <v>1314710000</v>
      </c>
      <c r="I791" s="3">
        <v>1650110000</v>
      </c>
      <c r="J791" s="3">
        <v>2082659999.9999998</v>
      </c>
      <c r="K791" s="3">
        <v>2332410000</v>
      </c>
      <c r="L791" s="3">
        <v>4155260000</v>
      </c>
      <c r="M791" s="3">
        <v>8305170000</v>
      </c>
      <c r="N791" s="3">
        <v>7087790000</v>
      </c>
      <c r="O791" s="3">
        <v>6124330000</v>
      </c>
      <c r="P791" s="3">
        <v>7158120000</v>
      </c>
      <c r="Q791" s="3">
        <v>6287600000</v>
      </c>
      <c r="R791" s="3"/>
      <c r="S791" s="3">
        <v>11818850000</v>
      </c>
      <c r="T791" s="3">
        <v>11710400000</v>
      </c>
      <c r="U791" s="3">
        <v>12493030000</v>
      </c>
      <c r="V791" s="3">
        <v>12363659088.7213</v>
      </c>
      <c r="W791" s="3">
        <v>12485700000</v>
      </c>
      <c r="X791" s="3">
        <v>8453312865.3440104</v>
      </c>
      <c r="Y791" s="3">
        <v>8100130000</v>
      </c>
      <c r="Z791" s="3">
        <v>7331390000</v>
      </c>
      <c r="AA791" s="3"/>
      <c r="AB791" s="3"/>
      <c r="AC791" s="3"/>
      <c r="AD791" s="3"/>
      <c r="AE791" t="s">
        <v>5949</v>
      </c>
      <c r="AF791" t="s">
        <v>8</v>
      </c>
    </row>
    <row r="792" spans="1:32" x14ac:dyDescent="0.3">
      <c r="A792" t="s">
        <v>1826</v>
      </c>
      <c r="B792" s="1" t="s">
        <v>1205</v>
      </c>
      <c r="C792" s="5" t="s">
        <v>2858</v>
      </c>
      <c r="D792" s="2" t="s">
        <v>4375</v>
      </c>
      <c r="E792" s="1" t="s">
        <v>135</v>
      </c>
      <c r="F792" s="3">
        <v>378</v>
      </c>
      <c r="G792" s="3">
        <v>405</v>
      </c>
      <c r="H792" s="3">
        <v>427</v>
      </c>
      <c r="I792" s="3">
        <v>451</v>
      </c>
      <c r="J792" s="3">
        <v>456</v>
      </c>
      <c r="K792" s="3">
        <v>492</v>
      </c>
      <c r="L792" s="3">
        <v>544</v>
      </c>
      <c r="M792" s="3">
        <v>567</v>
      </c>
      <c r="N792" s="3">
        <v>562</v>
      </c>
      <c r="O792" s="3">
        <v>588</v>
      </c>
      <c r="P792" s="3">
        <v>592</v>
      </c>
      <c r="Q792" s="3">
        <v>569</v>
      </c>
      <c r="R792" s="3">
        <v>566</v>
      </c>
      <c r="S792" s="3">
        <v>544</v>
      </c>
      <c r="T792" s="3">
        <v>522</v>
      </c>
      <c r="U792" s="3">
        <v>505</v>
      </c>
      <c r="V792" s="3">
        <v>488</v>
      </c>
      <c r="W792" s="3">
        <v>465</v>
      </c>
      <c r="X792" s="3">
        <v>449</v>
      </c>
      <c r="Y792" s="3">
        <v>429</v>
      </c>
      <c r="Z792" s="3">
        <v>447</v>
      </c>
      <c r="AA792" s="3">
        <v>459</v>
      </c>
      <c r="AB792" s="3">
        <v>409</v>
      </c>
      <c r="AC792" s="3">
        <v>359</v>
      </c>
      <c r="AD792" s="3"/>
      <c r="AE792" t="s">
        <v>5950</v>
      </c>
      <c r="AF792" t="s">
        <v>1832</v>
      </c>
    </row>
    <row r="793" spans="1:32" x14ac:dyDescent="0.3">
      <c r="A793" t="s">
        <v>1826</v>
      </c>
      <c r="B793" s="1" t="s">
        <v>1205</v>
      </c>
      <c r="C793" s="5" t="s">
        <v>2859</v>
      </c>
      <c r="D793" s="2" t="s">
        <v>4376</v>
      </c>
      <c r="E793" s="1" t="s">
        <v>599</v>
      </c>
      <c r="F793" s="3"/>
      <c r="G793" s="3"/>
      <c r="H793" s="3"/>
      <c r="I793" s="3"/>
      <c r="J793" s="3"/>
      <c r="K793" s="3">
        <v>605</v>
      </c>
      <c r="L793" s="3"/>
      <c r="M793" s="3"/>
      <c r="N793" s="3"/>
      <c r="O793" s="3"/>
      <c r="P793" s="3"/>
      <c r="Q793" s="3"/>
      <c r="R793" s="3">
        <v>751</v>
      </c>
      <c r="S793" s="3"/>
      <c r="T793" s="3"/>
      <c r="U793" s="3"/>
      <c r="V793" s="3"/>
      <c r="W793" s="3"/>
      <c r="X793" s="3"/>
      <c r="Y793" s="3"/>
      <c r="Z793" s="3"/>
      <c r="AA793" s="3"/>
      <c r="AB793" s="3"/>
      <c r="AC793" s="3"/>
      <c r="AD793" s="3"/>
      <c r="AE793" t="s">
        <v>5951</v>
      </c>
      <c r="AF793" t="s">
        <v>687</v>
      </c>
    </row>
    <row r="794" spans="1:32" x14ac:dyDescent="0.3">
      <c r="A794" t="s">
        <v>1826</v>
      </c>
      <c r="B794" s="1" t="s">
        <v>1205</v>
      </c>
      <c r="C794" s="5" t="s">
        <v>2860</v>
      </c>
      <c r="D794" s="2" t="s">
        <v>4377</v>
      </c>
      <c r="E794" s="1" t="s">
        <v>697</v>
      </c>
      <c r="F794" s="3">
        <v>10.185992495510101</v>
      </c>
      <c r="G794" s="3">
        <v>20.559689009854001</v>
      </c>
      <c r="H794" s="3">
        <v>33.836226613049703</v>
      </c>
      <c r="I794" s="3">
        <v>40.421139635385202</v>
      </c>
      <c r="J794" s="3">
        <v>39.389875730217199</v>
      </c>
      <c r="K794" s="3">
        <v>36.395306849404299</v>
      </c>
      <c r="L794" s="3">
        <v>31.0962278054559</v>
      </c>
      <c r="M794" s="3">
        <v>26.647731943616797</v>
      </c>
      <c r="N794" s="3">
        <v>16.691202728708703</v>
      </c>
      <c r="O794" s="3">
        <v>25.042438895447201</v>
      </c>
      <c r="P794" s="3">
        <v>32.5235696519592</v>
      </c>
      <c r="Q794" s="3">
        <v>19.205462991108</v>
      </c>
      <c r="R794" s="3">
        <v>15.5846319857674</v>
      </c>
      <c r="S794" s="3">
        <v>51.630545854573498</v>
      </c>
      <c r="T794" s="3">
        <v>31.806477143235302</v>
      </c>
      <c r="U794" s="3">
        <v>48.661585278438103</v>
      </c>
      <c r="V794" s="3">
        <v>32.219886935982402</v>
      </c>
      <c r="W794" s="3">
        <v>41.260890362627002</v>
      </c>
      <c r="X794" s="3">
        <v>23.456203840039201</v>
      </c>
      <c r="Y794" s="3">
        <v>25.934165109771701</v>
      </c>
      <c r="Z794" s="3">
        <v>23.443254147552899</v>
      </c>
      <c r="AA794" s="3">
        <v>27.537849639191702</v>
      </c>
      <c r="AB794" s="3">
        <v>22.058419645865502</v>
      </c>
      <c r="AC794" s="3"/>
      <c r="AD794" s="3"/>
      <c r="AE794" t="s">
        <v>5952</v>
      </c>
      <c r="AF794" t="s">
        <v>1892</v>
      </c>
    </row>
    <row r="795" spans="1:32" ht="28.8" x14ac:dyDescent="0.3">
      <c r="A795" t="s">
        <v>1826</v>
      </c>
      <c r="B795" s="1" t="s">
        <v>1205</v>
      </c>
      <c r="C795" s="5" t="s">
        <v>2861</v>
      </c>
      <c r="D795" s="2" t="s">
        <v>4378</v>
      </c>
      <c r="E795" s="1" t="s">
        <v>1588</v>
      </c>
      <c r="F795" s="3">
        <v>14.989795857178001</v>
      </c>
      <c r="G795" s="3">
        <v>14.989795857178001</v>
      </c>
      <c r="H795" s="3">
        <v>14.989795857178001</v>
      </c>
      <c r="I795" s="3">
        <v>14.989795857178001</v>
      </c>
      <c r="J795" s="3">
        <v>14.989795857178001</v>
      </c>
      <c r="K795" s="3">
        <v>14.989795857178001</v>
      </c>
      <c r="L795" s="3">
        <v>14.989795857178001</v>
      </c>
      <c r="M795" s="3">
        <v>14.989795857178001</v>
      </c>
      <c r="N795" s="3">
        <v>14.989795857178001</v>
      </c>
      <c r="O795" s="3">
        <v>14.989795857178001</v>
      </c>
      <c r="P795" s="3">
        <v>14.989795857178001</v>
      </c>
      <c r="Q795" s="3">
        <v>14.989795857178001</v>
      </c>
      <c r="R795" s="3">
        <v>14.989795857178001</v>
      </c>
      <c r="S795" s="3">
        <v>14.989795857178001</v>
      </c>
      <c r="T795" s="3">
        <v>14.989795857178001</v>
      </c>
      <c r="U795" s="3">
        <v>14.989795857178001</v>
      </c>
      <c r="V795" s="3">
        <v>14.989795857178001</v>
      </c>
      <c r="W795" s="3">
        <v>14.989795857178001</v>
      </c>
      <c r="X795" s="3">
        <v>14.989795857178001</v>
      </c>
      <c r="Y795" s="3">
        <v>14.989795857178001</v>
      </c>
      <c r="Z795" s="3">
        <v>14.989795857178001</v>
      </c>
      <c r="AA795" s="3">
        <v>14.989795857178001</v>
      </c>
      <c r="AB795" s="3">
        <v>14.989795857178001</v>
      </c>
      <c r="AC795" s="3"/>
      <c r="AD795" s="3"/>
      <c r="AE795" t="s">
        <v>5953</v>
      </c>
      <c r="AF795" t="s">
        <v>210</v>
      </c>
    </row>
    <row r="796" spans="1:32" x14ac:dyDescent="0.3">
      <c r="A796" t="s">
        <v>1826</v>
      </c>
      <c r="B796" s="1" t="s">
        <v>1205</v>
      </c>
      <c r="C796" s="5" t="s">
        <v>2862</v>
      </c>
      <c r="D796" s="2" t="s">
        <v>4379</v>
      </c>
      <c r="E796" s="1" t="s">
        <v>2050</v>
      </c>
      <c r="F796" s="3">
        <v>3888000000</v>
      </c>
      <c r="G796" s="3">
        <v>3946000000</v>
      </c>
      <c r="H796" s="3">
        <v>5275000000</v>
      </c>
      <c r="I796" s="3">
        <v>5788000000</v>
      </c>
      <c r="J796" s="3">
        <v>6919000000</v>
      </c>
      <c r="K796" s="3">
        <v>7697000000</v>
      </c>
      <c r="L796" s="3">
        <v>8477000000</v>
      </c>
      <c r="M796" s="3">
        <v>8669000000</v>
      </c>
      <c r="N796" s="3">
        <v>10390000000</v>
      </c>
      <c r="O796" s="3">
        <v>11327000000</v>
      </c>
      <c r="P796" s="3">
        <v>11410000000</v>
      </c>
      <c r="Q796" s="3">
        <v>12635000000</v>
      </c>
      <c r="R796" s="3">
        <v>12124000000</v>
      </c>
      <c r="S796" s="3">
        <v>12049000000</v>
      </c>
      <c r="T796" s="3">
        <v>12951000000</v>
      </c>
      <c r="U796" s="3">
        <v>11730000000</v>
      </c>
      <c r="V796" s="3">
        <v>10876000000</v>
      </c>
      <c r="W796" s="3">
        <v>11853000000</v>
      </c>
      <c r="X796" s="3">
        <v>11912000000</v>
      </c>
      <c r="Y796" s="3">
        <v>12718000000</v>
      </c>
      <c r="Z796" s="3">
        <v>12454000000</v>
      </c>
      <c r="AA796" s="3">
        <v>15334000000</v>
      </c>
      <c r="AB796" s="3">
        <v>16429000000</v>
      </c>
      <c r="AC796" s="3">
        <v>18350000000</v>
      </c>
      <c r="AD796" s="3">
        <v>21016000000</v>
      </c>
      <c r="AE796" t="s">
        <v>5954</v>
      </c>
      <c r="AF796" t="s">
        <v>1098</v>
      </c>
    </row>
    <row r="797" spans="1:32" x14ac:dyDescent="0.3">
      <c r="A797" t="s">
        <v>1826</v>
      </c>
      <c r="B797" s="1" t="s">
        <v>1205</v>
      </c>
      <c r="C797" s="5" t="s">
        <v>2863</v>
      </c>
      <c r="D797" s="2" t="s">
        <v>4380</v>
      </c>
      <c r="E797" s="1" t="s">
        <v>576</v>
      </c>
      <c r="F797" s="3">
        <v>3403892425</v>
      </c>
      <c r="G797" s="3">
        <v>3529872200</v>
      </c>
      <c r="H797" s="3">
        <v>4784080512</v>
      </c>
      <c r="I797" s="3">
        <v>5295815574</v>
      </c>
      <c r="J797" s="3">
        <v>6334929337</v>
      </c>
      <c r="K797" s="3">
        <v>7045534039</v>
      </c>
      <c r="L797" s="3">
        <v>7691077698</v>
      </c>
      <c r="M797" s="3">
        <v>7795703983</v>
      </c>
      <c r="N797" s="3">
        <v>9774552502.9999905</v>
      </c>
      <c r="O797" s="3">
        <v>9979049105.9999886</v>
      </c>
      <c r="P797" s="3">
        <v>10164239020</v>
      </c>
      <c r="Q797" s="3">
        <v>11008854489</v>
      </c>
      <c r="R797" s="3">
        <v>10737516436</v>
      </c>
      <c r="S797" s="3">
        <v>13627594165</v>
      </c>
      <c r="T797" s="3">
        <v>12668997298</v>
      </c>
      <c r="U797" s="3">
        <v>12469684137</v>
      </c>
      <c r="V797" s="3">
        <v>10706632688</v>
      </c>
      <c r="W797" s="3">
        <v>12336779460</v>
      </c>
      <c r="X797" s="3">
        <v>11646337360</v>
      </c>
      <c r="Y797" s="3">
        <v>12560696314</v>
      </c>
      <c r="Z797" s="3">
        <v>12364623057</v>
      </c>
      <c r="AA797" s="3">
        <v>28654708458</v>
      </c>
      <c r="AB797" s="3">
        <v>33712084006.999996</v>
      </c>
      <c r="AC797" s="3">
        <v>18059112967</v>
      </c>
      <c r="AD797" s="3"/>
      <c r="AE797" t="s">
        <v>5955</v>
      </c>
      <c r="AF797" t="s">
        <v>1451</v>
      </c>
    </row>
    <row r="798" spans="1:32" ht="28.8" x14ac:dyDescent="0.3">
      <c r="A798" t="s">
        <v>1826</v>
      </c>
      <c r="B798" s="1" t="s">
        <v>1205</v>
      </c>
      <c r="C798" s="5" t="s">
        <v>2864</v>
      </c>
      <c r="D798" s="2" t="s">
        <v>4381</v>
      </c>
      <c r="E798" s="1" t="s">
        <v>1618</v>
      </c>
      <c r="F798" s="3">
        <v>8.3035820381427011E-3</v>
      </c>
      <c r="G798" s="3">
        <v>9.2705056007410126E-3</v>
      </c>
      <c r="H798" s="3">
        <v>4.8789103656288963E-3</v>
      </c>
      <c r="I798" s="3">
        <v>2.8127112418964307E-3</v>
      </c>
      <c r="J798" s="3">
        <v>7.5271109247911246E-15</v>
      </c>
      <c r="K798" s="3">
        <v>7.4344967620700747E-5</v>
      </c>
      <c r="L798" s="3">
        <v>4.6170382610013259E-5</v>
      </c>
      <c r="M798" s="3">
        <v>0</v>
      </c>
      <c r="N798" s="3">
        <v>3.8102000044536763E-4</v>
      </c>
      <c r="O798" s="3">
        <v>-1.1468118530446096E-13</v>
      </c>
      <c r="P798" s="3">
        <v>4.3951839298639397E-3</v>
      </c>
      <c r="Q798" s="3">
        <v>8.0290824161877974E-4</v>
      </c>
      <c r="R798" s="3">
        <v>2.8116371397375524E-5</v>
      </c>
      <c r="S798" s="3">
        <v>4.1074748280779905E-4</v>
      </c>
      <c r="T798" s="3">
        <v>3.7638113497616832E-15</v>
      </c>
      <c r="U798" s="3">
        <v>7.9710118482530408E-4</v>
      </c>
      <c r="V798" s="3">
        <v>8.8094924658911573E-5</v>
      </c>
      <c r="W798" s="3">
        <v>0</v>
      </c>
      <c r="X798" s="3">
        <v>0</v>
      </c>
      <c r="Y798" s="3">
        <v>0</v>
      </c>
      <c r="Z798" s="3">
        <v>4.6332184762856536E-4</v>
      </c>
      <c r="AA798" s="3">
        <v>3.2753779413797167E-4</v>
      </c>
      <c r="AB798" s="3">
        <v>1.1606846966652593E-3</v>
      </c>
      <c r="AC798" s="3">
        <v>1.0280017647557806E-3</v>
      </c>
      <c r="AD798" s="3"/>
      <c r="AE798" t="s">
        <v>5956</v>
      </c>
      <c r="AF798" t="s">
        <v>1451</v>
      </c>
    </row>
    <row r="799" spans="1:32" ht="28.8" x14ac:dyDescent="0.3">
      <c r="A799" t="s">
        <v>1826</v>
      </c>
      <c r="B799" s="1" t="s">
        <v>1205</v>
      </c>
      <c r="C799" s="5" t="s">
        <v>2865</v>
      </c>
      <c r="D799" s="2" t="s">
        <v>4382</v>
      </c>
      <c r="E799" s="1" t="s">
        <v>1056</v>
      </c>
      <c r="F799" s="3">
        <v>2.2475349231989905</v>
      </c>
      <c r="G799" s="3">
        <v>1.6767699975086918</v>
      </c>
      <c r="H799" s="3">
        <v>1.6419027606866496</v>
      </c>
      <c r="I799" s="3">
        <v>1.8580251261597274</v>
      </c>
      <c r="J799" s="3">
        <v>1.7082552502668904</v>
      </c>
      <c r="K799" s="3">
        <v>1.3606522439512125</v>
      </c>
      <c r="L799" s="3">
        <v>1.767266400589677</v>
      </c>
      <c r="M799" s="3">
        <v>2.5229176149953356</v>
      </c>
      <c r="N799" s="3">
        <v>1.8988680652442569</v>
      </c>
      <c r="O799" s="3">
        <v>1.673210846308067</v>
      </c>
      <c r="P799" s="3">
        <v>1.5906185271900464</v>
      </c>
      <c r="Q799" s="3">
        <v>0.80764852591013303</v>
      </c>
      <c r="R799" s="3">
        <v>1.8158209224835686</v>
      </c>
      <c r="S799" s="3">
        <v>1.4481413858570098</v>
      </c>
      <c r="T799" s="3">
        <v>1.3981429377048085</v>
      </c>
      <c r="U799" s="3">
        <v>1.1716113767990626</v>
      </c>
      <c r="V799" s="3">
        <v>1.6132742201345238</v>
      </c>
      <c r="W799" s="3">
        <v>1.3549320431800926</v>
      </c>
      <c r="X799" s="3">
        <v>1.20311130159465</v>
      </c>
      <c r="Y799" s="3">
        <v>1.3730301066810744</v>
      </c>
      <c r="Z799" s="3">
        <v>1.0585440607176611</v>
      </c>
      <c r="AA799" s="3">
        <v>5.6419310682208161</v>
      </c>
      <c r="AB799" s="3">
        <v>4.5702506575389483</v>
      </c>
      <c r="AC799" s="3">
        <v>1.4281950750920289</v>
      </c>
      <c r="AD799" s="3"/>
      <c r="AE799" t="s">
        <v>5957</v>
      </c>
      <c r="AF799" t="s">
        <v>519</v>
      </c>
    </row>
    <row r="800" spans="1:32" ht="28.8" x14ac:dyDescent="0.3">
      <c r="A800" t="s">
        <v>1826</v>
      </c>
      <c r="B800" s="1" t="s">
        <v>1205</v>
      </c>
      <c r="C800" s="5" t="s">
        <v>2866</v>
      </c>
      <c r="D800" s="2" t="s">
        <v>4383</v>
      </c>
      <c r="E800" s="1" t="s">
        <v>2037</v>
      </c>
      <c r="F800" s="3">
        <v>58.699541569678125</v>
      </c>
      <c r="G800" s="3">
        <v>63.086014133882806</v>
      </c>
      <c r="H800" s="3">
        <v>63.352660211250225</v>
      </c>
      <c r="I800" s="3">
        <v>67.494222146792609</v>
      </c>
      <c r="J800" s="3">
        <v>65.391592291410589</v>
      </c>
      <c r="K800" s="3">
        <v>63.754208199631975</v>
      </c>
      <c r="L800" s="3">
        <v>63.361550401021574</v>
      </c>
      <c r="M800" s="3">
        <v>59.403711660917743</v>
      </c>
      <c r="N800" s="3">
        <v>60.811755189566504</v>
      </c>
      <c r="O800" s="3">
        <v>62.610259320633986</v>
      </c>
      <c r="P800" s="3">
        <v>58.275634991905179</v>
      </c>
      <c r="Q800" s="3">
        <v>57.937435201574495</v>
      </c>
      <c r="R800" s="3">
        <v>52.32581962028673</v>
      </c>
      <c r="S800" s="3">
        <v>45.540131037502171</v>
      </c>
      <c r="T800" s="3">
        <v>51.392223045369533</v>
      </c>
      <c r="U800" s="3">
        <v>56.385734103218212</v>
      </c>
      <c r="V800" s="3">
        <v>57.356864038894543</v>
      </c>
      <c r="W800" s="3">
        <v>57.702905422611806</v>
      </c>
      <c r="X800" s="3">
        <v>52.93694060567725</v>
      </c>
      <c r="Y800" s="3">
        <v>54.732414717625666</v>
      </c>
      <c r="Z800" s="3">
        <v>53.280669532989542</v>
      </c>
      <c r="AA800" s="3">
        <v>48.54490829103657</v>
      </c>
      <c r="AB800" s="3">
        <v>45.222021127007338</v>
      </c>
      <c r="AC800" s="3">
        <v>50.437862815546339</v>
      </c>
      <c r="AD800" s="3"/>
      <c r="AE800" t="s">
        <v>5958</v>
      </c>
      <c r="AF800" t="s">
        <v>519</v>
      </c>
    </row>
    <row r="801" spans="1:32" ht="28.8" x14ac:dyDescent="0.3">
      <c r="A801" t="s">
        <v>1826</v>
      </c>
      <c r="B801" s="1" t="s">
        <v>1205</v>
      </c>
      <c r="C801" s="5" t="s">
        <v>2867</v>
      </c>
      <c r="D801" s="2" t="s">
        <v>4384</v>
      </c>
      <c r="E801" s="1" t="s">
        <v>39</v>
      </c>
      <c r="F801" s="3">
        <v>1.7370062157590072</v>
      </c>
      <c r="G801" s="3">
        <v>1.9000464379418607</v>
      </c>
      <c r="H801" s="3">
        <v>1.928804161396187</v>
      </c>
      <c r="I801" s="3">
        <v>3.3273851503651324</v>
      </c>
      <c r="J801" s="3">
        <v>3.0443631134697218</v>
      </c>
      <c r="K801" s="3">
        <v>2.6308413666582529</v>
      </c>
      <c r="L801" s="3">
        <v>2.8219919304214005</v>
      </c>
      <c r="M801" s="3">
        <v>2.3332145550504029</v>
      </c>
      <c r="N801" s="3">
        <v>2.2856332597469931</v>
      </c>
      <c r="O801" s="3">
        <v>2.8016862331291579</v>
      </c>
      <c r="P801" s="3">
        <v>3.8800537278195568</v>
      </c>
      <c r="Q801" s="3">
        <v>6.197806589974995</v>
      </c>
      <c r="R801" s="3">
        <v>5.9454672857089355</v>
      </c>
      <c r="S801" s="3">
        <v>5.7420445569894909</v>
      </c>
      <c r="T801" s="3">
        <v>7.5701652659709957</v>
      </c>
      <c r="U801" s="3">
        <v>6.5476525630458315</v>
      </c>
      <c r="V801" s="3">
        <v>9.3371464972405143</v>
      </c>
      <c r="W801" s="3">
        <v>12.499221916057499</v>
      </c>
      <c r="X801" s="3">
        <v>14.189252894868915</v>
      </c>
      <c r="Y801" s="3">
        <v>14.378573614481862</v>
      </c>
      <c r="Z801" s="3">
        <v>16.721649673173697</v>
      </c>
      <c r="AA801" s="3">
        <v>18.55691557216122</v>
      </c>
      <c r="AB801" s="3">
        <v>16.454528693177746</v>
      </c>
      <c r="AC801" s="3">
        <v>16.174958616947226</v>
      </c>
      <c r="AD801" s="3"/>
      <c r="AE801" t="s">
        <v>5959</v>
      </c>
      <c r="AF801" t="s">
        <v>519</v>
      </c>
    </row>
    <row r="802" spans="1:32" ht="28.8" x14ac:dyDescent="0.3">
      <c r="A802" t="s">
        <v>1826</v>
      </c>
      <c r="B802" s="1" t="s">
        <v>1205</v>
      </c>
      <c r="C802" s="5" t="s">
        <v>2868</v>
      </c>
      <c r="D802" s="2" t="s">
        <v>4385</v>
      </c>
      <c r="E802" s="1" t="s">
        <v>1381</v>
      </c>
      <c r="F802" s="3">
        <v>0.33501895994847719</v>
      </c>
      <c r="G802" s="3">
        <v>0.37726762458992141</v>
      </c>
      <c r="H802" s="3">
        <v>0.56298879026892101</v>
      </c>
      <c r="I802" s="3">
        <v>0.57987463065684164</v>
      </c>
      <c r="J802" s="3">
        <v>0.75286936069575927</v>
      </c>
      <c r="K802" s="3">
        <v>0.30381687011249142</v>
      </c>
      <c r="L802" s="3">
        <v>0.48475466591236094</v>
      </c>
      <c r="M802" s="3">
        <v>1.3031736738790944</v>
      </c>
      <c r="N802" s="3">
        <v>1.1436313116706998</v>
      </c>
      <c r="O802" s="3">
        <v>0.92909312315393366</v>
      </c>
      <c r="P802" s="3">
        <v>1.2975476249672058</v>
      </c>
      <c r="Q802" s="3">
        <v>1.1496104170189292</v>
      </c>
      <c r="R802" s="3">
        <v>1.1417732743948277</v>
      </c>
      <c r="S802" s="3">
        <v>0.98850679268081953</v>
      </c>
      <c r="T802" s="3">
        <v>1.4434492304206978</v>
      </c>
      <c r="U802" s="3">
        <v>1.876445020012298</v>
      </c>
      <c r="V802" s="3">
        <v>1.3981720150704398</v>
      </c>
      <c r="W802" s="3">
        <v>1.5466306390468618</v>
      </c>
      <c r="X802" s="3">
        <v>1.4150604426592017</v>
      </c>
      <c r="Y802" s="3">
        <v>1.3010828612888954</v>
      </c>
      <c r="Z802" s="3">
        <v>2.1899305118460921</v>
      </c>
      <c r="AA802" s="3">
        <v>2.8806360853744759</v>
      </c>
      <c r="AB802" s="3">
        <v>2.3106963925405837</v>
      </c>
      <c r="AC802" s="3">
        <v>1.6858474253764824</v>
      </c>
      <c r="AD802" s="3"/>
      <c r="AE802" t="s">
        <v>5960</v>
      </c>
      <c r="AF802" t="s">
        <v>519</v>
      </c>
    </row>
    <row r="803" spans="1:32" ht="28.8" x14ac:dyDescent="0.3">
      <c r="A803" t="s">
        <v>1826</v>
      </c>
      <c r="B803" s="1" t="s">
        <v>1205</v>
      </c>
      <c r="C803" s="5" t="s">
        <v>2869</v>
      </c>
      <c r="D803" s="2" t="s">
        <v>4386</v>
      </c>
      <c r="E803" s="1" t="s">
        <v>131</v>
      </c>
      <c r="F803" s="3">
        <v>2.7935330535599991</v>
      </c>
      <c r="G803" s="3">
        <v>0.59538189512923445</v>
      </c>
      <c r="H803" s="3">
        <v>0.486101330060559</v>
      </c>
      <c r="I803" s="3">
        <v>0.8810887831721913</v>
      </c>
      <c r="J803" s="3">
        <v>0.29190347699690528</v>
      </c>
      <c r="K803" s="3">
        <v>0.44778626893807277</v>
      </c>
      <c r="L803" s="3">
        <v>0.46481786303233363</v>
      </c>
      <c r="M803" s="3">
        <v>1.0687684676289742</v>
      </c>
      <c r="N803" s="3">
        <v>1.2587923791113338</v>
      </c>
      <c r="O803" s="3">
        <v>1.1692601946396328</v>
      </c>
      <c r="P803" s="3">
        <v>1.3765553891903655</v>
      </c>
      <c r="Q803" s="3">
        <v>1.8442649342206234</v>
      </c>
      <c r="R803" s="3">
        <v>1.8318390399900852</v>
      </c>
      <c r="S803" s="3">
        <v>0.82356429639097639</v>
      </c>
      <c r="T803" s="3">
        <v>1.2560687579049479</v>
      </c>
      <c r="U803" s="3">
        <v>1.3314878803333077</v>
      </c>
      <c r="V803" s="3">
        <v>1.9409168134899222</v>
      </c>
      <c r="W803" s="3">
        <v>1.2543780368430126</v>
      </c>
      <c r="X803" s="3">
        <v>1.4762305837927401</v>
      </c>
      <c r="Y803" s="3">
        <v>1.826598472445164</v>
      </c>
      <c r="Z803" s="3">
        <v>1.0604103772154321</v>
      </c>
      <c r="AA803" s="3">
        <v>2.7995269823659221</v>
      </c>
      <c r="AB803" s="3">
        <v>3.2267623050954866</v>
      </c>
      <c r="AC803" s="3">
        <v>1.295361169883976</v>
      </c>
      <c r="AD803" s="3"/>
      <c r="AE803" t="s">
        <v>5961</v>
      </c>
      <c r="AF803" t="s">
        <v>519</v>
      </c>
    </row>
    <row r="804" spans="1:32" ht="28.8" x14ac:dyDescent="0.3">
      <c r="A804" t="s">
        <v>1826</v>
      </c>
      <c r="B804" s="1" t="s">
        <v>1205</v>
      </c>
      <c r="C804" s="5" t="s">
        <v>2870</v>
      </c>
      <c r="D804" s="2" t="s">
        <v>4387</v>
      </c>
      <c r="E804" s="1" t="s">
        <v>905</v>
      </c>
      <c r="F804" s="3">
        <v>1.9178851693587233</v>
      </c>
      <c r="G804" s="3">
        <v>1.3378735638077777</v>
      </c>
      <c r="H804" s="3">
        <v>1.2403742339025252</v>
      </c>
      <c r="I804" s="3">
        <v>1.6507400942961916</v>
      </c>
      <c r="J804" s="3">
        <v>1.4714196645505535</v>
      </c>
      <c r="K804" s="3">
        <v>1.2712286606554</v>
      </c>
      <c r="L804" s="3">
        <v>1.3252910190532312</v>
      </c>
      <c r="M804" s="3">
        <v>2.2106783476619341</v>
      </c>
      <c r="N804" s="3">
        <v>1.6255489338384923</v>
      </c>
      <c r="O804" s="3">
        <v>1.4751727888731383</v>
      </c>
      <c r="P804" s="3">
        <v>1.4533746472246971</v>
      </c>
      <c r="Q804" s="3">
        <v>0.65253737409082035</v>
      </c>
      <c r="R804" s="3">
        <v>1.5504899945188777</v>
      </c>
      <c r="S804" s="3">
        <v>1.2728991331831314</v>
      </c>
      <c r="T804" s="3">
        <v>1.0992072436702165</v>
      </c>
      <c r="U804" s="3">
        <v>0.97186310149116484</v>
      </c>
      <c r="V804" s="3">
        <v>1.3363338518221519</v>
      </c>
      <c r="W804" s="3">
        <v>0.89632111328996711</v>
      </c>
      <c r="X804" s="3">
        <v>0.88984075247499106</v>
      </c>
      <c r="Y804" s="3">
        <v>0.85104954636036434</v>
      </c>
      <c r="Z804" s="3">
        <v>0.62743618339484653</v>
      </c>
      <c r="AA804" s="3">
        <v>3.6465102917781711</v>
      </c>
      <c r="AB804" s="3">
        <v>2.6103865896195355</v>
      </c>
      <c r="AC804" s="3">
        <v>1.0044837159581403</v>
      </c>
      <c r="AD804" s="3"/>
      <c r="AE804" t="s">
        <v>5962</v>
      </c>
      <c r="AF804" t="s">
        <v>519</v>
      </c>
    </row>
    <row r="805" spans="1:32" ht="28.8" x14ac:dyDescent="0.3">
      <c r="A805" t="s">
        <v>1826</v>
      </c>
      <c r="B805" s="1" t="s">
        <v>1205</v>
      </c>
      <c r="C805" s="5" t="s">
        <v>2871</v>
      </c>
      <c r="D805" s="2" t="s">
        <v>4388</v>
      </c>
      <c r="E805" s="1" t="s">
        <v>1695</v>
      </c>
      <c r="F805" s="3">
        <v>2.9197253200503246</v>
      </c>
      <c r="G805" s="3">
        <v>2.2485327372475412</v>
      </c>
      <c r="H805" s="3">
        <v>2.1194660655409971</v>
      </c>
      <c r="I805" s="3">
        <v>1.7089831157326478</v>
      </c>
      <c r="J805" s="3">
        <v>2.0660190514765957</v>
      </c>
      <c r="K805" s="3">
        <v>2.0167523882996883</v>
      </c>
      <c r="L805" s="3">
        <v>1.5466538328033415</v>
      </c>
      <c r="M805" s="3">
        <v>2.6098538687933144</v>
      </c>
      <c r="N805" s="3">
        <v>2.0185301060017253</v>
      </c>
      <c r="O805" s="3">
        <v>1.4317477896175026</v>
      </c>
      <c r="P805" s="3">
        <v>2.9747342462633273</v>
      </c>
      <c r="Q805" s="3">
        <v>2.6220728713276027</v>
      </c>
      <c r="R805" s="3">
        <v>3.4381766603146366</v>
      </c>
      <c r="S805" s="3">
        <v>2.075235764844924</v>
      </c>
      <c r="T805" s="3">
        <v>4.7050692566972234</v>
      </c>
      <c r="U805" s="3">
        <v>4.7843087158062474</v>
      </c>
      <c r="V805" s="3">
        <v>4.2999032601163982</v>
      </c>
      <c r="W805" s="3">
        <v>3.4680538092394499</v>
      </c>
      <c r="X805" s="3">
        <v>5.3807254386455448</v>
      </c>
      <c r="Y805" s="3">
        <v>4.9317895004717967</v>
      </c>
      <c r="Z805" s="3">
        <v>3.443997144408864</v>
      </c>
      <c r="AA805" s="3">
        <v>5.4715885010593182</v>
      </c>
      <c r="AB805" s="3">
        <v>5.9238085773200302</v>
      </c>
      <c r="AC805" s="3">
        <v>2.9665191639199078</v>
      </c>
      <c r="AD805" s="3"/>
      <c r="AE805" t="s">
        <v>5963</v>
      </c>
      <c r="AF805" t="s">
        <v>519</v>
      </c>
    </row>
    <row r="806" spans="1:32" ht="28.8" x14ac:dyDescent="0.3">
      <c r="A806" t="s">
        <v>1826</v>
      </c>
      <c r="B806" s="1" t="s">
        <v>1205</v>
      </c>
      <c r="C806" s="5" t="s">
        <v>2872</v>
      </c>
      <c r="D806" s="2" t="s">
        <v>4389</v>
      </c>
      <c r="E806" s="1" t="s">
        <v>412</v>
      </c>
      <c r="F806" s="3">
        <v>31.588986129607193</v>
      </c>
      <c r="G806" s="3">
        <v>30.445613101800117</v>
      </c>
      <c r="H806" s="3">
        <v>30.304726297214955</v>
      </c>
      <c r="I806" s="3">
        <v>24.354893367742491</v>
      </c>
      <c r="J806" s="3">
        <v>26.981833041399874</v>
      </c>
      <c r="K806" s="3">
        <v>29.575291900736495</v>
      </c>
      <c r="L806" s="3">
        <v>29.994894117373143</v>
      </c>
      <c r="M806" s="3">
        <v>31.070599426068533</v>
      </c>
      <c r="N806" s="3">
        <v>30.855727800063796</v>
      </c>
      <c r="O806" s="3">
        <v>29.582780549952766</v>
      </c>
      <c r="P806" s="3">
        <v>30.737704188699805</v>
      </c>
      <c r="Q806" s="3">
        <v>29.595469703550915</v>
      </c>
      <c r="R806" s="3">
        <v>33.766406008414513</v>
      </c>
      <c r="S806" s="3">
        <v>43.557207670925678</v>
      </c>
      <c r="T806" s="3">
        <v>32.533817199966379</v>
      </c>
      <c r="U806" s="3">
        <v>28.101711514908118</v>
      </c>
      <c r="V806" s="3">
        <v>24.330575428441374</v>
      </c>
      <c r="W806" s="3">
        <v>22.632489062911397</v>
      </c>
      <c r="X806" s="3">
        <v>23.711949281881356</v>
      </c>
      <c r="Y806" s="3">
        <v>21.978491287326253</v>
      </c>
      <c r="Z806" s="3">
        <v>22.675443255123891</v>
      </c>
      <c r="AA806" s="3">
        <v>18.099586738430183</v>
      </c>
      <c r="AB806" s="3">
        <v>24.250635630542618</v>
      </c>
      <c r="AC806" s="3">
        <v>26.433939090603175</v>
      </c>
      <c r="AD806" s="3"/>
      <c r="AE806" t="s">
        <v>5964</v>
      </c>
      <c r="AF806" t="s">
        <v>519</v>
      </c>
    </row>
    <row r="807" spans="1:32" ht="28.8" x14ac:dyDescent="0.3">
      <c r="A807" t="s">
        <v>1826</v>
      </c>
      <c r="B807" s="1" t="s">
        <v>1205</v>
      </c>
      <c r="C807" s="5" t="s">
        <v>2873</v>
      </c>
      <c r="D807" s="2" t="s">
        <v>4390</v>
      </c>
      <c r="E807" s="1" t="s">
        <v>1174</v>
      </c>
      <c r="F807" s="3">
        <v>9.7031687186765314</v>
      </c>
      <c r="G807" s="3">
        <v>6.459102258716336</v>
      </c>
      <c r="H807" s="3">
        <v>6.3377345811691894</v>
      </c>
      <c r="I807" s="3">
        <v>8.1480717742230055</v>
      </c>
      <c r="J807" s="3">
        <v>7.6265746671895354</v>
      </c>
      <c r="K807" s="3">
        <v>6.6704255546639057</v>
      </c>
      <c r="L807" s="3">
        <v>6.6435093112226671</v>
      </c>
      <c r="M807" s="3">
        <v>9.5256889130137203</v>
      </c>
      <c r="N807" s="3">
        <v>8.3321359903692436</v>
      </c>
      <c r="O807" s="3">
        <v>7.8069601294133655</v>
      </c>
      <c r="P807" s="3">
        <v>10.982265635465152</v>
      </c>
      <c r="Q807" s="3">
        <v>12.46629218663297</v>
      </c>
      <c r="R807" s="3">
        <v>13.90774625492736</v>
      </c>
      <c r="S807" s="3">
        <v>10.902250544089343</v>
      </c>
      <c r="T807" s="3">
        <v>16.073959754664084</v>
      </c>
      <c r="U807" s="3">
        <v>15.511757280688848</v>
      </c>
      <c r="V807" s="3">
        <v>18.312472437739427</v>
      </c>
      <c r="W807" s="3">
        <v>19.66460551447679</v>
      </c>
      <c r="X807" s="3">
        <v>23.351110112441393</v>
      </c>
      <c r="Y807" s="3">
        <v>23.289093995048084</v>
      </c>
      <c r="Z807" s="3">
        <v>24.04342389003893</v>
      </c>
      <c r="AA807" s="3">
        <v>33.355177432739112</v>
      </c>
      <c r="AB807" s="3">
        <v>30.52618255775338</v>
      </c>
      <c r="AC807" s="3">
        <v>23.127170092085734</v>
      </c>
      <c r="AD807" s="3"/>
      <c r="AE807" t="s">
        <v>5965</v>
      </c>
      <c r="AF807" t="s">
        <v>519</v>
      </c>
    </row>
    <row r="808" spans="1:32" ht="28.8" x14ac:dyDescent="0.3">
      <c r="A808" t="s">
        <v>1826</v>
      </c>
      <c r="B808" s="1" t="s">
        <v>1205</v>
      </c>
      <c r="C808" s="5" t="s">
        <v>2874</v>
      </c>
      <c r="D808" s="2" t="s">
        <v>4391</v>
      </c>
      <c r="E808" s="1" t="s">
        <v>280</v>
      </c>
      <c r="F808" s="3">
        <v>31.588986129607193</v>
      </c>
      <c r="G808" s="3">
        <v>30.445613101800117</v>
      </c>
      <c r="H808" s="3">
        <v>30.304726297214955</v>
      </c>
      <c r="I808" s="3">
        <v>24.354893367742491</v>
      </c>
      <c r="J808" s="3">
        <v>26.981833041399874</v>
      </c>
      <c r="K808" s="3">
        <v>29.575291900736495</v>
      </c>
      <c r="L808" s="3">
        <v>29.994894117373143</v>
      </c>
      <c r="M808" s="3">
        <v>31.070599426068533</v>
      </c>
      <c r="N808" s="3">
        <v>30.855727800063796</v>
      </c>
      <c r="O808" s="3">
        <v>29.582780549952766</v>
      </c>
      <c r="P808" s="3">
        <v>30.737704188699805</v>
      </c>
      <c r="Q808" s="3">
        <v>29.595469703550915</v>
      </c>
      <c r="R808" s="3">
        <v>33.766406008414513</v>
      </c>
      <c r="S808" s="3">
        <v>43.557207670925678</v>
      </c>
      <c r="T808" s="3">
        <v>32.533817199966379</v>
      </c>
      <c r="U808" s="3">
        <v>28.101711514908118</v>
      </c>
      <c r="V808" s="3">
        <v>24.330575428441374</v>
      </c>
      <c r="W808" s="3">
        <v>22.632489062911397</v>
      </c>
      <c r="X808" s="3">
        <v>23.711949281881356</v>
      </c>
      <c r="Y808" s="3">
        <v>21.978491287326253</v>
      </c>
      <c r="Z808" s="3">
        <v>22.675443255123891</v>
      </c>
      <c r="AA808" s="3">
        <v>18.099586738430183</v>
      </c>
      <c r="AB808" s="3">
        <v>24.250635630542618</v>
      </c>
      <c r="AC808" s="3">
        <v>26.433939090603175</v>
      </c>
      <c r="AD808" s="3"/>
      <c r="AE808" t="s">
        <v>5966</v>
      </c>
      <c r="AF808" t="s">
        <v>519</v>
      </c>
    </row>
    <row r="809" spans="1:32" x14ac:dyDescent="0.3">
      <c r="A809" t="s">
        <v>1826</v>
      </c>
      <c r="B809" s="1" t="s">
        <v>1205</v>
      </c>
      <c r="C809" s="5" t="s">
        <v>2875</v>
      </c>
      <c r="D809" s="2" t="s">
        <v>4392</v>
      </c>
      <c r="E809" s="1" t="s">
        <v>992</v>
      </c>
      <c r="F809" s="3">
        <v>2482000000</v>
      </c>
      <c r="G809" s="3">
        <v>2548000000</v>
      </c>
      <c r="H809" s="3">
        <v>2599000000</v>
      </c>
      <c r="I809" s="3">
        <v>3279000000</v>
      </c>
      <c r="J809" s="3">
        <v>4715000000</v>
      </c>
      <c r="K809" s="3">
        <v>5865000000</v>
      </c>
      <c r="L809" s="3">
        <v>5820000000</v>
      </c>
      <c r="M809" s="3">
        <v>6683000000</v>
      </c>
      <c r="N809" s="3">
        <v>7884000000</v>
      </c>
      <c r="O809" s="3">
        <v>6960000000</v>
      </c>
      <c r="P809" s="3">
        <v>7849000000</v>
      </c>
      <c r="Q809" s="3">
        <v>6720000000</v>
      </c>
      <c r="R809" s="3">
        <v>9769000000</v>
      </c>
      <c r="S809" s="3">
        <v>12721000000</v>
      </c>
      <c r="T809" s="3">
        <v>11118000000</v>
      </c>
      <c r="U809" s="3">
        <v>10406000000</v>
      </c>
      <c r="V809" s="3">
        <v>8581000000</v>
      </c>
      <c r="W809" s="3">
        <v>9614000000</v>
      </c>
      <c r="X809" s="3">
        <v>10970000000</v>
      </c>
      <c r="Y809" s="3">
        <v>10483000000</v>
      </c>
      <c r="Z809" s="3">
        <v>10527000000</v>
      </c>
      <c r="AA809" s="3">
        <v>13966000000</v>
      </c>
      <c r="AB809" s="3">
        <v>17889000000</v>
      </c>
      <c r="AC809" s="3">
        <v>18842000000</v>
      </c>
      <c r="AD809" s="3">
        <v>19397000000</v>
      </c>
      <c r="AE809" t="s">
        <v>5967</v>
      </c>
      <c r="AF809" t="s">
        <v>1098</v>
      </c>
    </row>
    <row r="810" spans="1:32" x14ac:dyDescent="0.3">
      <c r="A810" t="s">
        <v>1826</v>
      </c>
      <c r="B810" s="1" t="s">
        <v>1205</v>
      </c>
      <c r="C810" s="5" t="s">
        <v>2876</v>
      </c>
      <c r="D810" s="2" t="s">
        <v>4393</v>
      </c>
      <c r="E810" s="1" t="s">
        <v>1585</v>
      </c>
      <c r="F810" s="3">
        <v>2387762565</v>
      </c>
      <c r="G810" s="3">
        <v>2473736554</v>
      </c>
      <c r="H810" s="3">
        <v>2490833143</v>
      </c>
      <c r="I810" s="3">
        <v>3457493662</v>
      </c>
      <c r="J810" s="3">
        <v>4580130980</v>
      </c>
      <c r="K810" s="3">
        <v>5731491518</v>
      </c>
      <c r="L810" s="3">
        <v>5680944360</v>
      </c>
      <c r="M810" s="3">
        <v>6530672820</v>
      </c>
      <c r="N810" s="3">
        <v>7800473487</v>
      </c>
      <c r="O810" s="3">
        <v>6494181381</v>
      </c>
      <c r="P810" s="3">
        <v>7447534203</v>
      </c>
      <c r="Q810" s="3">
        <v>6540255486</v>
      </c>
      <c r="R810" s="3">
        <v>9289240891</v>
      </c>
      <c r="S810" s="3">
        <v>12699243350</v>
      </c>
      <c r="T810" s="3">
        <v>10765856860</v>
      </c>
      <c r="U810" s="3">
        <v>10081067663</v>
      </c>
      <c r="V810" s="3">
        <v>8564744758.000001</v>
      </c>
      <c r="W810" s="3">
        <v>9597631592</v>
      </c>
      <c r="X810" s="3">
        <v>10935595616</v>
      </c>
      <c r="Y810" s="3">
        <v>10319370552</v>
      </c>
      <c r="Z810" s="3">
        <v>10495245606</v>
      </c>
      <c r="AA810" s="3">
        <v>13526872871</v>
      </c>
      <c r="AB810" s="3">
        <v>17311949569</v>
      </c>
      <c r="AC810" s="3">
        <v>18384507273</v>
      </c>
      <c r="AD810" s="3"/>
      <c r="AE810" t="s">
        <v>5968</v>
      </c>
      <c r="AF810" t="s">
        <v>933</v>
      </c>
    </row>
    <row r="811" spans="1:32" ht="28.8" x14ac:dyDescent="0.3">
      <c r="A811" t="s">
        <v>1826</v>
      </c>
      <c r="B811" s="1" t="s">
        <v>1205</v>
      </c>
      <c r="C811" s="5" t="s">
        <v>2877</v>
      </c>
      <c r="D811" s="2" t="s">
        <v>4394</v>
      </c>
      <c r="E811" s="1" t="s">
        <v>575</v>
      </c>
      <c r="F811" s="3">
        <v>1.0416704057842536</v>
      </c>
      <c r="G811" s="3">
        <v>0.90240720920357154</v>
      </c>
      <c r="H811" s="3">
        <v>0.46677960074020097</v>
      </c>
      <c r="I811" s="3">
        <v>0.24731787924821944</v>
      </c>
      <c r="J811" s="3">
        <v>1.6749241306631801</v>
      </c>
      <c r="K811" s="3">
        <v>1.3152511482090621</v>
      </c>
      <c r="L811" s="3">
        <v>2.8905669127166034</v>
      </c>
      <c r="M811" s="3">
        <v>3.2972056928125206</v>
      </c>
      <c r="N811" s="3">
        <v>3.6231497161167137</v>
      </c>
      <c r="O811" s="3">
        <v>1.939261803935131</v>
      </c>
      <c r="P811" s="3">
        <v>1.3052642304192718E-4</v>
      </c>
      <c r="Q811" s="3">
        <v>3.6454016148439264E-15</v>
      </c>
      <c r="R811" s="3">
        <v>3.5320431868430056E-5</v>
      </c>
      <c r="S811" s="3">
        <v>2.4410902814271092E-7</v>
      </c>
      <c r="T811" s="3">
        <v>5.5053676424228434E-5</v>
      </c>
      <c r="U811" s="3">
        <v>2.8746598047707201E-2</v>
      </c>
      <c r="V811" s="3">
        <v>0.12245142495583231</v>
      </c>
      <c r="W811" s="3">
        <v>2.3155712726590351E-4</v>
      </c>
      <c r="X811" s="3">
        <v>0.17385939154683533</v>
      </c>
      <c r="Y811" s="3">
        <v>1.9780276226289735E-4</v>
      </c>
      <c r="Z811" s="3">
        <v>1.8751347742399848E-5</v>
      </c>
      <c r="AA811" s="3">
        <v>6.9384107394825513E-4</v>
      </c>
      <c r="AB811" s="3">
        <v>6.8941975324211965E-4</v>
      </c>
      <c r="AC811" s="3">
        <v>0</v>
      </c>
      <c r="AD811" s="3"/>
      <c r="AE811" t="s">
        <v>5969</v>
      </c>
      <c r="AF811" t="s">
        <v>933</v>
      </c>
    </row>
    <row r="812" spans="1:32" ht="28.8" x14ac:dyDescent="0.3">
      <c r="A812" t="s">
        <v>1826</v>
      </c>
      <c r="B812" s="1" t="s">
        <v>1205</v>
      </c>
      <c r="C812" s="5" t="s">
        <v>2878</v>
      </c>
      <c r="D812" s="2" t="s">
        <v>4395</v>
      </c>
      <c r="E812" s="1" t="s">
        <v>13</v>
      </c>
      <c r="F812" s="3">
        <v>4.7677333445421528</v>
      </c>
      <c r="G812" s="3">
        <v>3.7249581347294911</v>
      </c>
      <c r="H812" s="3">
        <v>4.5015543218986309</v>
      </c>
      <c r="I812" s="3">
        <v>2.7804443738124198</v>
      </c>
      <c r="J812" s="3">
        <v>3.2614717494389209</v>
      </c>
      <c r="K812" s="3">
        <v>3.7638930865115867</v>
      </c>
      <c r="L812" s="3">
        <v>3.4636550462536131</v>
      </c>
      <c r="M812" s="3">
        <v>3.4405300677733228</v>
      </c>
      <c r="N812" s="3">
        <v>4.1656776545877383</v>
      </c>
      <c r="O812" s="3">
        <v>4.9602380669940205</v>
      </c>
      <c r="P812" s="3">
        <v>5.416655392297498</v>
      </c>
      <c r="Q812" s="3">
        <v>6.108724985670996</v>
      </c>
      <c r="R812" s="3">
        <v>4.3327416278971382</v>
      </c>
      <c r="S812" s="3">
        <v>3.6271884497748443</v>
      </c>
      <c r="T812" s="3">
        <v>5.7853897659939726</v>
      </c>
      <c r="U812" s="3">
        <v>5.8486736197993121</v>
      </c>
      <c r="V812" s="3">
        <v>6.8107896438494189</v>
      </c>
      <c r="W812" s="3">
        <v>6.650427867350464</v>
      </c>
      <c r="X812" s="3">
        <v>6.7764565006021886</v>
      </c>
      <c r="Y812" s="3">
        <v>7.288915939298465</v>
      </c>
      <c r="Z812" s="3">
        <v>6.8929592518199136</v>
      </c>
      <c r="AA812" s="3">
        <v>8.1490357935071636</v>
      </c>
      <c r="AB812" s="3">
        <v>7.1116262677001103</v>
      </c>
      <c r="AC812" s="3">
        <v>7.6891469921310849</v>
      </c>
      <c r="AD812" s="3"/>
      <c r="AE812" t="s">
        <v>5970</v>
      </c>
      <c r="AF812" t="s">
        <v>1859</v>
      </c>
    </row>
    <row r="813" spans="1:32" ht="28.8" x14ac:dyDescent="0.3">
      <c r="A813" t="s">
        <v>1826</v>
      </c>
      <c r="B813" s="1" t="s">
        <v>1205</v>
      </c>
      <c r="C813" s="5" t="s">
        <v>2879</v>
      </c>
      <c r="D813" s="2" t="s">
        <v>4396</v>
      </c>
      <c r="E813" s="1" t="s">
        <v>978</v>
      </c>
      <c r="F813" s="3">
        <v>56.11315398941268</v>
      </c>
      <c r="G813" s="3">
        <v>59.432944450882708</v>
      </c>
      <c r="H813" s="3">
        <v>64.287014628020785</v>
      </c>
      <c r="I813" s="3">
        <v>66.145931838876649</v>
      </c>
      <c r="J813" s="3">
        <v>60.408879289299279</v>
      </c>
      <c r="K813" s="3">
        <v>55.983463168757673</v>
      </c>
      <c r="L813" s="3">
        <v>48.123908170084597</v>
      </c>
      <c r="M813" s="3">
        <v>46.077096861820735</v>
      </c>
      <c r="N813" s="3">
        <v>38.305575847154984</v>
      </c>
      <c r="O813" s="3">
        <v>43.562031594571508</v>
      </c>
      <c r="P813" s="3">
        <v>38.683264225084088</v>
      </c>
      <c r="Q813" s="3">
        <v>36.033944515543041</v>
      </c>
      <c r="R813" s="3">
        <v>36.788138698297004</v>
      </c>
      <c r="S813" s="3">
        <v>42.550993040069592</v>
      </c>
      <c r="T813" s="3">
        <v>44.42644707427403</v>
      </c>
      <c r="U813" s="3">
        <v>47.397176070317983</v>
      </c>
      <c r="V813" s="3">
        <v>44.635638854609752</v>
      </c>
      <c r="W813" s="3">
        <v>50.772845490983713</v>
      </c>
      <c r="X813" s="3">
        <v>43.880572640955272</v>
      </c>
      <c r="Y813" s="3">
        <v>41.54443777744865</v>
      </c>
      <c r="Z813" s="3">
        <v>42.364226973956157</v>
      </c>
      <c r="AA813" s="3">
        <v>43.585587542851975</v>
      </c>
      <c r="AB813" s="3">
        <v>42.577625827879395</v>
      </c>
      <c r="AC813" s="3">
        <v>44.526618921259789</v>
      </c>
      <c r="AD813" s="3"/>
      <c r="AE813" t="s">
        <v>5971</v>
      </c>
      <c r="AF813" t="s">
        <v>469</v>
      </c>
    </row>
    <row r="814" spans="1:32" ht="28.8" x14ac:dyDescent="0.3">
      <c r="A814" t="s">
        <v>1826</v>
      </c>
      <c r="B814" s="1" t="s">
        <v>1205</v>
      </c>
      <c r="C814" s="5" t="s">
        <v>2880</v>
      </c>
      <c r="D814" s="2" t="s">
        <v>4397</v>
      </c>
      <c r="E814" s="1" t="s">
        <v>1620</v>
      </c>
      <c r="F814" s="3">
        <v>6.3841375702278009</v>
      </c>
      <c r="G814" s="3">
        <v>7.798700135956353</v>
      </c>
      <c r="H814" s="3">
        <v>6.2142220339004055</v>
      </c>
      <c r="I814" s="3">
        <v>8.0801678126113075</v>
      </c>
      <c r="J814" s="3">
        <v>7.8752237998224226</v>
      </c>
      <c r="K814" s="3">
        <v>7.1868683344704198</v>
      </c>
      <c r="L814" s="3">
        <v>8.6628787189881926</v>
      </c>
      <c r="M814" s="3">
        <v>11.364294789460912</v>
      </c>
      <c r="N814" s="3">
        <v>13.357480962360457</v>
      </c>
      <c r="O814" s="3">
        <v>17.399829827758857</v>
      </c>
      <c r="P814" s="3">
        <v>15.577173294923369</v>
      </c>
      <c r="Q814" s="3">
        <v>17.79589457157179</v>
      </c>
      <c r="R814" s="3">
        <v>16.601795508330088</v>
      </c>
      <c r="S814" s="3">
        <v>16.119465802661384</v>
      </c>
      <c r="T814" s="3">
        <v>14.435296383830984</v>
      </c>
      <c r="U814" s="3">
        <v>17.326339266730105</v>
      </c>
      <c r="V814" s="3">
        <v>23.393225397972799</v>
      </c>
      <c r="W814" s="3">
        <v>18.783592876212161</v>
      </c>
      <c r="X814" s="3">
        <v>20.966566198235689</v>
      </c>
      <c r="Y814" s="3">
        <v>22.822016693097233</v>
      </c>
      <c r="Z814" s="3">
        <v>20.173832947649835</v>
      </c>
      <c r="AA814" s="3">
        <v>20.564391330709359</v>
      </c>
      <c r="AB814" s="3">
        <v>19.859741754080197</v>
      </c>
      <c r="AC814" s="3">
        <v>19.274618358709819</v>
      </c>
      <c r="AD814" s="3"/>
      <c r="AE814" t="s">
        <v>5972</v>
      </c>
      <c r="AF814" t="s">
        <v>1094</v>
      </c>
    </row>
    <row r="815" spans="1:32" ht="28.8" x14ac:dyDescent="0.3">
      <c r="A815" t="s">
        <v>1826</v>
      </c>
      <c r="B815" s="1" t="s">
        <v>1205</v>
      </c>
      <c r="C815" s="5" t="s">
        <v>2881</v>
      </c>
      <c r="D815" s="2" t="s">
        <v>4398</v>
      </c>
      <c r="E815" s="1" t="s">
        <v>355</v>
      </c>
      <c r="F815" s="3">
        <v>0.1920181289047054</v>
      </c>
      <c r="G815" s="3">
        <v>0.3581406429748703</v>
      </c>
      <c r="H815" s="3">
        <v>0.42796945391375824</v>
      </c>
      <c r="I815" s="3">
        <v>0.48061693308752618</v>
      </c>
      <c r="J815" s="3">
        <v>0.39983323795687603</v>
      </c>
      <c r="K815" s="3">
        <v>0.60110293964147854</v>
      </c>
      <c r="L815" s="3">
        <v>0.78759387814176729</v>
      </c>
      <c r="M815" s="3">
        <v>1.273109789628077</v>
      </c>
      <c r="N815" s="3">
        <v>1.4779940626955432</v>
      </c>
      <c r="O815" s="3">
        <v>1.1784578765216966</v>
      </c>
      <c r="P815" s="3">
        <v>1.6115405277582182</v>
      </c>
      <c r="Q815" s="3">
        <v>1.8334135456432537</v>
      </c>
      <c r="R815" s="3">
        <v>1.426255315742355</v>
      </c>
      <c r="S815" s="3">
        <v>1.1184262249766244</v>
      </c>
      <c r="T815" s="3">
        <v>1.1971228084858634</v>
      </c>
      <c r="U815" s="3">
        <v>1.3857820785464954</v>
      </c>
      <c r="V815" s="3">
        <v>1.8917651789758096</v>
      </c>
      <c r="W815" s="3">
        <v>2.5303942923005249</v>
      </c>
      <c r="X815" s="3">
        <v>2.5378454155157741</v>
      </c>
      <c r="Y815" s="3">
        <v>3.8402610895990628</v>
      </c>
      <c r="Z815" s="3">
        <v>4.0381975125737712</v>
      </c>
      <c r="AA815" s="3">
        <v>3.9472644275729594</v>
      </c>
      <c r="AB815" s="3">
        <v>3.0710274072887693</v>
      </c>
      <c r="AC815" s="3">
        <v>2.173787075528113</v>
      </c>
      <c r="AD815" s="3"/>
      <c r="AE815" t="s">
        <v>5973</v>
      </c>
      <c r="AF815" t="s">
        <v>601</v>
      </c>
    </row>
    <row r="816" spans="1:32" ht="28.8" x14ac:dyDescent="0.3">
      <c r="A816" t="s">
        <v>1826</v>
      </c>
      <c r="B816" s="1" t="s">
        <v>1205</v>
      </c>
      <c r="C816" s="5" t="s">
        <v>2882</v>
      </c>
      <c r="D816" s="2" t="s">
        <v>4399</v>
      </c>
      <c r="E816" s="1" t="s">
        <v>1132</v>
      </c>
      <c r="F816" s="3">
        <v>1.9431856282578079</v>
      </c>
      <c r="G816" s="3">
        <v>3.5334611059800021</v>
      </c>
      <c r="H816" s="3">
        <v>1.6727457685028886</v>
      </c>
      <c r="I816" s="3">
        <v>1.9891586427440284</v>
      </c>
      <c r="J816" s="3">
        <v>1.5521187125526266</v>
      </c>
      <c r="K816" s="3">
        <v>2.1585241749283872</v>
      </c>
      <c r="L816" s="3">
        <v>2.0902174440588959</v>
      </c>
      <c r="M816" s="3">
        <v>2.0439889989772904</v>
      </c>
      <c r="N816" s="3">
        <v>3.0980939477937106</v>
      </c>
      <c r="O816" s="3">
        <v>2.8923238816449066</v>
      </c>
      <c r="P816" s="3">
        <v>4.8426411503383333</v>
      </c>
      <c r="Q816" s="3">
        <v>5.8510173313434377</v>
      </c>
      <c r="R816" s="3">
        <v>5.5801830427523571</v>
      </c>
      <c r="S816" s="3">
        <v>2.3856081551504404</v>
      </c>
      <c r="T816" s="3">
        <v>3.4541899064409445</v>
      </c>
      <c r="U816" s="3">
        <v>2.5392957924440829</v>
      </c>
      <c r="V816" s="3">
        <v>3.1259679484309508</v>
      </c>
      <c r="W816" s="3">
        <v>1.7799952036333591</v>
      </c>
      <c r="X816" s="3">
        <v>3.8823632832474337</v>
      </c>
      <c r="Y816" s="3">
        <v>3.0342158799532175</v>
      </c>
      <c r="Z816" s="3">
        <v>2.779150140452654</v>
      </c>
      <c r="AA816" s="3">
        <v>4.5513695358215216</v>
      </c>
      <c r="AB816" s="3">
        <v>4.7964936859965963</v>
      </c>
      <c r="AC816" s="3">
        <v>3.8331828562789898</v>
      </c>
      <c r="AD816" s="3"/>
      <c r="AE816" t="s">
        <v>5974</v>
      </c>
      <c r="AF816" t="s">
        <v>1315</v>
      </c>
    </row>
    <row r="817" spans="1:32" ht="28.8" x14ac:dyDescent="0.3">
      <c r="A817" t="s">
        <v>1826</v>
      </c>
      <c r="B817" s="1" t="s">
        <v>1205</v>
      </c>
      <c r="C817" s="5" t="s">
        <v>2883</v>
      </c>
      <c r="D817" s="2" t="s">
        <v>4400</v>
      </c>
      <c r="E817" s="1" t="s">
        <v>1913</v>
      </c>
      <c r="F817" s="3">
        <v>0.78564972392889487</v>
      </c>
      <c r="G817" s="3">
        <v>1.0477763672161835</v>
      </c>
      <c r="H817" s="3">
        <v>2.8008165137860459</v>
      </c>
      <c r="I817" s="3">
        <v>1.2085448907469321</v>
      </c>
      <c r="J817" s="3">
        <v>1.4314077978617108</v>
      </c>
      <c r="K817" s="3">
        <v>1.786356390451872</v>
      </c>
      <c r="L817" s="3">
        <v>1.452213483745509</v>
      </c>
      <c r="M817" s="3">
        <v>1.5910000372672168</v>
      </c>
      <c r="N817" s="3">
        <v>2.0618249298332625</v>
      </c>
      <c r="O817" s="3">
        <v>2.3900310584811488</v>
      </c>
      <c r="P817" s="3">
        <v>2.1857942180973962</v>
      </c>
      <c r="Q817" s="3">
        <v>2.2970684298432924</v>
      </c>
      <c r="R817" s="3">
        <v>2.0802204213179554</v>
      </c>
      <c r="S817" s="3">
        <v>2.0097485729336779</v>
      </c>
      <c r="T817" s="3">
        <v>2.8317926103282782</v>
      </c>
      <c r="U817" s="3">
        <v>3.3482203600204126</v>
      </c>
      <c r="V817" s="3">
        <v>3.54090813642435</v>
      </c>
      <c r="W817" s="3">
        <v>3.3114797849181707</v>
      </c>
      <c r="X817" s="3">
        <v>3.3886179227203788</v>
      </c>
      <c r="Y817" s="3">
        <v>3.6501026695567007</v>
      </c>
      <c r="Z817" s="3">
        <v>3.7539263661897007</v>
      </c>
      <c r="AA817" s="3">
        <v>4.8575974304357015</v>
      </c>
      <c r="AB817" s="3">
        <v>4.2004049694213847</v>
      </c>
      <c r="AC817" s="3">
        <v>4.84232942868928</v>
      </c>
      <c r="AD817" s="3"/>
      <c r="AE817" t="s">
        <v>5975</v>
      </c>
      <c r="AF817" t="s">
        <v>2044</v>
      </c>
    </row>
    <row r="818" spans="1:32" ht="28.8" x14ac:dyDescent="0.3">
      <c r="A818" t="s">
        <v>1826</v>
      </c>
      <c r="B818" s="1" t="s">
        <v>1205</v>
      </c>
      <c r="C818" s="5" t="s">
        <v>2884</v>
      </c>
      <c r="D818" s="2" t="s">
        <v>4401</v>
      </c>
      <c r="E818" s="1" t="s">
        <v>622</v>
      </c>
      <c r="F818" s="3">
        <v>1.5977831112366065</v>
      </c>
      <c r="G818" s="3">
        <v>1.9373474076091937</v>
      </c>
      <c r="H818" s="3">
        <v>3.4483177743712878</v>
      </c>
      <c r="I818" s="3">
        <v>2.2071313633546148</v>
      </c>
      <c r="J818" s="3">
        <v>1.4416782465028981</v>
      </c>
      <c r="K818" s="3">
        <v>1.8873462633640419</v>
      </c>
      <c r="L818" s="3">
        <v>3.2632837650252924</v>
      </c>
      <c r="M818" s="3">
        <v>3.2115362655696478</v>
      </c>
      <c r="N818" s="3">
        <v>2.6138788156873329</v>
      </c>
      <c r="O818" s="3">
        <v>1.6319655824531396</v>
      </c>
      <c r="P818" s="3">
        <v>2.8406804887821742</v>
      </c>
      <c r="Q818" s="3">
        <v>4.2576442708709195</v>
      </c>
      <c r="R818" s="3">
        <v>4.7838677585651599</v>
      </c>
      <c r="S818" s="3">
        <v>3.0016139741112999</v>
      </c>
      <c r="T818" s="3">
        <v>5.6118586830254396</v>
      </c>
      <c r="U818" s="3">
        <v>4.4689554922194752</v>
      </c>
      <c r="V818" s="3">
        <v>5.325480815688775</v>
      </c>
      <c r="W818" s="3">
        <v>5.4096461926374806</v>
      </c>
      <c r="X818" s="3">
        <v>5.1912012379957417</v>
      </c>
      <c r="Y818" s="3">
        <v>5.0430138580413679</v>
      </c>
      <c r="Z818" s="3">
        <v>5.7005962171858489</v>
      </c>
      <c r="AA818" s="3">
        <v>7.0218500392380898</v>
      </c>
      <c r="AB818" s="3">
        <v>5.92061278202537</v>
      </c>
      <c r="AC818" s="3">
        <v>5.8752677619286668</v>
      </c>
      <c r="AD818" s="3"/>
      <c r="AE818" t="s">
        <v>5976</v>
      </c>
      <c r="AF818" t="s">
        <v>1947</v>
      </c>
    </row>
    <row r="819" spans="1:32" ht="28.8" x14ac:dyDescent="0.3">
      <c r="A819" t="s">
        <v>1826</v>
      </c>
      <c r="B819" s="1" t="s">
        <v>1205</v>
      </c>
      <c r="C819" s="5" t="s">
        <v>2885</v>
      </c>
      <c r="D819" s="2" t="s">
        <v>4402</v>
      </c>
      <c r="E819" s="1" t="s">
        <v>1407</v>
      </c>
      <c r="F819" s="3">
        <v>31.942401442247252</v>
      </c>
      <c r="G819" s="3">
        <v>24.989222680177122</v>
      </c>
      <c r="H819" s="3">
        <v>20.682134226764624</v>
      </c>
      <c r="I819" s="3">
        <v>19.641130639330729</v>
      </c>
      <c r="J819" s="3">
        <v>25.215934785341009</v>
      </c>
      <c r="K819" s="3">
        <v>29.081087580177069</v>
      </c>
      <c r="L819" s="3">
        <v>32.729337627239147</v>
      </c>
      <c r="M819" s="3">
        <v>31.141767564463596</v>
      </c>
      <c r="N819" s="3">
        <v>35.462001718357996</v>
      </c>
      <c r="O819" s="3">
        <v>29.006098374633616</v>
      </c>
      <c r="P819" s="3">
        <v>34.258775568593386</v>
      </c>
      <c r="Q819" s="3">
        <v>31.931017335184265</v>
      </c>
      <c r="R819" s="3">
        <v>32.73950393456321</v>
      </c>
      <c r="S819" s="3">
        <v>32.814143985987954</v>
      </c>
      <c r="T819" s="3">
        <v>28.043237479938032</v>
      </c>
      <c r="U819" s="3">
        <v>23.505484341673739</v>
      </c>
      <c r="V819" s="3">
        <v>17.964562242941739</v>
      </c>
      <c r="W819" s="3">
        <v>17.411814602187327</v>
      </c>
      <c r="X819" s="3">
        <v>19.978973909782876</v>
      </c>
      <c r="Y819" s="3">
        <v>20.065754229541501</v>
      </c>
      <c r="Z819" s="3">
        <v>21.190051090644289</v>
      </c>
      <c r="AA819" s="3">
        <v>15.471245852296441</v>
      </c>
      <c r="AB819" s="3">
        <v>19.573404153555039</v>
      </c>
      <c r="AC819" s="3">
        <v>19.474195597605341</v>
      </c>
      <c r="AD819" s="3"/>
      <c r="AE819" t="s">
        <v>5977</v>
      </c>
      <c r="AF819" t="s">
        <v>154</v>
      </c>
    </row>
    <row r="820" spans="1:32" ht="28.8" x14ac:dyDescent="0.3">
      <c r="A820" t="s">
        <v>1826</v>
      </c>
      <c r="B820" s="1" t="s">
        <v>1205</v>
      </c>
      <c r="C820" s="5" t="s">
        <v>2886</v>
      </c>
      <c r="D820" s="2" t="s">
        <v>4403</v>
      </c>
      <c r="E820" s="1" t="s">
        <v>146</v>
      </c>
      <c r="F820" s="3">
        <v>10.902774162555815</v>
      </c>
      <c r="G820" s="3">
        <v>14.675425659736602</v>
      </c>
      <c r="H820" s="3">
        <v>14.564071544474386</v>
      </c>
      <c r="I820" s="3">
        <v>13.965619642544407</v>
      </c>
      <c r="J820" s="3">
        <v>12.700261794696535</v>
      </c>
      <c r="K820" s="3">
        <v>13.620198102856198</v>
      </c>
      <c r="L820" s="3">
        <v>16.256187289959655</v>
      </c>
      <c r="M820" s="3">
        <v>19.483929880903144</v>
      </c>
      <c r="N820" s="3">
        <v>22.609272718370306</v>
      </c>
      <c r="O820" s="3">
        <v>25.492608226859748</v>
      </c>
      <c r="P820" s="3">
        <v>27.057829679899491</v>
      </c>
      <c r="Q820" s="3">
        <v>32.035038149272687</v>
      </c>
      <c r="R820" s="3">
        <v>30.472322046707916</v>
      </c>
      <c r="S820" s="3">
        <v>24.634862729833426</v>
      </c>
      <c r="T820" s="3">
        <v>27.530260392111511</v>
      </c>
      <c r="U820" s="3">
        <v>29.068592989960575</v>
      </c>
      <c r="V820" s="3">
        <v>37.277347477492683</v>
      </c>
      <c r="W820" s="3">
        <v>31.815108349701699</v>
      </c>
      <c r="X820" s="3">
        <v>35.966594057715021</v>
      </c>
      <c r="Y820" s="3">
        <v>38.389610190247581</v>
      </c>
      <c r="Z820" s="3">
        <v>36.445703184051816</v>
      </c>
      <c r="AA820" s="3">
        <v>40.94247276377763</v>
      </c>
      <c r="AB820" s="3">
        <v>37.848280598812316</v>
      </c>
      <c r="AC820" s="3">
        <v>35.999185481134873</v>
      </c>
      <c r="AD820" s="3"/>
      <c r="AE820" t="s">
        <v>5978</v>
      </c>
      <c r="AF820" t="s">
        <v>1401</v>
      </c>
    </row>
    <row r="821" spans="1:32" ht="28.8" x14ac:dyDescent="0.3">
      <c r="A821" t="s">
        <v>1826</v>
      </c>
      <c r="B821" s="1" t="s">
        <v>1205</v>
      </c>
      <c r="C821" s="5" t="s">
        <v>2887</v>
      </c>
      <c r="D821" s="2" t="s">
        <v>4404</v>
      </c>
      <c r="E821" s="1" t="s">
        <v>1257</v>
      </c>
      <c r="F821" s="3">
        <v>31.942401442247252</v>
      </c>
      <c r="G821" s="3">
        <v>24.989222680177122</v>
      </c>
      <c r="H821" s="3">
        <v>20.682134226764624</v>
      </c>
      <c r="I821" s="3">
        <v>19.641130639330729</v>
      </c>
      <c r="J821" s="3">
        <v>25.215934785341009</v>
      </c>
      <c r="K821" s="3">
        <v>29.081087580177069</v>
      </c>
      <c r="L821" s="3">
        <v>32.729337627239147</v>
      </c>
      <c r="M821" s="3">
        <v>31.141767564463596</v>
      </c>
      <c r="N821" s="3">
        <v>35.462001718357996</v>
      </c>
      <c r="O821" s="3">
        <v>29.006098374633616</v>
      </c>
      <c r="P821" s="3">
        <v>34.258775568593386</v>
      </c>
      <c r="Q821" s="3">
        <v>31.931017335184265</v>
      </c>
      <c r="R821" s="3">
        <v>32.73950393456321</v>
      </c>
      <c r="S821" s="3">
        <v>32.814143985987954</v>
      </c>
      <c r="T821" s="3">
        <v>28.043237479938032</v>
      </c>
      <c r="U821" s="3">
        <v>23.505484341673739</v>
      </c>
      <c r="V821" s="3">
        <v>17.964562242941739</v>
      </c>
      <c r="W821" s="3">
        <v>17.411814602187327</v>
      </c>
      <c r="X821" s="3">
        <v>19.978973909782876</v>
      </c>
      <c r="Y821" s="3">
        <v>20.065754229541501</v>
      </c>
      <c r="Z821" s="3">
        <v>21.190051090644289</v>
      </c>
      <c r="AA821" s="3">
        <v>15.471245852296441</v>
      </c>
      <c r="AB821" s="3">
        <v>19.573404153555039</v>
      </c>
      <c r="AC821" s="3">
        <v>19.474195597605341</v>
      </c>
      <c r="AD821" s="3"/>
      <c r="AE821" t="s">
        <v>5979</v>
      </c>
      <c r="AF821" t="s">
        <v>392</v>
      </c>
    </row>
    <row r="822" spans="1:32" x14ac:dyDescent="0.3">
      <c r="A822" t="s">
        <v>1826</v>
      </c>
      <c r="B822" s="1" t="s">
        <v>1205</v>
      </c>
      <c r="C822" s="5" t="s">
        <v>2888</v>
      </c>
      <c r="D822" s="2" t="s">
        <v>4405</v>
      </c>
      <c r="E822" s="1" t="s">
        <v>1104</v>
      </c>
      <c r="F822" s="3">
        <v>38.425498277042934</v>
      </c>
      <c r="G822" s="3">
        <v>38.630532641902441</v>
      </c>
      <c r="H822" s="3">
        <v>43.612677653231763</v>
      </c>
      <c r="I822" s="3">
        <v>42.664713015011777</v>
      </c>
      <c r="J822" s="3">
        <v>49.484113692798942</v>
      </c>
      <c r="K822" s="3">
        <v>56.421541244422315</v>
      </c>
      <c r="L822" s="3">
        <v>56.551427133680441</v>
      </c>
      <c r="M822" s="3">
        <v>53.379525207079269</v>
      </c>
      <c r="N822" s="3">
        <v>53.623660854391041</v>
      </c>
      <c r="O822" s="3">
        <v>53.964944608328238</v>
      </c>
      <c r="P822" s="3">
        <v>55.126031093470033</v>
      </c>
      <c r="Q822" s="3">
        <v>52.747458834996806</v>
      </c>
      <c r="R822" s="3">
        <v>60.307468851214821</v>
      </c>
      <c r="S822" s="3">
        <v>57.9276510507419</v>
      </c>
      <c r="T822" s="3">
        <v>49.278294194991986</v>
      </c>
      <c r="U822" s="3">
        <v>48.316048242748835</v>
      </c>
      <c r="V822" s="3">
        <v>40.193968039957596</v>
      </c>
      <c r="W822" s="3">
        <v>40.879911971465496</v>
      </c>
      <c r="X822" s="3">
        <v>39.099506489461376</v>
      </c>
      <c r="Y822" s="3">
        <v>38.423133101328496</v>
      </c>
      <c r="Z822" s="3">
        <v>36.461657786355076</v>
      </c>
      <c r="AA822" s="3">
        <v>40.250218077333763</v>
      </c>
      <c r="AB822" s="3">
        <v>48.387807571341355</v>
      </c>
      <c r="AC822" s="3">
        <v>46.71302179088638</v>
      </c>
      <c r="AD822" s="3">
        <v>46.699492361593869</v>
      </c>
      <c r="AE822" t="s">
        <v>5980</v>
      </c>
      <c r="AF822" t="s">
        <v>1098</v>
      </c>
    </row>
    <row r="823" spans="1:32" x14ac:dyDescent="0.3">
      <c r="A823" t="s">
        <v>1826</v>
      </c>
      <c r="B823" s="1" t="s">
        <v>1205</v>
      </c>
      <c r="C823" s="5" t="s">
        <v>2889</v>
      </c>
      <c r="D823" s="2" t="s">
        <v>4406</v>
      </c>
      <c r="E823" s="1" t="s">
        <v>1068</v>
      </c>
      <c r="F823" s="3">
        <v>27.33363634833259</v>
      </c>
      <c r="G823" s="3">
        <v>28.813359594633269</v>
      </c>
      <c r="H823" s="3">
        <v>31.838459337070525</v>
      </c>
      <c r="I823" s="3">
        <v>34.003333164991687</v>
      </c>
      <c r="J823" s="3">
        <v>42.632526976752018</v>
      </c>
      <c r="K823" s="3">
        <v>47.357877548271986</v>
      </c>
      <c r="L823" s="3">
        <v>51.640489537565436</v>
      </c>
      <c r="M823" s="3">
        <v>53.325589616686052</v>
      </c>
      <c r="N823" s="3">
        <v>53.09159470060434</v>
      </c>
      <c r="O823" s="3">
        <v>51.864383953672387</v>
      </c>
      <c r="P823" s="3">
        <v>60.01212059996972</v>
      </c>
      <c r="Q823" s="3">
        <v>73.311112233388883</v>
      </c>
      <c r="R823" s="3">
        <v>82.302240627577731</v>
      </c>
      <c r="S823" s="3">
        <v>89.242967526892599</v>
      </c>
      <c r="T823" s="3">
        <v>91.975152770062138</v>
      </c>
      <c r="U823" s="3">
        <v>95.501910677911923</v>
      </c>
      <c r="V823" s="3">
        <v>106.22864165109509</v>
      </c>
      <c r="W823" s="3">
        <v>104.34994865579182</v>
      </c>
      <c r="X823" s="3">
        <v>91.685605104119318</v>
      </c>
      <c r="Y823" s="3">
        <v>102.22210999444474</v>
      </c>
      <c r="Z823" s="3">
        <v>103.19680824200796</v>
      </c>
      <c r="AA823" s="3">
        <v>107.18482231537129</v>
      </c>
      <c r="AB823" s="3">
        <v>110.32776122418059</v>
      </c>
      <c r="AC823" s="3">
        <v>112.74346413480805</v>
      </c>
      <c r="AD823" s="3"/>
      <c r="AE823" t="s">
        <v>5981</v>
      </c>
      <c r="AF823" t="s">
        <v>691</v>
      </c>
    </row>
    <row r="824" spans="1:32" x14ac:dyDescent="0.3">
      <c r="A824" t="s">
        <v>1826</v>
      </c>
      <c r="B824" s="1" t="s">
        <v>1205</v>
      </c>
      <c r="C824" s="5" t="s">
        <v>2890</v>
      </c>
      <c r="D824" s="2" t="s">
        <v>4407</v>
      </c>
      <c r="E824" s="1" t="s">
        <v>1650</v>
      </c>
      <c r="F824" s="3">
        <v>7.5640000000000001</v>
      </c>
      <c r="G824" s="3">
        <v>7.6519000000000004</v>
      </c>
      <c r="H824" s="3">
        <v>7.8315999999999999</v>
      </c>
      <c r="I824" s="3">
        <v>7.9602000000000004</v>
      </c>
      <c r="J824" s="3">
        <v>8.4727999999999994</v>
      </c>
      <c r="K824" s="3">
        <v>8.7535000000000007</v>
      </c>
      <c r="L824" s="3">
        <v>9.0078999999999994</v>
      </c>
      <c r="M824" s="3">
        <v>9.1080000000000005</v>
      </c>
      <c r="N824" s="3">
        <v>9.0940999999999992</v>
      </c>
      <c r="O824" s="3">
        <v>9.0212000000000003</v>
      </c>
      <c r="P824" s="3">
        <v>9.5052000000000003</v>
      </c>
      <c r="Q824" s="3">
        <v>10.295199999999999</v>
      </c>
      <c r="R824" s="3">
        <v>10.8293</v>
      </c>
      <c r="S824" s="3">
        <v>11.2416</v>
      </c>
      <c r="T824" s="3">
        <v>11.4039</v>
      </c>
      <c r="U824" s="3">
        <v>11.6134</v>
      </c>
      <c r="V824" s="3">
        <v>12.2506</v>
      </c>
      <c r="W824" s="3">
        <v>12.138999999999999</v>
      </c>
      <c r="X824" s="3">
        <v>11.386699999999999</v>
      </c>
      <c r="Y824" s="3">
        <v>12.012600000000001</v>
      </c>
      <c r="Z824" s="3">
        <v>12.070499999999999</v>
      </c>
      <c r="AA824" s="3">
        <v>12.307399999999999</v>
      </c>
      <c r="AB824" s="3">
        <v>12.4941</v>
      </c>
      <c r="AC824" s="3">
        <v>12.637600000000001</v>
      </c>
      <c r="AD824" s="3"/>
      <c r="AE824" t="s">
        <v>5982</v>
      </c>
      <c r="AF824" t="s">
        <v>691</v>
      </c>
    </row>
    <row r="825" spans="1:32" x14ac:dyDescent="0.3">
      <c r="A825" t="s">
        <v>1826</v>
      </c>
      <c r="B825" s="1" t="s">
        <v>1205</v>
      </c>
      <c r="C825" s="5" t="s">
        <v>2891</v>
      </c>
      <c r="D825" s="2" t="s">
        <v>4408</v>
      </c>
      <c r="E825" s="1" t="s">
        <v>1801</v>
      </c>
      <c r="F825" s="3">
        <v>2.2155999999999998</v>
      </c>
      <c r="G825" s="3">
        <v>2.2553000000000001</v>
      </c>
      <c r="H825" s="3">
        <v>2.2951000000000001</v>
      </c>
      <c r="I825" s="3">
        <v>2.3325</v>
      </c>
      <c r="J825" s="3">
        <v>2.3736999999999999</v>
      </c>
      <c r="K825" s="3">
        <v>2.4291</v>
      </c>
      <c r="L825" s="3">
        <v>2.4870999999999999</v>
      </c>
      <c r="M825" s="3">
        <v>2.5160999999999998</v>
      </c>
      <c r="N825" s="3">
        <v>2.5747</v>
      </c>
      <c r="O825" s="3">
        <v>2.6343000000000001</v>
      </c>
      <c r="P825" s="3">
        <v>2.6802000000000001</v>
      </c>
      <c r="Q825" s="3">
        <v>2.6505999999999998</v>
      </c>
      <c r="R825" s="3">
        <v>2.9398</v>
      </c>
      <c r="S825" s="3">
        <v>3.0693999999999999</v>
      </c>
      <c r="T825" s="3">
        <v>3.1150000000000002</v>
      </c>
      <c r="U825" s="3">
        <v>3.1610999999999998</v>
      </c>
      <c r="V825" s="3">
        <v>3.2425000000000002</v>
      </c>
      <c r="W825" s="3">
        <v>3.3904000000000001</v>
      </c>
      <c r="X825" s="3">
        <v>3.4552</v>
      </c>
      <c r="Y825" s="3">
        <v>3.4916999999999998</v>
      </c>
      <c r="Z825" s="3">
        <v>3.4468999999999999</v>
      </c>
      <c r="AA825" s="3">
        <v>3.5994999999999999</v>
      </c>
      <c r="AB825" s="3">
        <v>3.6699000000000002</v>
      </c>
      <c r="AC825" s="3">
        <v>3.7584</v>
      </c>
      <c r="AD825" s="3"/>
      <c r="AE825" t="s">
        <v>5983</v>
      </c>
      <c r="AF825" t="s">
        <v>691</v>
      </c>
    </row>
    <row r="826" spans="1:32" x14ac:dyDescent="0.3">
      <c r="A826" t="s">
        <v>1826</v>
      </c>
      <c r="B826" s="1" t="s">
        <v>1205</v>
      </c>
      <c r="C826" s="5" t="s">
        <v>2892</v>
      </c>
      <c r="D826" s="2" t="s">
        <v>4409</v>
      </c>
      <c r="E826" s="1" t="s">
        <v>258</v>
      </c>
      <c r="F826" s="3">
        <v>0.876</v>
      </c>
      <c r="G826" s="3">
        <v>0.88029999999999997</v>
      </c>
      <c r="H826" s="3">
        <v>0.8982</v>
      </c>
      <c r="I826" s="3">
        <v>0.91549999999999998</v>
      </c>
      <c r="J826" s="3">
        <v>1.2404999999999999</v>
      </c>
      <c r="K826" s="3">
        <v>1.2719</v>
      </c>
      <c r="L826" s="3">
        <v>1.3048999999999999</v>
      </c>
      <c r="M826" s="3">
        <v>1.3373999999999999</v>
      </c>
      <c r="N826" s="3">
        <v>1.3177000000000001</v>
      </c>
      <c r="O826" s="3">
        <v>1.2383999999999999</v>
      </c>
      <c r="P826" s="3">
        <v>1.3839999999999999</v>
      </c>
      <c r="Q826" s="3">
        <v>1.6224000000000001</v>
      </c>
      <c r="R826" s="3">
        <v>1.6706000000000001</v>
      </c>
      <c r="S826" s="3">
        <v>1.7157</v>
      </c>
      <c r="T826" s="3">
        <v>1.7613000000000001</v>
      </c>
      <c r="U826" s="3">
        <v>1.3736999999999999</v>
      </c>
      <c r="V826" s="3">
        <v>1.3571</v>
      </c>
      <c r="W826" s="3">
        <v>1.4227000000000001</v>
      </c>
      <c r="X826" s="3">
        <v>1.2673000000000001</v>
      </c>
      <c r="Y826" s="3">
        <v>1.3653999999999999</v>
      </c>
      <c r="Z826" s="3">
        <v>1.4063000000000001</v>
      </c>
      <c r="AA826" s="3">
        <v>1.4274</v>
      </c>
      <c r="AB826" s="3">
        <v>1.4325000000000001</v>
      </c>
      <c r="AC826" s="3">
        <v>1.4322999999999999</v>
      </c>
      <c r="AD826" s="3"/>
      <c r="AE826" t="s">
        <v>5984</v>
      </c>
      <c r="AF826" t="s">
        <v>691</v>
      </c>
    </row>
    <row r="827" spans="1:32" x14ac:dyDescent="0.3">
      <c r="A827" t="s">
        <v>1826</v>
      </c>
      <c r="B827" s="1" t="s">
        <v>1205</v>
      </c>
      <c r="C827" s="5" t="s">
        <v>2893</v>
      </c>
      <c r="D827" s="2" t="s">
        <v>4410</v>
      </c>
      <c r="E827" s="1" t="s">
        <v>82</v>
      </c>
      <c r="F827" s="3">
        <v>2.7073999999999998</v>
      </c>
      <c r="G827" s="3">
        <v>2.722</v>
      </c>
      <c r="H827" s="3">
        <v>2.8203</v>
      </c>
      <c r="I827" s="3">
        <v>2.8711000000000002</v>
      </c>
      <c r="J827" s="3">
        <v>2.9941</v>
      </c>
      <c r="K827" s="3">
        <v>3.1549</v>
      </c>
      <c r="L827" s="3">
        <v>3.2568000000000001</v>
      </c>
      <c r="M827" s="3">
        <v>3.5427</v>
      </c>
      <c r="N827" s="3">
        <v>3.5878999999999999</v>
      </c>
      <c r="O827" s="3">
        <v>3.4632999999999998</v>
      </c>
      <c r="P827" s="3">
        <v>3.6972</v>
      </c>
      <c r="Q827" s="3">
        <v>4.2426000000000004</v>
      </c>
      <c r="R827" s="3">
        <v>4.3627000000000002</v>
      </c>
      <c r="S827" s="3">
        <v>4.5274999999999999</v>
      </c>
      <c r="T827" s="3">
        <v>4.5121000000000002</v>
      </c>
      <c r="U827" s="3">
        <v>4.9706000000000001</v>
      </c>
      <c r="V827" s="3">
        <v>5.4576000000000002</v>
      </c>
      <c r="W827" s="3">
        <v>5.0561999999999996</v>
      </c>
      <c r="X827" s="3">
        <v>4.3079000000000001</v>
      </c>
      <c r="Y827" s="3">
        <v>4.7202000000000002</v>
      </c>
      <c r="Z827" s="3">
        <v>4.7027999999999999</v>
      </c>
      <c r="AA827" s="3">
        <v>4.6807999999999996</v>
      </c>
      <c r="AB827" s="3">
        <v>4.7077</v>
      </c>
      <c r="AC827" s="3">
        <v>4.6816000000000004</v>
      </c>
      <c r="AD827" s="3"/>
      <c r="AE827" t="s">
        <v>5985</v>
      </c>
      <c r="AF827" t="s">
        <v>691</v>
      </c>
    </row>
    <row r="828" spans="1:32" ht="28.8" x14ac:dyDescent="0.3">
      <c r="A828" t="s">
        <v>1826</v>
      </c>
      <c r="B828" s="1" t="s">
        <v>1205</v>
      </c>
      <c r="C828" s="5" t="s">
        <v>2894</v>
      </c>
      <c r="D828" s="2" t="s">
        <v>4411</v>
      </c>
      <c r="E828" s="1" t="s">
        <v>1361</v>
      </c>
      <c r="F828" s="3">
        <v>8.0000000000000004E-4</v>
      </c>
      <c r="G828" s="3">
        <v>8.0000000000000004E-4</v>
      </c>
      <c r="H828" s="3">
        <v>6.9999999999999999E-4</v>
      </c>
      <c r="I828" s="3">
        <v>5.9999999999999995E-4</v>
      </c>
      <c r="J828" s="3">
        <v>5.9999999999999995E-4</v>
      </c>
      <c r="K828" s="3">
        <v>4.0000000000000002E-4</v>
      </c>
      <c r="L828" s="3">
        <v>5.9999999999999995E-4</v>
      </c>
      <c r="M828" s="3">
        <v>4.0000000000000002E-4</v>
      </c>
      <c r="N828" s="3">
        <v>5.9999999999999995E-4</v>
      </c>
      <c r="O828" s="3">
        <v>8.0000000000000004E-4</v>
      </c>
      <c r="P828" s="3">
        <v>8.0000000000000004E-4</v>
      </c>
      <c r="Q828" s="3">
        <v>6.9999999999999999E-4</v>
      </c>
      <c r="R828" s="3">
        <v>8.9999999999999998E-4</v>
      </c>
      <c r="S828" s="3">
        <v>1E-3</v>
      </c>
      <c r="T828" s="3">
        <v>1.1000000000000001E-3</v>
      </c>
      <c r="U828" s="3">
        <v>1.1999999999999999E-3</v>
      </c>
      <c r="V828" s="3">
        <v>8.9999999999999998E-4</v>
      </c>
      <c r="W828" s="3">
        <v>1.1999999999999999E-3</v>
      </c>
      <c r="X828" s="3">
        <v>1.1000000000000001E-3</v>
      </c>
      <c r="Y828" s="3">
        <v>1.5E-3</v>
      </c>
      <c r="Z828" s="3">
        <v>1.5E-3</v>
      </c>
      <c r="AA828" s="3">
        <v>1.6999999999999999E-3</v>
      </c>
      <c r="AB828" s="3">
        <v>1.6999999999999999E-3</v>
      </c>
      <c r="AC828" s="3">
        <v>1.6999999999999999E-3</v>
      </c>
      <c r="AD828" s="3"/>
      <c r="AE828" t="s">
        <v>5986</v>
      </c>
      <c r="AF828" t="s">
        <v>691</v>
      </c>
    </row>
    <row r="829" spans="1:32" x14ac:dyDescent="0.3">
      <c r="A829" t="s">
        <v>1826</v>
      </c>
      <c r="B829" s="1" t="s">
        <v>1205</v>
      </c>
      <c r="C829" s="5" t="s">
        <v>2895</v>
      </c>
      <c r="D829" s="2" t="s">
        <v>4412</v>
      </c>
      <c r="E829" s="1" t="s">
        <v>15</v>
      </c>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t="s">
        <v>5987</v>
      </c>
      <c r="AF829" t="s">
        <v>691</v>
      </c>
    </row>
    <row r="830" spans="1:32" x14ac:dyDescent="0.3">
      <c r="A830" t="s">
        <v>1826</v>
      </c>
      <c r="B830" s="1" t="s">
        <v>1205</v>
      </c>
      <c r="C830" s="5" t="s">
        <v>2896</v>
      </c>
      <c r="D830" s="2" t="s">
        <v>4413</v>
      </c>
      <c r="E830" s="1" t="s">
        <v>918</v>
      </c>
      <c r="F830" s="3">
        <v>3.5999999999999999E-3</v>
      </c>
      <c r="G830" s="3">
        <v>3.8E-3</v>
      </c>
      <c r="H830" s="3">
        <v>4.3E-3</v>
      </c>
      <c r="I830" s="3">
        <v>3.8E-3</v>
      </c>
      <c r="J830" s="3">
        <v>5.1000000000000004E-3</v>
      </c>
      <c r="K830" s="3">
        <v>6.3E-3</v>
      </c>
      <c r="L830" s="3">
        <v>5.4999999999999997E-3</v>
      </c>
      <c r="M830" s="3">
        <v>5.7999999999999996E-3</v>
      </c>
      <c r="N830" s="3">
        <v>6.4000000000000003E-3</v>
      </c>
      <c r="O830" s="3">
        <v>5.5999999999999999E-3</v>
      </c>
      <c r="P830" s="3">
        <v>6.4000000000000003E-3</v>
      </c>
      <c r="Q830" s="3">
        <v>6.1999999999999998E-3</v>
      </c>
      <c r="R830" s="3">
        <v>7.1000000000000004E-3</v>
      </c>
      <c r="S830" s="3">
        <v>7.4000000000000003E-3</v>
      </c>
      <c r="T830" s="3">
        <v>7.7000000000000002E-3</v>
      </c>
      <c r="U830" s="3">
        <v>8.2000000000000007E-3</v>
      </c>
      <c r="V830" s="3">
        <v>8.2000000000000007E-3</v>
      </c>
      <c r="W830" s="3">
        <v>8.8000000000000005E-3</v>
      </c>
      <c r="X830" s="3">
        <v>1.03E-2</v>
      </c>
      <c r="Y830" s="3">
        <v>9.5999999999999992E-3</v>
      </c>
      <c r="Z830" s="3">
        <v>1.03E-2</v>
      </c>
      <c r="AA830" s="3">
        <v>1.0999999999999999E-2</v>
      </c>
      <c r="AB830" s="3">
        <v>1.0800000000000001E-2</v>
      </c>
      <c r="AC830" s="3">
        <v>1.0500000000000001E-2</v>
      </c>
      <c r="AD830" s="3"/>
      <c r="AE830" t="s">
        <v>5988</v>
      </c>
      <c r="AF830" t="s">
        <v>691</v>
      </c>
    </row>
    <row r="831" spans="1:32" x14ac:dyDescent="0.3">
      <c r="A831" t="s">
        <v>1826</v>
      </c>
      <c r="B831" s="1" t="s">
        <v>1205</v>
      </c>
      <c r="C831" s="5" t="s">
        <v>2897</v>
      </c>
      <c r="D831" s="2" t="s">
        <v>4414</v>
      </c>
      <c r="E831" s="1" t="s">
        <v>481</v>
      </c>
      <c r="F831" s="3">
        <v>5.7999999999999996E-3</v>
      </c>
      <c r="G831" s="3">
        <v>5.7000000000000002E-3</v>
      </c>
      <c r="H831" s="3">
        <v>7.9000000000000008E-3</v>
      </c>
      <c r="I831" s="3">
        <v>4.7000000000000002E-3</v>
      </c>
      <c r="J831" s="3">
        <v>5.0000000000000001E-3</v>
      </c>
      <c r="K831" s="3">
        <v>5.7999999999999996E-3</v>
      </c>
      <c r="L831" s="3">
        <v>7.0000000000000001E-3</v>
      </c>
      <c r="M831" s="3">
        <v>6.6E-3</v>
      </c>
      <c r="N831" s="3">
        <v>7.7000000000000002E-3</v>
      </c>
      <c r="O831" s="3">
        <v>8.2000000000000007E-3</v>
      </c>
      <c r="P831" s="3">
        <v>7.0000000000000001E-3</v>
      </c>
      <c r="Q831" s="3">
        <v>8.0999999999999996E-3</v>
      </c>
      <c r="R831" s="3">
        <v>1.2800000000000001E-2</v>
      </c>
      <c r="S831" s="3">
        <v>1.4200000000000001E-2</v>
      </c>
      <c r="T831" s="3">
        <v>1.54E-2</v>
      </c>
      <c r="U831" s="3">
        <v>1.78E-2</v>
      </c>
      <c r="V831" s="3">
        <v>2.6100000000000002E-2</v>
      </c>
      <c r="W831" s="3">
        <v>2.1899999999999999E-2</v>
      </c>
      <c r="X831" s="3">
        <v>2.47E-2</v>
      </c>
      <c r="Y831" s="3">
        <v>2.7E-2</v>
      </c>
      <c r="Z831" s="3">
        <v>2.7699999999999999E-2</v>
      </c>
      <c r="AA831" s="3">
        <v>3.3399999999999999E-2</v>
      </c>
      <c r="AB831" s="3">
        <v>3.5000000000000003E-2</v>
      </c>
      <c r="AC831" s="3">
        <v>3.39E-2</v>
      </c>
      <c r="AD831" s="3"/>
      <c r="AE831" t="s">
        <v>5989</v>
      </c>
      <c r="AF831" t="s">
        <v>691</v>
      </c>
    </row>
    <row r="832" spans="1:32" x14ac:dyDescent="0.3">
      <c r="A832" t="s">
        <v>1826</v>
      </c>
      <c r="B832" s="1" t="s">
        <v>1205</v>
      </c>
      <c r="C832" s="5" t="s">
        <v>2898</v>
      </c>
      <c r="D832" s="2" t="s">
        <v>4415</v>
      </c>
      <c r="E832" s="1" t="s">
        <v>1074</v>
      </c>
      <c r="F832" s="3">
        <v>1.7546999999999999</v>
      </c>
      <c r="G832" s="3">
        <v>1.784</v>
      </c>
      <c r="H832" s="3">
        <v>1.8050999999999999</v>
      </c>
      <c r="I832" s="3">
        <v>1.8319000000000001</v>
      </c>
      <c r="J832" s="3">
        <v>1.8539000000000001</v>
      </c>
      <c r="K832" s="3">
        <v>1.8851</v>
      </c>
      <c r="L832" s="3">
        <v>1.946</v>
      </c>
      <c r="M832" s="3">
        <v>1.6991000000000001</v>
      </c>
      <c r="N832" s="3">
        <v>1.599</v>
      </c>
      <c r="O832" s="3">
        <v>1.6707000000000001</v>
      </c>
      <c r="P832" s="3">
        <v>1.7296</v>
      </c>
      <c r="Q832" s="3">
        <v>1.7645</v>
      </c>
      <c r="R832" s="3">
        <v>1.8353999999999999</v>
      </c>
      <c r="S832" s="3">
        <v>1.9064000000000001</v>
      </c>
      <c r="T832" s="3">
        <v>1.9914000000000001</v>
      </c>
      <c r="U832" s="3">
        <v>2.0809000000000002</v>
      </c>
      <c r="V832" s="3">
        <v>2.1581999999999999</v>
      </c>
      <c r="W832" s="3">
        <v>2.2378</v>
      </c>
      <c r="X832" s="3">
        <v>2.3201000000000001</v>
      </c>
      <c r="Y832" s="3">
        <v>2.3971</v>
      </c>
      <c r="Z832" s="3">
        <v>2.4750000000000001</v>
      </c>
      <c r="AA832" s="3">
        <v>2.5535000000000001</v>
      </c>
      <c r="AB832" s="3">
        <v>2.6366000000000001</v>
      </c>
      <c r="AC832" s="3">
        <v>2.7191000000000001</v>
      </c>
      <c r="AD832" s="3"/>
      <c r="AE832" t="s">
        <v>5990</v>
      </c>
      <c r="AF832" t="s">
        <v>691</v>
      </c>
    </row>
    <row r="833" spans="1:32" x14ac:dyDescent="0.3">
      <c r="A833" t="s">
        <v>1826</v>
      </c>
      <c r="B833" s="1" t="s">
        <v>1205</v>
      </c>
      <c r="C833" s="5" t="s">
        <v>2899</v>
      </c>
      <c r="D833" s="2" t="s">
        <v>4416</v>
      </c>
      <c r="E833" s="1" t="s">
        <v>1412</v>
      </c>
      <c r="F833" s="3"/>
      <c r="G833" s="3"/>
      <c r="H833" s="3"/>
      <c r="I833" s="3">
        <v>1.0067518242091</v>
      </c>
      <c r="J833" s="3">
        <v>1.0960734430421499</v>
      </c>
      <c r="K833" s="3">
        <v>1.0580653075156801</v>
      </c>
      <c r="L833" s="3">
        <v>1.0865795610187501</v>
      </c>
      <c r="M833" s="3">
        <v>1.1508330294867</v>
      </c>
      <c r="N833" s="3">
        <v>1.1017046812578999</v>
      </c>
      <c r="O833" s="3">
        <v>1.2517357257755501</v>
      </c>
      <c r="P833" s="3">
        <v>1.1271051005622101</v>
      </c>
      <c r="Q833" s="3">
        <v>1.00705786228658</v>
      </c>
      <c r="R833" s="3">
        <v>1.10066387533087</v>
      </c>
      <c r="S833" s="3">
        <v>0.99501911992289704</v>
      </c>
      <c r="T833" s="3">
        <v>1.06778466016063</v>
      </c>
      <c r="U833" s="3">
        <v>1.2439272469509302</v>
      </c>
      <c r="V833" s="3">
        <v>1.25737962390348</v>
      </c>
      <c r="W833" s="3">
        <v>0.98319780230418896</v>
      </c>
      <c r="X833" s="3">
        <v>1.0483682308376501</v>
      </c>
      <c r="Y833" s="3">
        <v>0.91561264090943095</v>
      </c>
      <c r="Z833" s="3">
        <v>0.98948262660796904</v>
      </c>
      <c r="AA833" s="3">
        <v>0.91063311297316496</v>
      </c>
      <c r="AB833" s="3">
        <v>0.88888634617464002</v>
      </c>
      <c r="AC833" s="3">
        <v>0.88613869487496699</v>
      </c>
      <c r="AD833" s="3"/>
      <c r="AE833" t="s">
        <v>5991</v>
      </c>
      <c r="AF833" t="s">
        <v>1120</v>
      </c>
    </row>
    <row r="834" spans="1:32" x14ac:dyDescent="0.3">
      <c r="A834" t="s">
        <v>1826</v>
      </c>
      <c r="B834" s="1" t="s">
        <v>1205</v>
      </c>
      <c r="C834" s="5" t="s">
        <v>2900</v>
      </c>
      <c r="D834" s="2" t="s">
        <v>4417</v>
      </c>
      <c r="E834" s="1" t="s">
        <v>1684</v>
      </c>
      <c r="F834" s="3"/>
      <c r="G834" s="3"/>
      <c r="H834" s="3"/>
      <c r="I834" s="3">
        <v>7.9430257923777798</v>
      </c>
      <c r="J834" s="3">
        <v>8.1139007960808289</v>
      </c>
      <c r="K834" s="3">
        <v>7.781779535927261</v>
      </c>
      <c r="L834" s="3">
        <v>7.5137052563689108</v>
      </c>
      <c r="M834" s="3">
        <v>7.7538369244613294</v>
      </c>
      <c r="N834" s="3">
        <v>7.55130959455136</v>
      </c>
      <c r="O834" s="3">
        <v>8.7009124407790797</v>
      </c>
      <c r="P834" s="3">
        <v>7.7915516961532205</v>
      </c>
      <c r="Q834" s="3">
        <v>7.6308834178131804</v>
      </c>
      <c r="R834" s="3">
        <v>6.8185672644450497</v>
      </c>
      <c r="S834" s="3">
        <v>6.2747814272211695</v>
      </c>
      <c r="T834" s="3">
        <v>7.0184912854030497</v>
      </c>
      <c r="U834" s="3">
        <v>7.5376286353467599</v>
      </c>
      <c r="V834" s="3">
        <v>7.0864099615338905</v>
      </c>
      <c r="W834" s="3">
        <v>5.33371364410156</v>
      </c>
      <c r="X834" s="3">
        <v>5.9178389362857606</v>
      </c>
      <c r="Y834" s="3">
        <v>5.1614785352705299</v>
      </c>
      <c r="Z834" s="3">
        <v>4.7282667532748697</v>
      </c>
      <c r="AA834" s="3">
        <v>4.2837418854762097</v>
      </c>
      <c r="AB834" s="3">
        <v>3.9179417150305698</v>
      </c>
      <c r="AC834" s="3">
        <v>3.9706748807707402</v>
      </c>
      <c r="AD834" s="3"/>
      <c r="AE834" t="s">
        <v>5991</v>
      </c>
      <c r="AF834" t="s">
        <v>1293</v>
      </c>
    </row>
    <row r="835" spans="1:32" x14ac:dyDescent="0.3">
      <c r="A835" t="s">
        <v>1826</v>
      </c>
      <c r="B835" s="1" t="s">
        <v>1205</v>
      </c>
      <c r="C835" s="5" t="s">
        <v>2901</v>
      </c>
      <c r="D835" s="2" t="s">
        <v>4418</v>
      </c>
      <c r="E835" s="1" t="s">
        <v>429</v>
      </c>
      <c r="F835" s="3"/>
      <c r="G835" s="3"/>
      <c r="H835" s="3"/>
      <c r="I835" s="3">
        <v>123800000000</v>
      </c>
      <c r="J835" s="3">
        <v>132500000000</v>
      </c>
      <c r="K835" s="3">
        <v>131800000000</v>
      </c>
      <c r="L835" s="3">
        <v>139800000000</v>
      </c>
      <c r="M835" s="3">
        <v>155100000000</v>
      </c>
      <c r="N835" s="3">
        <v>165200000000</v>
      </c>
      <c r="O835" s="3">
        <v>198346000000</v>
      </c>
      <c r="P835" s="3">
        <v>192015000000</v>
      </c>
      <c r="Q835" s="3">
        <v>168612000000</v>
      </c>
      <c r="R835" s="3">
        <v>208089035776.33401</v>
      </c>
      <c r="S835" s="3">
        <v>212439000000</v>
      </c>
      <c r="T835" s="3">
        <v>257719000000</v>
      </c>
      <c r="U835" s="3">
        <v>336932000000</v>
      </c>
      <c r="V835" s="3">
        <v>357396000000</v>
      </c>
      <c r="W835" s="3">
        <v>294517000000</v>
      </c>
      <c r="X835" s="3">
        <v>337808000000</v>
      </c>
      <c r="Y835" s="3">
        <v>314045000000</v>
      </c>
      <c r="Z835" s="3">
        <v>349400000000</v>
      </c>
      <c r="AA835" s="3">
        <v>353700000000</v>
      </c>
      <c r="AB835" s="3">
        <v>378720000000</v>
      </c>
      <c r="AC835" s="3">
        <v>413788000000</v>
      </c>
      <c r="AD835" s="3"/>
      <c r="AE835" t="s">
        <v>5991</v>
      </c>
      <c r="AF835" t="s">
        <v>1699</v>
      </c>
    </row>
    <row r="836" spans="1:32" x14ac:dyDescent="0.3">
      <c r="A836" t="s">
        <v>1826</v>
      </c>
      <c r="B836" s="1" t="s">
        <v>1205</v>
      </c>
      <c r="C836" s="5" t="s">
        <v>2902</v>
      </c>
      <c r="D836" s="2" t="s">
        <v>4419</v>
      </c>
      <c r="E836" s="1" t="s">
        <v>510</v>
      </c>
      <c r="F836" s="3"/>
      <c r="G836" s="3"/>
      <c r="H836" s="3"/>
      <c r="I836" s="3">
        <v>213007570.54370299</v>
      </c>
      <c r="J836" s="3">
        <v>250811588.441845</v>
      </c>
      <c r="K836" s="3">
        <v>249872978.07639498</v>
      </c>
      <c r="L836" s="3">
        <v>267360247.85327697</v>
      </c>
      <c r="M836" s="3">
        <v>323619193.47670501</v>
      </c>
      <c r="N836" s="3">
        <v>368910574.91542101</v>
      </c>
      <c r="O836" s="3">
        <v>420059044.52906299</v>
      </c>
      <c r="P836" s="3">
        <v>387692139.95400602</v>
      </c>
      <c r="Q836" s="3">
        <v>357330259.01421201</v>
      </c>
      <c r="R836" s="3">
        <v>407596534.12323701</v>
      </c>
      <c r="S836" s="3">
        <v>430003610.83648896</v>
      </c>
      <c r="T836" s="3">
        <v>521260529.25102997</v>
      </c>
      <c r="U836" s="3">
        <v>569671621.54453802</v>
      </c>
      <c r="V836" s="3">
        <v>602538731.23535407</v>
      </c>
      <c r="W836" s="3">
        <v>501578732.24564898</v>
      </c>
      <c r="X836" s="3">
        <v>607848217.88449407</v>
      </c>
      <c r="Y836" s="3">
        <v>535951382.18097496</v>
      </c>
      <c r="Z836" s="3">
        <v>607155889.96819997</v>
      </c>
      <c r="AA836" s="3">
        <v>637656912.81749904</v>
      </c>
      <c r="AB836" s="3">
        <v>607245699.55657005</v>
      </c>
      <c r="AC836" s="3">
        <v>681518423.60118306</v>
      </c>
      <c r="AD836" s="3"/>
      <c r="AE836" t="s">
        <v>5992</v>
      </c>
      <c r="AF836" t="s">
        <v>1293</v>
      </c>
    </row>
    <row r="837" spans="1:32" x14ac:dyDescent="0.3">
      <c r="A837" t="s">
        <v>1826</v>
      </c>
      <c r="B837" s="1" t="s">
        <v>1205</v>
      </c>
      <c r="C837" s="5" t="s">
        <v>2903</v>
      </c>
      <c r="D837" s="2" t="s">
        <v>4420</v>
      </c>
      <c r="E837" s="1" t="s">
        <v>1333</v>
      </c>
      <c r="F837" s="3">
        <v>0</v>
      </c>
      <c r="G837" s="3">
        <v>0</v>
      </c>
      <c r="H837" s="3">
        <v>0</v>
      </c>
      <c r="I837" s="3">
        <v>1.23903278170218E-2</v>
      </c>
      <c r="J837" s="3">
        <v>0</v>
      </c>
      <c r="K837" s="3">
        <v>0</v>
      </c>
      <c r="L837" s="3">
        <v>9.0762749907350102E-3</v>
      </c>
      <c r="M837" s="3">
        <v>0</v>
      </c>
      <c r="N837" s="3">
        <v>0.110068813260895</v>
      </c>
      <c r="O837" s="3">
        <v>0.240205141462773</v>
      </c>
      <c r="P837" s="3">
        <v>9.3749138174933896E-2</v>
      </c>
      <c r="Q837" s="3">
        <v>0.65451162036538402</v>
      </c>
      <c r="R837" s="3">
        <v>0.53027443734149204</v>
      </c>
      <c r="S837" s="3">
        <v>0.36897712349296602</v>
      </c>
      <c r="T837" s="3">
        <v>0.35142091117499202</v>
      </c>
      <c r="U837" s="3">
        <v>0.36155277736138303</v>
      </c>
      <c r="V837" s="3">
        <v>0.55988109966244304</v>
      </c>
      <c r="W837" s="3">
        <v>0.40084957119514703</v>
      </c>
      <c r="X837" s="3">
        <v>0.45534839349140299</v>
      </c>
      <c r="Y837" s="3">
        <v>0.57450024153804702</v>
      </c>
      <c r="Z837" s="3">
        <v>0.72435666244555397</v>
      </c>
      <c r="AA837" s="3">
        <v>2.5010769995236299</v>
      </c>
      <c r="AB837" s="3"/>
      <c r="AC837" s="3"/>
      <c r="AD837" s="3"/>
      <c r="AE837" t="s">
        <v>5993</v>
      </c>
      <c r="AF837" t="s">
        <v>937</v>
      </c>
    </row>
    <row r="838" spans="1:32" x14ac:dyDescent="0.3">
      <c r="A838" t="s">
        <v>1826</v>
      </c>
      <c r="B838" s="1" t="s">
        <v>1205</v>
      </c>
      <c r="C838" s="5" t="s">
        <v>2904</v>
      </c>
      <c r="D838" s="2" t="s">
        <v>4421</v>
      </c>
      <c r="E838" s="1" t="s">
        <v>1794</v>
      </c>
      <c r="F838" s="3">
        <v>472952</v>
      </c>
      <c r="G838" s="3">
        <v>728545</v>
      </c>
      <c r="H838" s="3">
        <v>1027060</v>
      </c>
      <c r="I838" s="3">
        <v>1280700</v>
      </c>
      <c r="J838" s="3">
        <v>1674330</v>
      </c>
      <c r="K838" s="3">
        <v>2349440</v>
      </c>
      <c r="L838" s="3">
        <v>4065420</v>
      </c>
      <c r="M838" s="3">
        <v>7467710</v>
      </c>
      <c r="N838" s="3">
        <v>10449000</v>
      </c>
      <c r="O838" s="3">
        <v>13184300</v>
      </c>
      <c r="P838" s="3">
        <v>15599000</v>
      </c>
      <c r="Q838" s="3">
        <v>17344200</v>
      </c>
      <c r="R838" s="3">
        <v>18099500</v>
      </c>
      <c r="S838" s="3">
        <v>19390900</v>
      </c>
      <c r="T838" s="3">
        <v>22104600</v>
      </c>
      <c r="U838" s="3">
        <v>25407600</v>
      </c>
      <c r="V838" s="3">
        <v>27451300</v>
      </c>
      <c r="W838" s="3">
        <v>31747200</v>
      </c>
      <c r="X838" s="3">
        <v>33807900</v>
      </c>
      <c r="Y838" s="3">
        <v>37376600</v>
      </c>
      <c r="Z838" s="3">
        <v>40095200</v>
      </c>
      <c r="AA838" s="3">
        <v>44561500</v>
      </c>
      <c r="AB838" s="3">
        <v>49006400</v>
      </c>
      <c r="AC838" s="3">
        <v>53601500</v>
      </c>
      <c r="AD838" s="3"/>
      <c r="AE838" t="s">
        <v>5994</v>
      </c>
      <c r="AF838" t="s">
        <v>1277</v>
      </c>
    </row>
    <row r="839" spans="1:32" x14ac:dyDescent="0.3">
      <c r="A839" t="s">
        <v>1826</v>
      </c>
      <c r="B839" s="1" t="s">
        <v>1205</v>
      </c>
      <c r="C839" s="5" t="s">
        <v>2905</v>
      </c>
      <c r="D839" s="2" t="s">
        <v>4422</v>
      </c>
      <c r="E839" s="1" t="s">
        <v>1001</v>
      </c>
      <c r="F839" s="3">
        <v>2.6722000000000001</v>
      </c>
      <c r="G839" s="3">
        <v>4.0076400000000003</v>
      </c>
      <c r="H839" s="3">
        <v>5.5056000000000003</v>
      </c>
      <c r="I839" s="3">
        <v>6.6962599999999997</v>
      </c>
      <c r="J839" s="3">
        <v>8.5446899999999992</v>
      </c>
      <c r="K839" s="3">
        <v>11.707100000000001</v>
      </c>
      <c r="L839" s="3">
        <v>19.786100000000001</v>
      </c>
      <c r="M839" s="3">
        <v>35.508800000000001</v>
      </c>
      <c r="N839" s="3">
        <v>48.567599999999999</v>
      </c>
      <c r="O839" s="3">
        <v>59.9343</v>
      </c>
      <c r="P839" s="3">
        <v>69.365899999999996</v>
      </c>
      <c r="Q839" s="3">
        <v>75.468800000000002</v>
      </c>
      <c r="R839" s="3">
        <v>77.127300000000005</v>
      </c>
      <c r="S839" s="3">
        <v>80.998699999999999</v>
      </c>
      <c r="T839" s="3">
        <v>90.122</v>
      </c>
      <c r="U839" s="3">
        <v>100.639</v>
      </c>
      <c r="V839" s="3">
        <v>105.625</v>
      </c>
      <c r="W839" s="3">
        <v>118.755</v>
      </c>
      <c r="X839" s="3">
        <v>123.098</v>
      </c>
      <c r="Y839" s="3">
        <v>132.57400000000001</v>
      </c>
      <c r="Z839" s="3">
        <v>138.66399999999999</v>
      </c>
      <c r="AA839" s="3">
        <v>150.34399999999999</v>
      </c>
      <c r="AB839" s="3">
        <v>161.232</v>
      </c>
      <c r="AC839" s="3">
        <v>171.989</v>
      </c>
      <c r="AD839" s="3"/>
      <c r="AE839" t="s">
        <v>5994</v>
      </c>
      <c r="AF839" t="s">
        <v>1621</v>
      </c>
    </row>
    <row r="840" spans="1:32" x14ac:dyDescent="0.3">
      <c r="A840" t="s">
        <v>1826</v>
      </c>
      <c r="B840" s="1" t="s">
        <v>1205</v>
      </c>
      <c r="C840" s="5" t="s">
        <v>2906</v>
      </c>
      <c r="D840" s="2" t="s">
        <v>4423</v>
      </c>
      <c r="E840" s="1" t="s">
        <v>1387</v>
      </c>
      <c r="F840" s="3">
        <v>9.7619748715727539</v>
      </c>
      <c r="G840" s="3">
        <v>9.444312816170557</v>
      </c>
      <c r="H840" s="3">
        <v>9.641545204666782</v>
      </c>
      <c r="I840" s="3">
        <v>9.0256564857585229</v>
      </c>
      <c r="J840" s="3">
        <v>9.4830301198371671</v>
      </c>
      <c r="K840" s="3">
        <v>8.8546354663954645</v>
      </c>
      <c r="L840" s="3">
        <v>10.149368807963977</v>
      </c>
      <c r="M840" s="3">
        <v>12.155208374595389</v>
      </c>
      <c r="N840" s="3">
        <v>12.032312209459402</v>
      </c>
      <c r="O840" s="3">
        <v>12.699282868800962</v>
      </c>
      <c r="P840" s="3">
        <v>13.087871959380495</v>
      </c>
      <c r="Q840" s="3">
        <v>13.168148828706006</v>
      </c>
      <c r="R840" s="3">
        <v>13.683455540714325</v>
      </c>
      <c r="S840" s="3">
        <v>14.317568604292195</v>
      </c>
      <c r="T840" s="3">
        <v>14.6906998099912</v>
      </c>
      <c r="U840" s="3">
        <v>16.74171162918006</v>
      </c>
      <c r="V840" s="3">
        <v>17.669430799874338</v>
      </c>
      <c r="W840" s="3">
        <v>19.250513481787554</v>
      </c>
      <c r="X840" s="3">
        <v>19.274827827380602</v>
      </c>
      <c r="Y840" s="3">
        <v>19.047672198888701</v>
      </c>
      <c r="Z840" s="3">
        <v>20.573802494308527</v>
      </c>
      <c r="AA840" s="3">
        <v>20.996303820512765</v>
      </c>
      <c r="AB840" s="3">
        <v>20.853947282039748</v>
      </c>
      <c r="AC840" s="3">
        <v>22.22337629885628</v>
      </c>
      <c r="AD840" s="3">
        <v>22.667994435526229</v>
      </c>
      <c r="AE840" t="s">
        <v>5995</v>
      </c>
      <c r="AF840" t="s">
        <v>1714</v>
      </c>
    </row>
    <row r="841" spans="1:32" x14ac:dyDescent="0.3">
      <c r="A841" t="s">
        <v>1826</v>
      </c>
      <c r="B841" s="1" t="s">
        <v>1205</v>
      </c>
      <c r="C841" s="5" t="s">
        <v>2907</v>
      </c>
      <c r="D841" s="2" t="s">
        <v>4424</v>
      </c>
      <c r="E841" s="1" t="s">
        <v>2003</v>
      </c>
      <c r="F841" s="3">
        <v>25.4</v>
      </c>
      <c r="G841" s="3">
        <v>25.3</v>
      </c>
      <c r="H841" s="3">
        <v>25.4</v>
      </c>
      <c r="I841" s="3">
        <v>25.9</v>
      </c>
      <c r="J841" s="3">
        <v>26.5</v>
      </c>
      <c r="K841" s="3">
        <v>26.3</v>
      </c>
      <c r="L841" s="3">
        <v>25.8</v>
      </c>
      <c r="M841" s="3">
        <v>25.4</v>
      </c>
      <c r="N841" s="3">
        <v>25.4</v>
      </c>
      <c r="O841" s="3">
        <v>25.5</v>
      </c>
      <c r="P841" s="3">
        <v>25.8</v>
      </c>
      <c r="Q841" s="3">
        <v>25.8</v>
      </c>
      <c r="R841" s="3">
        <v>24</v>
      </c>
      <c r="S841" s="3">
        <v>23.5</v>
      </c>
      <c r="T841" s="3">
        <v>23</v>
      </c>
      <c r="U841" s="3">
        <v>23.2</v>
      </c>
      <c r="V841" s="3">
        <v>23.4</v>
      </c>
      <c r="W841" s="3">
        <v>23.6</v>
      </c>
      <c r="X841" s="3">
        <v>23.9</v>
      </c>
      <c r="Y841" s="3">
        <v>24.1</v>
      </c>
      <c r="Z841" s="3"/>
      <c r="AA841" s="3"/>
      <c r="AB841" s="3"/>
      <c r="AC841" s="3"/>
      <c r="AD841" s="3"/>
      <c r="AE841" t="s">
        <v>5996</v>
      </c>
      <c r="AF841" t="s">
        <v>684</v>
      </c>
    </row>
    <row r="842" spans="1:32" x14ac:dyDescent="0.3">
      <c r="A842" t="s">
        <v>1826</v>
      </c>
      <c r="B842" s="1" t="s">
        <v>1205</v>
      </c>
      <c r="C842" s="5" t="s">
        <v>2908</v>
      </c>
      <c r="D842" s="2" t="s">
        <v>4425</v>
      </c>
      <c r="E842" s="1" t="s">
        <v>25</v>
      </c>
      <c r="F842" s="3">
        <v>21.8</v>
      </c>
      <c r="G842" s="3">
        <v>22.1</v>
      </c>
      <c r="H842" s="3">
        <v>21.8</v>
      </c>
      <c r="I842" s="3">
        <v>22.1</v>
      </c>
      <c r="J842" s="3">
        <v>21.2</v>
      </c>
      <c r="K842" s="3">
        <v>21.2</v>
      </c>
      <c r="L842" s="3">
        <v>21</v>
      </c>
      <c r="M842" s="3">
        <v>21.5</v>
      </c>
      <c r="N842" s="3">
        <v>22.3</v>
      </c>
      <c r="O842" s="3">
        <v>23.4</v>
      </c>
      <c r="P842" s="3">
        <v>24.6</v>
      </c>
      <c r="Q842" s="3">
        <v>25.1</v>
      </c>
      <c r="R842" s="3">
        <v>25.3</v>
      </c>
      <c r="S842" s="3">
        <v>25.1</v>
      </c>
      <c r="T842" s="3">
        <v>24.5</v>
      </c>
      <c r="U842" s="3">
        <v>24.1</v>
      </c>
      <c r="V842" s="3">
        <v>23.8</v>
      </c>
      <c r="W842" s="3">
        <v>23.6</v>
      </c>
      <c r="X842" s="3">
        <v>23.5</v>
      </c>
      <c r="Y842" s="3">
        <v>23.3</v>
      </c>
      <c r="Z842" s="3">
        <v>23.8</v>
      </c>
      <c r="AA842" s="3">
        <v>22.7</v>
      </c>
      <c r="AB842" s="3"/>
      <c r="AC842" s="3"/>
      <c r="AD842" s="3"/>
      <c r="AE842" t="s">
        <v>5997</v>
      </c>
      <c r="AF842" t="s">
        <v>53</v>
      </c>
    </row>
    <row r="843" spans="1:32" x14ac:dyDescent="0.3">
      <c r="A843" t="s">
        <v>1826</v>
      </c>
      <c r="B843" s="1" t="s">
        <v>1205</v>
      </c>
      <c r="C843" s="5" t="s">
        <v>2909</v>
      </c>
      <c r="D843" s="2" t="s">
        <v>4426</v>
      </c>
      <c r="E843" s="1" t="s">
        <v>1546</v>
      </c>
      <c r="F843" s="3">
        <v>16.2</v>
      </c>
      <c r="G843" s="3">
        <v>17</v>
      </c>
      <c r="H843" s="3">
        <v>16.600000000000001</v>
      </c>
      <c r="I843" s="3">
        <v>17.100000000000001</v>
      </c>
      <c r="J843" s="3">
        <v>16.8</v>
      </c>
      <c r="K843" s="3">
        <v>17</v>
      </c>
      <c r="L843" s="3">
        <v>17.399999999999999</v>
      </c>
      <c r="M843" s="3">
        <v>17.899999999999999</v>
      </c>
      <c r="N843" s="3">
        <v>18.399999999999999</v>
      </c>
      <c r="O843" s="3">
        <v>19.8</v>
      </c>
      <c r="P843" s="3">
        <v>21.4</v>
      </c>
      <c r="Q843" s="3">
        <v>21.8</v>
      </c>
      <c r="R843" s="3">
        <v>21.6</v>
      </c>
      <c r="S843" s="3">
        <v>21</v>
      </c>
      <c r="T843" s="3">
        <v>20.8</v>
      </c>
      <c r="U843" s="3">
        <v>20.7</v>
      </c>
      <c r="V843" s="3">
        <v>20.8</v>
      </c>
      <c r="W843" s="3">
        <v>20.8</v>
      </c>
      <c r="X843" s="3">
        <v>20.7</v>
      </c>
      <c r="Y843" s="3">
        <v>20.6</v>
      </c>
      <c r="Z843" s="3">
        <v>21.2</v>
      </c>
      <c r="AA843" s="3">
        <v>21.3</v>
      </c>
      <c r="AB843" s="3"/>
      <c r="AC843" s="3"/>
      <c r="AD843" s="3"/>
      <c r="AE843" t="s">
        <v>5997</v>
      </c>
      <c r="AF843" t="s">
        <v>53</v>
      </c>
    </row>
    <row r="844" spans="1:32" x14ac:dyDescent="0.3">
      <c r="A844" t="s">
        <v>1826</v>
      </c>
      <c r="B844" s="1" t="s">
        <v>1205</v>
      </c>
      <c r="C844" s="5" t="s">
        <v>2910</v>
      </c>
      <c r="D844" s="2" t="s">
        <v>4427</v>
      </c>
      <c r="E844" s="1" t="s">
        <v>262</v>
      </c>
      <c r="F844" s="3">
        <v>26.5</v>
      </c>
      <c r="G844" s="3">
        <v>26.5</v>
      </c>
      <c r="H844" s="3">
        <v>26.2</v>
      </c>
      <c r="I844" s="3">
        <v>26.3</v>
      </c>
      <c r="J844" s="3">
        <v>24.9</v>
      </c>
      <c r="K844" s="3">
        <v>24.7</v>
      </c>
      <c r="L844" s="3">
        <v>24</v>
      </c>
      <c r="M844" s="3">
        <v>24.6</v>
      </c>
      <c r="N844" s="3">
        <v>25.5</v>
      </c>
      <c r="O844" s="3">
        <v>26.4</v>
      </c>
      <c r="P844" s="3">
        <v>27.4</v>
      </c>
      <c r="Q844" s="3">
        <v>27.9</v>
      </c>
      <c r="R844" s="3">
        <v>28.5</v>
      </c>
      <c r="S844" s="3">
        <v>28.6</v>
      </c>
      <c r="T844" s="3">
        <v>27.8</v>
      </c>
      <c r="U844" s="3">
        <v>27</v>
      </c>
      <c r="V844" s="3">
        <v>26.4</v>
      </c>
      <c r="W844" s="3">
        <v>26.1</v>
      </c>
      <c r="X844" s="3">
        <v>25.8</v>
      </c>
      <c r="Y844" s="3">
        <v>25.6</v>
      </c>
      <c r="Z844" s="3">
        <v>26.1</v>
      </c>
      <c r="AA844" s="3">
        <v>23.9</v>
      </c>
      <c r="AB844" s="3"/>
      <c r="AC844" s="3"/>
      <c r="AD844" s="3"/>
      <c r="AE844" t="s">
        <v>5997</v>
      </c>
      <c r="AF844" t="s">
        <v>53</v>
      </c>
    </row>
    <row r="845" spans="1:32" ht="28.8" x14ac:dyDescent="0.3">
      <c r="A845" t="s">
        <v>1826</v>
      </c>
      <c r="B845" s="1" t="s">
        <v>1205</v>
      </c>
      <c r="C845" s="5" t="s">
        <v>2911</v>
      </c>
      <c r="D845" s="2" t="s">
        <v>4428</v>
      </c>
      <c r="E845" s="1" t="s">
        <v>430</v>
      </c>
      <c r="F845" s="3"/>
      <c r="G845" s="3"/>
      <c r="H845" s="3"/>
      <c r="I845" s="3"/>
      <c r="J845" s="3"/>
      <c r="K845" s="3"/>
      <c r="L845" s="3"/>
      <c r="M845" s="3"/>
      <c r="N845" s="3"/>
      <c r="O845" s="3"/>
      <c r="P845" s="3"/>
      <c r="Q845" s="3"/>
      <c r="R845" s="3"/>
      <c r="S845" s="3"/>
      <c r="T845" s="3"/>
      <c r="U845" s="3"/>
      <c r="V845" s="3"/>
      <c r="W845" s="3"/>
      <c r="X845" s="3"/>
      <c r="Y845" s="3">
        <v>186.5</v>
      </c>
      <c r="Z845" s="3"/>
      <c r="AA845" s="3"/>
      <c r="AB845" s="3"/>
      <c r="AC845" s="3"/>
      <c r="AD845" s="3"/>
      <c r="AE845" t="s">
        <v>5998</v>
      </c>
      <c r="AF845" t="s">
        <v>327</v>
      </c>
    </row>
    <row r="846" spans="1:32" ht="28.8" x14ac:dyDescent="0.3">
      <c r="A846" t="s">
        <v>1826</v>
      </c>
      <c r="B846" s="1" t="s">
        <v>1205</v>
      </c>
      <c r="C846" s="5" t="s">
        <v>2912</v>
      </c>
      <c r="D846" s="2" t="s">
        <v>4429</v>
      </c>
      <c r="E846" s="1" t="s">
        <v>1256</v>
      </c>
      <c r="F846" s="3"/>
      <c r="G846" s="3"/>
      <c r="H846" s="3"/>
      <c r="I846" s="3"/>
      <c r="J846" s="3"/>
      <c r="K846" s="3"/>
      <c r="L846" s="3"/>
      <c r="M846" s="3"/>
      <c r="N846" s="3"/>
      <c r="O846" s="3"/>
      <c r="P846" s="3"/>
      <c r="Q846" s="3"/>
      <c r="R846" s="3"/>
      <c r="S846" s="3"/>
      <c r="T846" s="3"/>
      <c r="U846" s="3"/>
      <c r="V846" s="3"/>
      <c r="W846" s="3"/>
      <c r="X846" s="3"/>
      <c r="Y846" s="3">
        <v>148.19999999999999</v>
      </c>
      <c r="Z846" s="3"/>
      <c r="AA846" s="3"/>
      <c r="AB846" s="3"/>
      <c r="AC846" s="3"/>
      <c r="AD846" s="3"/>
      <c r="AE846" t="s">
        <v>5998</v>
      </c>
      <c r="AF846" t="s">
        <v>327</v>
      </c>
    </row>
    <row r="847" spans="1:32" ht="28.8" x14ac:dyDescent="0.3">
      <c r="A847" t="s">
        <v>1826</v>
      </c>
      <c r="B847" s="1" t="s">
        <v>1205</v>
      </c>
      <c r="C847" s="5" t="s">
        <v>2913</v>
      </c>
      <c r="D847" s="2" t="s">
        <v>4430</v>
      </c>
      <c r="E847" s="1" t="s">
        <v>1447</v>
      </c>
      <c r="F847" s="3"/>
      <c r="G847" s="3"/>
      <c r="H847" s="3"/>
      <c r="I847" s="3"/>
      <c r="J847" s="3"/>
      <c r="K847" s="3"/>
      <c r="L847" s="3"/>
      <c r="M847" s="3"/>
      <c r="N847" s="3"/>
      <c r="O847" s="3"/>
      <c r="P847" s="3"/>
      <c r="Q847" s="3"/>
      <c r="R847" s="3"/>
      <c r="S847" s="3"/>
      <c r="T847" s="3"/>
      <c r="U847" s="3"/>
      <c r="V847" s="3"/>
      <c r="W847" s="3"/>
      <c r="X847" s="3"/>
      <c r="Y847" s="3">
        <v>222.1</v>
      </c>
      <c r="Z847" s="3"/>
      <c r="AA847" s="3"/>
      <c r="AB847" s="3"/>
      <c r="AC847" s="3"/>
      <c r="AD847" s="3"/>
      <c r="AE847" t="s">
        <v>5998</v>
      </c>
      <c r="AF847" t="s">
        <v>327</v>
      </c>
    </row>
    <row r="848" spans="1:32" x14ac:dyDescent="0.3">
      <c r="A848" t="s">
        <v>1826</v>
      </c>
      <c r="B848" s="1" t="s">
        <v>1205</v>
      </c>
      <c r="C848" s="5" t="s">
        <v>2914</v>
      </c>
      <c r="D848" s="2" t="s">
        <v>4431</v>
      </c>
      <c r="E848" s="1" t="s">
        <v>1912</v>
      </c>
      <c r="F848" s="3">
        <v>0.77</v>
      </c>
      <c r="G848" s="3">
        <v>0.76</v>
      </c>
      <c r="H848" s="3">
        <v>0.73</v>
      </c>
      <c r="I848" s="3">
        <v>0.72</v>
      </c>
      <c r="J848" s="3">
        <v>0.74</v>
      </c>
      <c r="K848" s="3">
        <v>0.84</v>
      </c>
      <c r="L848" s="3">
        <v>0.84</v>
      </c>
      <c r="M848" s="3">
        <v>0.74</v>
      </c>
      <c r="N848" s="3">
        <v>0.8</v>
      </c>
      <c r="O848" s="3">
        <v>0.82</v>
      </c>
      <c r="P848" s="3">
        <v>0.9</v>
      </c>
      <c r="Q848" s="3">
        <v>0.94</v>
      </c>
      <c r="R848" s="3">
        <v>1.18</v>
      </c>
      <c r="S848" s="3">
        <v>1.19</v>
      </c>
      <c r="T848" s="3">
        <v>1.05</v>
      </c>
      <c r="U848" s="3">
        <v>1.07</v>
      </c>
      <c r="V848" s="3">
        <v>1.07</v>
      </c>
      <c r="W848" s="3">
        <v>1.04</v>
      </c>
      <c r="X848" s="3">
        <v>1.05</v>
      </c>
      <c r="Y848" s="3">
        <v>1.03</v>
      </c>
      <c r="Z848" s="3">
        <v>0.97</v>
      </c>
      <c r="AA848" s="3">
        <v>0.97</v>
      </c>
      <c r="AB848" s="3"/>
      <c r="AC848" s="3"/>
      <c r="AD848" s="3"/>
      <c r="AE848" t="s">
        <v>5999</v>
      </c>
      <c r="AF848" t="s">
        <v>249</v>
      </c>
    </row>
    <row r="849" spans="1:32" ht="28.8" x14ac:dyDescent="0.3">
      <c r="A849" t="s">
        <v>1826</v>
      </c>
      <c r="B849" s="1" t="s">
        <v>1205</v>
      </c>
      <c r="C849" s="5" t="s">
        <v>2915</v>
      </c>
      <c r="D849" s="2" t="s">
        <v>4432</v>
      </c>
      <c r="E849" s="1" t="s">
        <v>214</v>
      </c>
      <c r="F849" s="3">
        <v>0.43</v>
      </c>
      <c r="G849" s="3">
        <v>0.44</v>
      </c>
      <c r="H849" s="3">
        <v>0.4</v>
      </c>
      <c r="I849" s="3">
        <v>0.41</v>
      </c>
      <c r="J849" s="3">
        <v>0.48</v>
      </c>
      <c r="K849" s="3">
        <v>0.56999999999999995</v>
      </c>
      <c r="L849" s="3">
        <v>0.55000000000000004</v>
      </c>
      <c r="M849" s="3">
        <v>0.45</v>
      </c>
      <c r="N849" s="3">
        <v>0.48</v>
      </c>
      <c r="O849" s="3">
        <v>0.48</v>
      </c>
      <c r="P849" s="3">
        <v>0.56000000000000005</v>
      </c>
      <c r="Q849" s="3">
        <v>0.57999999999999996</v>
      </c>
      <c r="R849" s="3">
        <v>0.72</v>
      </c>
      <c r="S849" s="3">
        <v>0.72</v>
      </c>
      <c r="T849" s="3">
        <v>0.6</v>
      </c>
      <c r="U849" s="3">
        <v>0.65</v>
      </c>
      <c r="V849" s="3">
        <v>0.66</v>
      </c>
      <c r="W849" s="3">
        <v>0.65</v>
      </c>
      <c r="X849" s="3">
        <v>0.67</v>
      </c>
      <c r="Y849" s="3">
        <v>0.66</v>
      </c>
      <c r="Z849" s="3">
        <v>0.61</v>
      </c>
      <c r="AA849" s="3">
        <v>0.63</v>
      </c>
      <c r="AB849" s="3"/>
      <c r="AC849" s="3"/>
      <c r="AD849" s="3"/>
      <c r="AE849" t="s">
        <v>6000</v>
      </c>
      <c r="AF849" t="s">
        <v>249</v>
      </c>
    </row>
    <row r="850" spans="1:32" ht="28.8" x14ac:dyDescent="0.3">
      <c r="A850" t="s">
        <v>1826</v>
      </c>
      <c r="B850" s="1" t="s">
        <v>1205</v>
      </c>
      <c r="C850" s="5" t="s">
        <v>2916</v>
      </c>
      <c r="D850" s="2" t="s">
        <v>4433</v>
      </c>
      <c r="E850" s="1" t="s">
        <v>1475</v>
      </c>
      <c r="F850" s="3">
        <v>1.1000000000000001</v>
      </c>
      <c r="G850" s="3">
        <v>1.08</v>
      </c>
      <c r="H850" s="3">
        <v>1.06</v>
      </c>
      <c r="I850" s="3">
        <v>1.03</v>
      </c>
      <c r="J850" s="3">
        <v>1</v>
      </c>
      <c r="K850" s="3">
        <v>1.1000000000000001</v>
      </c>
      <c r="L850" s="3">
        <v>1.1299999999999999</v>
      </c>
      <c r="M850" s="3">
        <v>1.03</v>
      </c>
      <c r="N850" s="3">
        <v>1.1200000000000001</v>
      </c>
      <c r="O850" s="3">
        <v>1.1399999999999999</v>
      </c>
      <c r="P850" s="3">
        <v>1.23</v>
      </c>
      <c r="Q850" s="3">
        <v>1.29</v>
      </c>
      <c r="R850" s="3">
        <v>1.61</v>
      </c>
      <c r="S850" s="3">
        <v>1.64</v>
      </c>
      <c r="T850" s="3">
        <v>1.46</v>
      </c>
      <c r="U850" s="3">
        <v>1.47</v>
      </c>
      <c r="V850" s="3">
        <v>1.46</v>
      </c>
      <c r="W850" s="3">
        <v>1.41</v>
      </c>
      <c r="X850" s="3">
        <v>1.42</v>
      </c>
      <c r="Y850" s="3">
        <v>1.38</v>
      </c>
      <c r="Z850" s="3">
        <v>1.31</v>
      </c>
      <c r="AA850" s="3">
        <v>1.3</v>
      </c>
      <c r="AB850" s="3"/>
      <c r="AC850" s="3"/>
      <c r="AD850" s="3"/>
      <c r="AE850" t="s">
        <v>6001</v>
      </c>
      <c r="AF850" t="s">
        <v>249</v>
      </c>
    </row>
    <row r="851" spans="1:32" ht="28.8" x14ac:dyDescent="0.3">
      <c r="A851" t="s">
        <v>1826</v>
      </c>
      <c r="B851" s="1" t="s">
        <v>1205</v>
      </c>
      <c r="C851" s="5" t="s">
        <v>2917</v>
      </c>
      <c r="D851" s="2" t="s">
        <v>4434</v>
      </c>
      <c r="E851" s="1" t="s">
        <v>1092</v>
      </c>
      <c r="F851" s="3"/>
      <c r="G851" s="3"/>
      <c r="H851" s="3"/>
      <c r="I851" s="3"/>
      <c r="J851" s="3"/>
      <c r="K851" s="3"/>
      <c r="L851" s="3"/>
      <c r="M851" s="3"/>
      <c r="N851" s="3"/>
      <c r="O851" s="3"/>
      <c r="P851" s="3"/>
      <c r="Q851" s="3"/>
      <c r="R851" s="3"/>
      <c r="S851" s="3"/>
      <c r="T851" s="3"/>
      <c r="U851" s="3"/>
      <c r="V851" s="3"/>
      <c r="W851" s="3"/>
      <c r="X851" s="3"/>
      <c r="Y851" s="3">
        <v>47</v>
      </c>
      <c r="Z851" s="3"/>
      <c r="AA851" s="3"/>
      <c r="AB851" s="3"/>
      <c r="AC851" s="3"/>
      <c r="AD851" s="3"/>
      <c r="AE851" t="s">
        <v>6002</v>
      </c>
      <c r="AF851" t="s">
        <v>1</v>
      </c>
    </row>
    <row r="852" spans="1:32" x14ac:dyDescent="0.3">
      <c r="A852" t="s">
        <v>1826</v>
      </c>
      <c r="B852" s="1" t="s">
        <v>1205</v>
      </c>
      <c r="C852" s="5" t="s">
        <v>2918</v>
      </c>
      <c r="D852" s="2" t="s">
        <v>4435</v>
      </c>
      <c r="E852" s="1" t="s">
        <v>1058</v>
      </c>
      <c r="F852" s="3">
        <v>415.40899999999999</v>
      </c>
      <c r="G852" s="3">
        <v>425.03500000000003</v>
      </c>
      <c r="H852" s="3">
        <v>431.74200000000002</v>
      </c>
      <c r="I852" s="3">
        <v>445.00799999999998</v>
      </c>
      <c r="J852" s="3">
        <v>436.06799999999998</v>
      </c>
      <c r="K852" s="3">
        <v>426.87200000000001</v>
      </c>
      <c r="L852" s="3">
        <v>425.85</v>
      </c>
      <c r="M852" s="3">
        <v>414.90800000000002</v>
      </c>
      <c r="N852" s="3">
        <v>396.36900000000003</v>
      </c>
      <c r="O852" s="3">
        <v>385.49700000000001</v>
      </c>
      <c r="P852" s="3">
        <v>376.95499999999998</v>
      </c>
      <c r="Q852" s="3">
        <v>363.20699999999999</v>
      </c>
      <c r="R852" s="3">
        <v>353.60399999999998</v>
      </c>
      <c r="S852" s="3">
        <v>346.13600000000002</v>
      </c>
      <c r="T852" s="3">
        <v>336.39600000000002</v>
      </c>
      <c r="U852" s="3">
        <v>327.79899999999998</v>
      </c>
      <c r="V852" s="3">
        <v>317.06099999999998</v>
      </c>
      <c r="W852" s="3">
        <v>307.81200000000001</v>
      </c>
      <c r="X852" s="3">
        <v>299.76100000000002</v>
      </c>
      <c r="Y852" s="3">
        <v>291.24099999999999</v>
      </c>
      <c r="Z852" s="3">
        <v>292.93799999999999</v>
      </c>
      <c r="AA852" s="3">
        <v>303.065</v>
      </c>
      <c r="AB852" s="3">
        <v>270.38799999999998</v>
      </c>
      <c r="AC852" s="3">
        <v>264.40800000000002</v>
      </c>
      <c r="AD852" s="3"/>
      <c r="AE852" t="s">
        <v>6003</v>
      </c>
      <c r="AF852" t="s">
        <v>20</v>
      </c>
    </row>
    <row r="853" spans="1:32" x14ac:dyDescent="0.3">
      <c r="A853" t="s">
        <v>1826</v>
      </c>
      <c r="B853" s="1" t="s">
        <v>1205</v>
      </c>
      <c r="C853" s="5" t="s">
        <v>2919</v>
      </c>
      <c r="D853" s="2" t="s">
        <v>4436</v>
      </c>
      <c r="E853" s="1" t="s">
        <v>307</v>
      </c>
      <c r="F853" s="3">
        <v>428.36700000000002</v>
      </c>
      <c r="G853" s="3">
        <v>432.24700000000001</v>
      </c>
      <c r="H853" s="3">
        <v>434.44299999999998</v>
      </c>
      <c r="I853" s="3">
        <v>443.22199999999998</v>
      </c>
      <c r="J853" s="3">
        <v>441.18400000000003</v>
      </c>
      <c r="K853" s="3">
        <v>438.95299999999997</v>
      </c>
      <c r="L853" s="3">
        <v>432.565</v>
      </c>
      <c r="M853" s="3">
        <v>427.81700000000001</v>
      </c>
      <c r="N853" s="3">
        <v>421.69600000000003</v>
      </c>
      <c r="O853" s="3">
        <v>416.61500000000001</v>
      </c>
      <c r="P853" s="3">
        <v>410.858</v>
      </c>
      <c r="Q853" s="3">
        <v>399.84</v>
      </c>
      <c r="R853" s="3">
        <v>392.21699999999998</v>
      </c>
      <c r="S853" s="3">
        <v>387.01799999999997</v>
      </c>
      <c r="T853" s="3">
        <v>371.161</v>
      </c>
      <c r="U853" s="3">
        <v>365.06599999999997</v>
      </c>
      <c r="V853" s="3">
        <v>359.04199999999997</v>
      </c>
      <c r="W853" s="3">
        <v>353.024</v>
      </c>
      <c r="X853" s="3">
        <v>346.90899999999999</v>
      </c>
      <c r="Y853" s="3">
        <v>340.71899999999999</v>
      </c>
      <c r="Z853" s="3">
        <v>346.70299999999997</v>
      </c>
      <c r="AA853" s="3">
        <v>352.43299999999999</v>
      </c>
      <c r="AB853" s="3">
        <v>324.95400000000001</v>
      </c>
      <c r="AC853" s="3">
        <v>319.935</v>
      </c>
      <c r="AD853" s="3"/>
      <c r="AE853" t="s">
        <v>6004</v>
      </c>
      <c r="AF853" t="s">
        <v>325</v>
      </c>
    </row>
    <row r="854" spans="1:32" x14ac:dyDescent="0.3">
      <c r="A854" t="s">
        <v>1826</v>
      </c>
      <c r="B854" s="1" t="s">
        <v>1205</v>
      </c>
      <c r="C854" s="5" t="s">
        <v>2920</v>
      </c>
      <c r="D854" s="2" t="s">
        <v>4437</v>
      </c>
      <c r="E854" s="1" t="s">
        <v>58</v>
      </c>
      <c r="F854" s="3">
        <v>91.4</v>
      </c>
      <c r="G854" s="3">
        <v>89.4</v>
      </c>
      <c r="H854" s="3">
        <v>87.3</v>
      </c>
      <c r="I854" s="3">
        <v>85.1</v>
      </c>
      <c r="J854" s="3">
        <v>82.8</v>
      </c>
      <c r="K854" s="3">
        <v>80.2</v>
      </c>
      <c r="L854" s="3">
        <v>78.099999999999994</v>
      </c>
      <c r="M854" s="3">
        <v>75.599999999999994</v>
      </c>
      <c r="N854" s="3">
        <v>73</v>
      </c>
      <c r="O854" s="3">
        <v>70.900000000000006</v>
      </c>
      <c r="P854" s="3">
        <v>68.8</v>
      </c>
      <c r="Q854" s="3">
        <v>67</v>
      </c>
      <c r="R854" s="3">
        <v>64.900000000000006</v>
      </c>
      <c r="S854" s="3">
        <v>62.8</v>
      </c>
      <c r="T854" s="3">
        <v>60.8</v>
      </c>
      <c r="U854" s="3">
        <v>59</v>
      </c>
      <c r="V854" s="3">
        <v>57.4</v>
      </c>
      <c r="W854" s="3">
        <v>55.8</v>
      </c>
      <c r="X854" s="3">
        <v>54.1</v>
      </c>
      <c r="Y854" s="3">
        <v>52.3</v>
      </c>
      <c r="Z854" s="3">
        <v>50.9</v>
      </c>
      <c r="AA854" s="3">
        <v>49.2</v>
      </c>
      <c r="AB854" s="3">
        <v>47.9</v>
      </c>
      <c r="AC854" s="3">
        <v>46.6</v>
      </c>
      <c r="AD854" s="3"/>
      <c r="AE854" t="s">
        <v>6005</v>
      </c>
      <c r="AF854" t="s">
        <v>1390</v>
      </c>
    </row>
    <row r="855" spans="1:32" x14ac:dyDescent="0.3">
      <c r="A855" t="s">
        <v>1826</v>
      </c>
      <c r="B855" s="1" t="s">
        <v>1205</v>
      </c>
      <c r="C855" s="5" t="s">
        <v>2921</v>
      </c>
      <c r="D855" s="2" t="s">
        <v>4438</v>
      </c>
      <c r="E855" s="1" t="s">
        <v>276</v>
      </c>
      <c r="F855" s="3">
        <v>81.900000000000006</v>
      </c>
      <c r="G855" s="3">
        <v>79.8</v>
      </c>
      <c r="H855" s="3">
        <v>77.7</v>
      </c>
      <c r="I855" s="3">
        <v>75.400000000000006</v>
      </c>
      <c r="J855" s="3">
        <v>73.2</v>
      </c>
      <c r="K855" s="3">
        <v>70.599999999999994</v>
      </c>
      <c r="L855" s="3">
        <v>68.400000000000006</v>
      </c>
      <c r="M855" s="3">
        <v>66</v>
      </c>
      <c r="N855" s="3">
        <v>63.5</v>
      </c>
      <c r="O855" s="3">
        <v>61.7</v>
      </c>
      <c r="P855" s="3">
        <v>59.9</v>
      </c>
      <c r="Q855" s="3">
        <v>58.3</v>
      </c>
      <c r="R855" s="3">
        <v>56.5</v>
      </c>
      <c r="S855" s="3">
        <v>54.6</v>
      </c>
      <c r="T855" s="3">
        <v>52.8</v>
      </c>
      <c r="U855" s="3">
        <v>51.2</v>
      </c>
      <c r="V855" s="3">
        <v>49.9</v>
      </c>
      <c r="W855" s="3">
        <v>48.5</v>
      </c>
      <c r="X855" s="3">
        <v>47</v>
      </c>
      <c r="Y855" s="3">
        <v>45.4</v>
      </c>
      <c r="Z855" s="3">
        <v>44.2</v>
      </c>
      <c r="AA855" s="3">
        <v>42.8</v>
      </c>
      <c r="AB855" s="3">
        <v>41.7</v>
      </c>
      <c r="AC855" s="3">
        <v>40.5</v>
      </c>
      <c r="AD855" s="3"/>
      <c r="AE855" t="s">
        <v>6006</v>
      </c>
      <c r="AF855" t="s">
        <v>1390</v>
      </c>
    </row>
    <row r="856" spans="1:32" x14ac:dyDescent="0.3">
      <c r="A856" t="s">
        <v>1826</v>
      </c>
      <c r="B856" s="1" t="s">
        <v>1205</v>
      </c>
      <c r="C856" s="5" t="s">
        <v>2922</v>
      </c>
      <c r="D856" s="2" t="s">
        <v>4439</v>
      </c>
      <c r="E856" s="1" t="s">
        <v>444</v>
      </c>
      <c r="F856" s="3">
        <v>100.4</v>
      </c>
      <c r="G856" s="3">
        <v>98.5</v>
      </c>
      <c r="H856" s="3">
        <v>96.4</v>
      </c>
      <c r="I856" s="3">
        <v>94.2</v>
      </c>
      <c r="J856" s="3">
        <v>91.9</v>
      </c>
      <c r="K856" s="3">
        <v>89.3</v>
      </c>
      <c r="L856" s="3">
        <v>87.2</v>
      </c>
      <c r="M856" s="3">
        <v>84.7</v>
      </c>
      <c r="N856" s="3">
        <v>82</v>
      </c>
      <c r="O856" s="3">
        <v>79.599999999999994</v>
      </c>
      <c r="P856" s="3">
        <v>77.3</v>
      </c>
      <c r="Q856" s="3">
        <v>75.2</v>
      </c>
      <c r="R856" s="3">
        <v>72.900000000000006</v>
      </c>
      <c r="S856" s="3">
        <v>70.599999999999994</v>
      </c>
      <c r="T856" s="3">
        <v>68.400000000000006</v>
      </c>
      <c r="U856" s="3">
        <v>66.3</v>
      </c>
      <c r="V856" s="3">
        <v>64.599999999999994</v>
      </c>
      <c r="W856" s="3">
        <v>62.7</v>
      </c>
      <c r="X856" s="3">
        <v>60.8</v>
      </c>
      <c r="Y856" s="3">
        <v>58.8</v>
      </c>
      <c r="Z856" s="3">
        <v>57.2</v>
      </c>
      <c r="AA856" s="3">
        <v>55.3</v>
      </c>
      <c r="AB856" s="3">
        <v>53.8</v>
      </c>
      <c r="AC856" s="3">
        <v>52.3</v>
      </c>
      <c r="AD856" s="3"/>
      <c r="AE856" t="s">
        <v>6007</v>
      </c>
      <c r="AF856" t="s">
        <v>1390</v>
      </c>
    </row>
    <row r="857" spans="1:32" x14ac:dyDescent="0.3">
      <c r="A857" t="s">
        <v>1826</v>
      </c>
      <c r="B857" s="1" t="s">
        <v>1205</v>
      </c>
      <c r="C857" s="5" t="s">
        <v>2923</v>
      </c>
      <c r="D857" s="2" t="s">
        <v>4440</v>
      </c>
      <c r="E857" s="1" t="s">
        <v>766</v>
      </c>
      <c r="F857" s="3">
        <v>40.799999999999997</v>
      </c>
      <c r="G857" s="3">
        <v>40.299999999999997</v>
      </c>
      <c r="H857" s="3">
        <v>39.9</v>
      </c>
      <c r="I857" s="3">
        <v>39.4</v>
      </c>
      <c r="J857" s="3">
        <v>38.9</v>
      </c>
      <c r="K857" s="3">
        <v>38.4</v>
      </c>
      <c r="L857" s="3">
        <v>37.9</v>
      </c>
      <c r="M857" s="3">
        <v>37.299999999999997</v>
      </c>
      <c r="N857" s="3">
        <v>36.799999999999997</v>
      </c>
      <c r="O857" s="3">
        <v>36.200000000000003</v>
      </c>
      <c r="P857" s="3">
        <v>35.5</v>
      </c>
      <c r="Q857" s="3">
        <v>34.9</v>
      </c>
      <c r="R857" s="3">
        <v>34.299999999999997</v>
      </c>
      <c r="S857" s="3">
        <v>33.6</v>
      </c>
      <c r="T857" s="3">
        <v>33.1</v>
      </c>
      <c r="U857" s="3">
        <v>32.5</v>
      </c>
      <c r="V857" s="3">
        <v>32</v>
      </c>
      <c r="W857" s="3">
        <v>31.4</v>
      </c>
      <c r="X857" s="3">
        <v>30.9</v>
      </c>
      <c r="Y857" s="3">
        <v>30.3</v>
      </c>
      <c r="Z857" s="3">
        <v>29.7</v>
      </c>
      <c r="AA857" s="3">
        <v>29.2</v>
      </c>
      <c r="AB857" s="3">
        <v>28.7</v>
      </c>
      <c r="AC857" s="3">
        <v>28.2</v>
      </c>
      <c r="AD857" s="3"/>
      <c r="AE857" t="s">
        <v>6008</v>
      </c>
      <c r="AF857" t="s">
        <v>1390</v>
      </c>
    </row>
    <row r="858" spans="1:32" x14ac:dyDescent="0.3">
      <c r="A858" t="s">
        <v>1826</v>
      </c>
      <c r="B858" s="1" t="s">
        <v>1205</v>
      </c>
      <c r="C858" s="5" t="s">
        <v>2924</v>
      </c>
      <c r="D858" s="2" t="s">
        <v>4441</v>
      </c>
      <c r="E858" s="1" t="s">
        <v>445</v>
      </c>
      <c r="F858" s="3">
        <v>140.5</v>
      </c>
      <c r="G858" s="3">
        <v>137.1</v>
      </c>
      <c r="H858" s="3">
        <v>133.4</v>
      </c>
      <c r="I858" s="3">
        <v>129.6</v>
      </c>
      <c r="J858" s="3">
        <v>125.7</v>
      </c>
      <c r="K858" s="3">
        <v>121.6</v>
      </c>
      <c r="L858" s="3">
        <v>117.8</v>
      </c>
      <c r="M858" s="3">
        <v>113.9</v>
      </c>
      <c r="N858" s="3">
        <v>109.5</v>
      </c>
      <c r="O858" s="3">
        <v>105.8</v>
      </c>
      <c r="P858" s="3">
        <v>102.2</v>
      </c>
      <c r="Q858" s="3">
        <v>99.1</v>
      </c>
      <c r="R858" s="3">
        <v>96</v>
      </c>
      <c r="S858" s="3">
        <v>92.7</v>
      </c>
      <c r="T858" s="3">
        <v>89.2</v>
      </c>
      <c r="U858" s="3">
        <v>86.1</v>
      </c>
      <c r="V858" s="3">
        <v>83.6</v>
      </c>
      <c r="W858" s="3">
        <v>81.099999999999994</v>
      </c>
      <c r="X858" s="3">
        <v>78.5</v>
      </c>
      <c r="Y858" s="3">
        <v>75.900000000000006</v>
      </c>
      <c r="Z858" s="3">
        <v>73.7</v>
      </c>
      <c r="AA858" s="3">
        <v>71.400000000000006</v>
      </c>
      <c r="AB858" s="3">
        <v>69.2</v>
      </c>
      <c r="AC858" s="3">
        <v>67.099999999999994</v>
      </c>
      <c r="AD858" s="3"/>
      <c r="AE858" t="s">
        <v>6009</v>
      </c>
      <c r="AF858" t="s">
        <v>1390</v>
      </c>
    </row>
    <row r="859" spans="1:32" x14ac:dyDescent="0.3">
      <c r="A859" t="s">
        <v>1826</v>
      </c>
      <c r="B859" s="1" t="s">
        <v>1205</v>
      </c>
      <c r="C859" s="5" t="s">
        <v>2925</v>
      </c>
      <c r="D859" s="2" t="s">
        <v>4442</v>
      </c>
      <c r="E859" s="1" t="s">
        <v>1529</v>
      </c>
      <c r="F859" s="3">
        <v>128.69999999999999</v>
      </c>
      <c r="G859" s="3">
        <v>125.2</v>
      </c>
      <c r="H859" s="3">
        <v>121.6</v>
      </c>
      <c r="I859" s="3">
        <v>117.8</v>
      </c>
      <c r="J859" s="3">
        <v>114</v>
      </c>
      <c r="K859" s="3">
        <v>110</v>
      </c>
      <c r="L859" s="3">
        <v>106.2</v>
      </c>
      <c r="M859" s="3">
        <v>102.5</v>
      </c>
      <c r="N859" s="3">
        <v>98.1</v>
      </c>
      <c r="O859" s="3">
        <v>94.8</v>
      </c>
      <c r="P859" s="3">
        <v>91.5</v>
      </c>
      <c r="Q859" s="3">
        <v>88.6</v>
      </c>
      <c r="R859" s="3">
        <v>85.8</v>
      </c>
      <c r="S859" s="3">
        <v>82.7</v>
      </c>
      <c r="T859" s="3">
        <v>79.599999999999994</v>
      </c>
      <c r="U859" s="3">
        <v>76.8</v>
      </c>
      <c r="V859" s="3">
        <v>74.599999999999994</v>
      </c>
      <c r="W859" s="3">
        <v>72.400000000000006</v>
      </c>
      <c r="X859" s="3">
        <v>70</v>
      </c>
      <c r="Y859" s="3">
        <v>67.599999999999994</v>
      </c>
      <c r="Z859" s="3">
        <v>65.599999999999994</v>
      </c>
      <c r="AA859" s="3">
        <v>63.6</v>
      </c>
      <c r="AB859" s="3">
        <v>61.6</v>
      </c>
      <c r="AC859" s="3">
        <v>59.7</v>
      </c>
      <c r="AD859" s="3"/>
      <c r="AE859" t="s">
        <v>6010</v>
      </c>
      <c r="AF859" t="s">
        <v>1390</v>
      </c>
    </row>
    <row r="860" spans="1:32" x14ac:dyDescent="0.3">
      <c r="A860" t="s">
        <v>1826</v>
      </c>
      <c r="B860" s="1" t="s">
        <v>1205</v>
      </c>
      <c r="C860" s="5" t="s">
        <v>2926</v>
      </c>
      <c r="D860" s="2" t="s">
        <v>4443</v>
      </c>
      <c r="E860" s="1" t="s">
        <v>754</v>
      </c>
      <c r="F860" s="3">
        <v>151.80000000000001</v>
      </c>
      <c r="G860" s="3">
        <v>148.30000000000001</v>
      </c>
      <c r="H860" s="3">
        <v>144.5</v>
      </c>
      <c r="I860" s="3">
        <v>140.69999999999999</v>
      </c>
      <c r="J860" s="3">
        <v>136.80000000000001</v>
      </c>
      <c r="K860" s="3">
        <v>132.6</v>
      </c>
      <c r="L860" s="3">
        <v>128.80000000000001</v>
      </c>
      <c r="M860" s="3">
        <v>124.8</v>
      </c>
      <c r="N860" s="3">
        <v>120.3</v>
      </c>
      <c r="O860" s="3">
        <v>116.3</v>
      </c>
      <c r="P860" s="3">
        <v>112.3</v>
      </c>
      <c r="Q860" s="3">
        <v>108.9</v>
      </c>
      <c r="R860" s="3">
        <v>105.6</v>
      </c>
      <c r="S860" s="3">
        <v>102</v>
      </c>
      <c r="T860" s="3">
        <v>98.3</v>
      </c>
      <c r="U860" s="3">
        <v>94.9</v>
      </c>
      <c r="V860" s="3">
        <v>92.2</v>
      </c>
      <c r="W860" s="3">
        <v>89.5</v>
      </c>
      <c r="X860" s="3">
        <v>86.6</v>
      </c>
      <c r="Y860" s="3">
        <v>83.7</v>
      </c>
      <c r="Z860" s="3">
        <v>81.3</v>
      </c>
      <c r="AA860" s="3">
        <v>78.8</v>
      </c>
      <c r="AB860" s="3">
        <v>76.400000000000006</v>
      </c>
      <c r="AC860" s="3">
        <v>74.099999999999994</v>
      </c>
      <c r="AD860" s="3"/>
      <c r="AE860" t="s">
        <v>6011</v>
      </c>
      <c r="AF860" t="s">
        <v>1390</v>
      </c>
    </row>
    <row r="861" spans="1:32" x14ac:dyDescent="0.3">
      <c r="A861" t="s">
        <v>1826</v>
      </c>
      <c r="B861" s="1" t="s">
        <v>1205</v>
      </c>
      <c r="C861" s="5" t="s">
        <v>2927</v>
      </c>
      <c r="D861" s="2" t="s">
        <v>4444</v>
      </c>
      <c r="E861" s="1" t="s">
        <v>554</v>
      </c>
      <c r="F861" s="3"/>
      <c r="G861" s="3"/>
      <c r="H861" s="3"/>
      <c r="I861" s="3"/>
      <c r="J861" s="3"/>
      <c r="K861" s="3"/>
      <c r="L861" s="3"/>
      <c r="M861" s="3"/>
      <c r="N861" s="3"/>
      <c r="O861" s="3"/>
      <c r="P861" s="3"/>
      <c r="Q861" s="3"/>
      <c r="R861" s="3"/>
      <c r="S861" s="3"/>
      <c r="T861" s="3"/>
      <c r="U861" s="3"/>
      <c r="V861" s="3"/>
      <c r="W861" s="3"/>
      <c r="X861" s="3"/>
      <c r="Y861" s="3"/>
      <c r="Z861" s="3"/>
      <c r="AA861" s="3">
        <v>42.8</v>
      </c>
      <c r="AB861" s="3"/>
      <c r="AC861" s="3"/>
      <c r="AD861" s="3"/>
      <c r="AE861" t="s">
        <v>6012</v>
      </c>
      <c r="AF861" t="s">
        <v>637</v>
      </c>
    </row>
    <row r="862" spans="1:32" x14ac:dyDescent="0.3">
      <c r="A862" t="s">
        <v>1826</v>
      </c>
      <c r="B862" s="1" t="s">
        <v>1205</v>
      </c>
      <c r="C862" s="5" t="s">
        <v>2928</v>
      </c>
      <c r="D862" s="2" t="s">
        <v>4445</v>
      </c>
      <c r="E862" s="1" t="s">
        <v>1626</v>
      </c>
      <c r="F862" s="3"/>
      <c r="G862" s="3"/>
      <c r="H862" s="3"/>
      <c r="I862" s="3"/>
      <c r="J862" s="3"/>
      <c r="K862" s="3"/>
      <c r="L862" s="3"/>
      <c r="M862" s="3"/>
      <c r="N862" s="3"/>
      <c r="O862" s="3"/>
      <c r="P862" s="3"/>
      <c r="Q862" s="3"/>
      <c r="R862" s="3"/>
      <c r="S862" s="3"/>
      <c r="T862" s="3"/>
      <c r="U862" s="3">
        <v>60.3</v>
      </c>
      <c r="V862" s="3"/>
      <c r="W862" s="3"/>
      <c r="X862" s="3">
        <v>42</v>
      </c>
      <c r="Y862" s="3"/>
      <c r="Z862" s="3"/>
      <c r="AA862" s="3">
        <v>34.9</v>
      </c>
      <c r="AB862" s="3"/>
      <c r="AC862" s="3"/>
      <c r="AD862" s="3"/>
      <c r="AE862" t="s">
        <v>6013</v>
      </c>
      <c r="AF862" t="s">
        <v>144</v>
      </c>
    </row>
    <row r="863" spans="1:32" x14ac:dyDescent="0.3">
      <c r="A863" t="s">
        <v>1826</v>
      </c>
      <c r="B863" s="1" t="s">
        <v>1205</v>
      </c>
      <c r="C863" s="5" t="s">
        <v>2929</v>
      </c>
      <c r="D863" s="2" t="s">
        <v>4446</v>
      </c>
      <c r="E863" s="1" t="s">
        <v>1254</v>
      </c>
      <c r="F863" s="3">
        <v>32.991531441895887</v>
      </c>
      <c r="G863" s="3">
        <v>57.167154012233112</v>
      </c>
      <c r="H863" s="3">
        <v>73.490312041687872</v>
      </c>
      <c r="I863" s="3">
        <v>47.67250529077743</v>
      </c>
      <c r="J863" s="3">
        <v>99.18002347114107</v>
      </c>
      <c r="K863" s="3">
        <v>96.691172169788473</v>
      </c>
      <c r="L863" s="3">
        <v>87.188329210605886</v>
      </c>
      <c r="M863" s="3">
        <v>95.769319092996781</v>
      </c>
      <c r="N863" s="3">
        <v>99.82712051398633</v>
      </c>
      <c r="O863" s="3">
        <v>95.889669658671465</v>
      </c>
      <c r="P863" s="3">
        <v>29.822963785682489</v>
      </c>
      <c r="Q863" s="3">
        <v>33.066545348507745</v>
      </c>
      <c r="R863" s="3">
        <v>27.835353794424478</v>
      </c>
      <c r="S863" s="3">
        <v>9.1918379169768301</v>
      </c>
      <c r="T863" s="3">
        <v>13.534959128129509</v>
      </c>
      <c r="U863" s="3">
        <v>13.874184821492161</v>
      </c>
      <c r="V863" s="3">
        <v>6.1250570088437009</v>
      </c>
      <c r="W863" s="3">
        <v>3.2716307666781059</v>
      </c>
      <c r="X863" s="3">
        <v>7.1578113967649726</v>
      </c>
      <c r="Y863" s="3">
        <v>3.8993347365476452</v>
      </c>
      <c r="Z863" s="3">
        <v>8.7224330470073337</v>
      </c>
      <c r="AA863" s="3">
        <v>17.120401188498274</v>
      </c>
      <c r="AB863" s="3">
        <v>15.169470609139418</v>
      </c>
      <c r="AC863" s="3">
        <v>11.954328039684144</v>
      </c>
      <c r="AD863" s="3"/>
      <c r="AE863" t="s">
        <v>6014</v>
      </c>
      <c r="AF863" t="s">
        <v>252</v>
      </c>
    </row>
    <row r="864" spans="1:32" x14ac:dyDescent="0.3">
      <c r="A864" t="s">
        <v>1826</v>
      </c>
      <c r="B864" s="1" t="s">
        <v>1205</v>
      </c>
      <c r="C864" s="5" t="s">
        <v>2930</v>
      </c>
      <c r="D864" s="2" t="s">
        <v>4447</v>
      </c>
      <c r="E864" s="1" t="s">
        <v>818</v>
      </c>
      <c r="F864" s="3">
        <v>221281918.09999999</v>
      </c>
      <c r="G864" s="3">
        <v>173245618.69999999</v>
      </c>
      <c r="H864" s="3">
        <v>371204948.69999999</v>
      </c>
      <c r="I864" s="3">
        <v>143349486.69999999</v>
      </c>
      <c r="J864" s="3">
        <v>94113674.700000003</v>
      </c>
      <c r="K864" s="3">
        <v>22754898.899999999</v>
      </c>
      <c r="L864" s="3">
        <v>14210966.5</v>
      </c>
      <c r="M864" s="3">
        <v>146582131.69999999</v>
      </c>
      <c r="N864" s="3">
        <v>768203388.79999995</v>
      </c>
      <c r="O864" s="3">
        <v>742013529.29999995</v>
      </c>
      <c r="P864" s="3">
        <v>148132147.5</v>
      </c>
      <c r="Q864" s="3">
        <v>137107846.59999999</v>
      </c>
      <c r="R864" s="3">
        <v>83382372.400000006</v>
      </c>
      <c r="S864" s="3">
        <v>48663606.299999997</v>
      </c>
      <c r="T864" s="3">
        <v>80366046.5</v>
      </c>
      <c r="U864" s="3">
        <v>55229651.100000001</v>
      </c>
      <c r="V864" s="3">
        <v>63734358.799999997</v>
      </c>
      <c r="W864" s="3">
        <v>57156244.600000001</v>
      </c>
      <c r="X864" s="3">
        <v>79353315.200000003</v>
      </c>
      <c r="Y864" s="3">
        <v>96050783.799999997</v>
      </c>
      <c r="Z864" s="3">
        <v>165488702.59999999</v>
      </c>
      <c r="AA864" s="3">
        <v>220165774.59999999</v>
      </c>
      <c r="AB864" s="3">
        <v>250653077</v>
      </c>
      <c r="AC864" s="3">
        <v>331641557.60000002</v>
      </c>
      <c r="AD864" s="3"/>
      <c r="AE864" t="s">
        <v>6015</v>
      </c>
      <c r="AF864" t="s">
        <v>252</v>
      </c>
    </row>
    <row r="865" spans="1:32" x14ac:dyDescent="0.3">
      <c r="A865" t="s">
        <v>1826</v>
      </c>
      <c r="B865" s="1" t="s">
        <v>1205</v>
      </c>
      <c r="C865" s="5" t="s">
        <v>2931</v>
      </c>
      <c r="D865" s="2" t="s">
        <v>4448</v>
      </c>
      <c r="E865" s="1" t="s">
        <v>1544</v>
      </c>
      <c r="F865" s="3">
        <v>0.21648578432123999</v>
      </c>
      <c r="G865" s="3">
        <v>0.26818361217426301</v>
      </c>
      <c r="H865" s="3">
        <v>0.19121192252012401</v>
      </c>
      <c r="I865" s="3">
        <v>0.16140927438609901</v>
      </c>
      <c r="J865" s="3">
        <v>0.17381997081671499</v>
      </c>
      <c r="K865" s="3">
        <v>0.12621419261976499</v>
      </c>
      <c r="L865" s="3">
        <v>0.40701204223987603</v>
      </c>
      <c r="M865" s="3">
        <v>0.27448730647277803</v>
      </c>
      <c r="N865" s="3">
        <v>0.30739569317829202</v>
      </c>
      <c r="O865" s="3">
        <v>0.24531458194948599</v>
      </c>
      <c r="P865" s="3">
        <v>0.28347578678577701</v>
      </c>
      <c r="Q865" s="3">
        <v>0.36296553263835901</v>
      </c>
      <c r="R865" s="3">
        <v>0.393227820298858</v>
      </c>
      <c r="S865" s="3">
        <v>0.32041142498729103</v>
      </c>
      <c r="T865" s="3">
        <v>0.319671081972001</v>
      </c>
      <c r="U865" s="3">
        <v>0.26132277444497698</v>
      </c>
      <c r="V865" s="3">
        <v>0.17868187373858099</v>
      </c>
      <c r="W865" s="3">
        <v>0.186969561218541</v>
      </c>
      <c r="X865" s="3">
        <v>0.253454611297185</v>
      </c>
      <c r="Y865" s="3">
        <v>0.218403089389861</v>
      </c>
      <c r="Z865" s="3">
        <v>0.177485744990039</v>
      </c>
      <c r="AA865" s="3">
        <v>0.30935315523936602</v>
      </c>
      <c r="AB865" s="3"/>
      <c r="AC865" s="3"/>
      <c r="AD865" s="3"/>
      <c r="AE865" t="s">
        <v>6016</v>
      </c>
      <c r="AF865" t="s">
        <v>937</v>
      </c>
    </row>
    <row r="866" spans="1:32" x14ac:dyDescent="0.3">
      <c r="A866" t="s">
        <v>1826</v>
      </c>
      <c r="B866" s="1" t="s">
        <v>1205</v>
      </c>
      <c r="C866" s="5" t="s">
        <v>2932</v>
      </c>
      <c r="D866" s="2" t="s">
        <v>4449</v>
      </c>
      <c r="E866" s="1" t="s">
        <v>509</v>
      </c>
      <c r="F866" s="3"/>
      <c r="G866" s="3"/>
      <c r="H866" s="3"/>
      <c r="I866" s="3">
        <v>0.5079586556448662</v>
      </c>
      <c r="J866" s="3">
        <v>-9.0337000244425536E-2</v>
      </c>
      <c r="K866" s="3">
        <v>0.19804845096866847</v>
      </c>
      <c r="L866" s="3"/>
      <c r="M866" s="3">
        <v>0.21357665748233789</v>
      </c>
      <c r="N866" s="3">
        <v>0.17567064740880339</v>
      </c>
      <c r="O866" s="3">
        <v>0.18688744945211805</v>
      </c>
      <c r="P866" s="3">
        <v>0.78862521459414547</v>
      </c>
      <c r="Q866" s="3">
        <v>1.0518069866780106</v>
      </c>
      <c r="R866" s="3">
        <v>-0.26052177015961114</v>
      </c>
      <c r="S866" s="3">
        <v>0.9249990808912758</v>
      </c>
      <c r="T866" s="3">
        <v>0.66296653552949647</v>
      </c>
      <c r="U866" s="3">
        <v>0.83061342261219451</v>
      </c>
      <c r="V866" s="3">
        <v>-0.38635649796172172</v>
      </c>
      <c r="W866" s="3">
        <v>0.8657585338043563</v>
      </c>
      <c r="X866" s="3">
        <v>0.2286575866814918</v>
      </c>
      <c r="Y866" s="3">
        <v>0.45621598806218477</v>
      </c>
      <c r="Z866" s="3">
        <v>1.6321749460367168</v>
      </c>
      <c r="AA866" s="3">
        <v>-0.34611850733791305</v>
      </c>
      <c r="AB866" s="3">
        <v>0.23725581370425958</v>
      </c>
      <c r="AC866" s="3">
        <v>-0.45090572547311664</v>
      </c>
      <c r="AD866" s="3"/>
      <c r="AE866" t="s">
        <v>6017</v>
      </c>
      <c r="AF866" t="s">
        <v>115</v>
      </c>
    </row>
    <row r="867" spans="1:32" x14ac:dyDescent="0.3">
      <c r="A867" t="s">
        <v>1826</v>
      </c>
      <c r="B867" s="1" t="s">
        <v>1205</v>
      </c>
      <c r="C867" s="5" t="s">
        <v>2933</v>
      </c>
      <c r="D867" s="2" t="s">
        <v>4450</v>
      </c>
      <c r="E867" s="1" t="s">
        <v>1182</v>
      </c>
      <c r="F867" s="3"/>
      <c r="G867" s="3"/>
      <c r="H867" s="3"/>
      <c r="I867" s="3">
        <v>62600000000</v>
      </c>
      <c r="J867" s="3">
        <v>-11200000000</v>
      </c>
      <c r="K867" s="3">
        <v>25100000000</v>
      </c>
      <c r="L867" s="3"/>
      <c r="M867" s="3">
        <v>29400000000</v>
      </c>
      <c r="N867" s="3">
        <v>26700000000</v>
      </c>
      <c r="O867" s="3">
        <v>29783777000</v>
      </c>
      <c r="P867" s="3">
        <v>136324000000</v>
      </c>
      <c r="Q867" s="3">
        <v>181877000000</v>
      </c>
      <c r="R867" s="3">
        <v>-48286070943</v>
      </c>
      <c r="S867" s="3">
        <v>195353000000</v>
      </c>
      <c r="T867" s="3">
        <v>159884934742</v>
      </c>
      <c r="U867" s="3">
        <v>224983000000</v>
      </c>
      <c r="V867" s="3">
        <v>-110832972000</v>
      </c>
      <c r="W867" s="3">
        <v>263984036000</v>
      </c>
      <c r="X867" s="3">
        <v>74327670644</v>
      </c>
      <c r="Y867" s="3">
        <v>161404668103</v>
      </c>
      <c r="Z867" s="3">
        <v>592119610835.72705</v>
      </c>
      <c r="AA867" s="3">
        <v>-139717169830</v>
      </c>
      <c r="AB867" s="3">
        <v>104959124913</v>
      </c>
      <c r="AC867" s="3">
        <v>-217759980593.81799</v>
      </c>
      <c r="AD867" s="3"/>
      <c r="AE867" t="s">
        <v>6018</v>
      </c>
      <c r="AF867" t="s">
        <v>115</v>
      </c>
    </row>
    <row r="868" spans="1:32" x14ac:dyDescent="0.3">
      <c r="A868" t="s">
        <v>1826</v>
      </c>
      <c r="B868" s="1" t="s">
        <v>1205</v>
      </c>
      <c r="C868" s="5" t="s">
        <v>2934</v>
      </c>
      <c r="D868" s="2" t="s">
        <v>4451</v>
      </c>
      <c r="E868" s="1" t="s">
        <v>1088</v>
      </c>
      <c r="F868" s="3">
        <v>58.078533278099997</v>
      </c>
      <c r="G868" s="3">
        <v>64.929895287099995</v>
      </c>
      <c r="H868" s="3">
        <v>83.166542946500002</v>
      </c>
      <c r="I868" s="3">
        <v>79.669611168299994</v>
      </c>
      <c r="J868" s="3">
        <v>75.512216814499993</v>
      </c>
      <c r="K868" s="3">
        <v>81.8</v>
      </c>
      <c r="L868" s="3">
        <v>83</v>
      </c>
      <c r="M868" s="3">
        <v>87</v>
      </c>
      <c r="N868" s="3">
        <v>89.7</v>
      </c>
      <c r="O868" s="3">
        <v>94.3</v>
      </c>
      <c r="P868" s="3">
        <v>101</v>
      </c>
      <c r="Q868" s="3">
        <v>100</v>
      </c>
      <c r="R868" s="3">
        <v>88.7</v>
      </c>
      <c r="S868" s="3">
        <v>87.7</v>
      </c>
      <c r="T868" s="3">
        <v>94.4</v>
      </c>
      <c r="U868" s="3">
        <v>100</v>
      </c>
      <c r="V868" s="3">
        <v>98.8</v>
      </c>
      <c r="W868" s="3">
        <v>85.4</v>
      </c>
      <c r="X868" s="3">
        <v>86.3</v>
      </c>
      <c r="Y868" s="3">
        <v>87.3</v>
      </c>
      <c r="Z868" s="3">
        <v>91.2</v>
      </c>
      <c r="AA868" s="3">
        <v>85.9</v>
      </c>
      <c r="AB868" s="3">
        <v>80.8</v>
      </c>
      <c r="AC868" s="3">
        <v>91.8</v>
      </c>
      <c r="AD868" s="3"/>
      <c r="AE868" t="s">
        <v>6019</v>
      </c>
      <c r="AF868" t="s">
        <v>813</v>
      </c>
    </row>
    <row r="869" spans="1:32" x14ac:dyDescent="0.3">
      <c r="A869" t="s">
        <v>1826</v>
      </c>
      <c r="B869" s="1" t="s">
        <v>1205</v>
      </c>
      <c r="C869" s="5" t="s">
        <v>2935</v>
      </c>
      <c r="D869" s="2" t="s">
        <v>4452</v>
      </c>
      <c r="E869" s="1" t="s">
        <v>1171</v>
      </c>
      <c r="F869" s="3">
        <v>9999.9997764825803</v>
      </c>
      <c r="G869" s="3"/>
      <c r="H869" s="3"/>
      <c r="I869" s="3"/>
      <c r="J869" s="3"/>
      <c r="K869" s="3"/>
      <c r="L869" s="3">
        <v>9999.9997764825803</v>
      </c>
      <c r="M869" s="3">
        <v>9999.9997764825803</v>
      </c>
      <c r="N869" s="3"/>
      <c r="O869" s="3"/>
      <c r="P869" s="3">
        <v>29999.999329447703</v>
      </c>
      <c r="Q869" s="3">
        <v>790000.021457672</v>
      </c>
      <c r="R869" s="3">
        <v>490000.00953674299</v>
      </c>
      <c r="S869" s="3">
        <v>560000.00238418602</v>
      </c>
      <c r="T869" s="3">
        <v>119999.997317791</v>
      </c>
      <c r="U869" s="3">
        <v>189999.99761581398</v>
      </c>
      <c r="V869" s="3">
        <v>1539999.9618530299</v>
      </c>
      <c r="W869" s="3">
        <v>19999.999552965201</v>
      </c>
      <c r="X869" s="3">
        <v>70000.000298023195</v>
      </c>
      <c r="Y869" s="3">
        <v>29999.999329447703</v>
      </c>
      <c r="Z869" s="3">
        <v>50000.000745058103</v>
      </c>
      <c r="AA869" s="3">
        <v>50000.000745058103</v>
      </c>
      <c r="AB869" s="3">
        <v>39999.999105930299</v>
      </c>
      <c r="AC869" s="3"/>
      <c r="AD869" s="3"/>
      <c r="AE869" t="s">
        <v>6020</v>
      </c>
      <c r="AF869" t="s">
        <v>149</v>
      </c>
    </row>
    <row r="870" spans="1:32" x14ac:dyDescent="0.3">
      <c r="A870" t="s">
        <v>1826</v>
      </c>
      <c r="B870" s="1" t="s">
        <v>1205</v>
      </c>
      <c r="C870" s="5" t="s">
        <v>2936</v>
      </c>
      <c r="D870" s="2" t="s">
        <v>4453</v>
      </c>
      <c r="E870" s="1" t="s">
        <v>1065</v>
      </c>
      <c r="F870" s="3">
        <v>2230000.0190734901</v>
      </c>
      <c r="G870" s="3">
        <v>1850000.02384186</v>
      </c>
      <c r="H870" s="3">
        <v>2599999.9046325702</v>
      </c>
      <c r="I870" s="3">
        <v>2779999.97138977</v>
      </c>
      <c r="J870" s="3">
        <v>3039999.9618530301</v>
      </c>
      <c r="K870" s="3">
        <v>3130000.1144409203</v>
      </c>
      <c r="L870" s="3">
        <v>3609999.8950958299</v>
      </c>
      <c r="M870" s="3">
        <v>4900000.0953674298</v>
      </c>
      <c r="N870" s="3">
        <v>5159999.8474121103</v>
      </c>
      <c r="O870" s="3">
        <v>17750000</v>
      </c>
      <c r="P870" s="3">
        <v>4469999.7901916504</v>
      </c>
      <c r="Q870" s="3">
        <v>1799999.95231628</v>
      </c>
      <c r="R870" s="3">
        <v>98919998.168945298</v>
      </c>
      <c r="S870" s="3">
        <v>70000.000298023195</v>
      </c>
      <c r="T870" s="3">
        <v>59999.9986588955</v>
      </c>
      <c r="U870" s="3">
        <v>39999.999105930299</v>
      </c>
      <c r="V870" s="3">
        <v>50000.000745058103</v>
      </c>
      <c r="W870" s="3">
        <v>29999.999329447703</v>
      </c>
      <c r="X870" s="3">
        <v>19999.999552965201</v>
      </c>
      <c r="Y870" s="3">
        <v>9999.9997764825803</v>
      </c>
      <c r="Z870" s="3">
        <v>9999.9997764825803</v>
      </c>
      <c r="AA870" s="3">
        <v>1159999.9666214001</v>
      </c>
      <c r="AB870" s="3">
        <v>479999.989271164</v>
      </c>
      <c r="AC870" s="3"/>
      <c r="AD870" s="3"/>
      <c r="AE870" t="s">
        <v>6020</v>
      </c>
      <c r="AF870" t="s">
        <v>149</v>
      </c>
    </row>
    <row r="871" spans="1:32" x14ac:dyDescent="0.3">
      <c r="A871" t="s">
        <v>1826</v>
      </c>
      <c r="B871" s="1" t="s">
        <v>1205</v>
      </c>
      <c r="C871" s="5" t="s">
        <v>2937</v>
      </c>
      <c r="D871" s="2" t="s">
        <v>4454</v>
      </c>
      <c r="E871" s="1" t="s">
        <v>955</v>
      </c>
      <c r="F871" s="3">
        <v>13890000.3433228</v>
      </c>
      <c r="G871" s="3">
        <v>2539999.9618530301</v>
      </c>
      <c r="H871" s="3">
        <v>44349998.474121101</v>
      </c>
      <c r="I871" s="3">
        <v>4679999.8283386203</v>
      </c>
      <c r="J871" s="3">
        <v>7800000.1907348596</v>
      </c>
      <c r="K871" s="3">
        <v>4409999.8474121103</v>
      </c>
      <c r="L871" s="3">
        <v>4440000.0572204599</v>
      </c>
      <c r="M871" s="3">
        <v>5929999.8283386203</v>
      </c>
      <c r="N871" s="3">
        <v>4650000.0953674298</v>
      </c>
      <c r="O871" s="3">
        <v>37680000.305175804</v>
      </c>
      <c r="P871" s="3">
        <v>3259999.9904632601</v>
      </c>
      <c r="Q871" s="3">
        <v>2509999.9904632601</v>
      </c>
      <c r="R871" s="3">
        <v>273470001.22070301</v>
      </c>
      <c r="S871" s="3">
        <v>1879999.99523163</v>
      </c>
      <c r="T871" s="3">
        <v>529999.97138977097</v>
      </c>
      <c r="U871" s="3">
        <v>349999.99403953605</v>
      </c>
      <c r="V871" s="3">
        <v>230000.00417232499</v>
      </c>
      <c r="W871" s="3">
        <v>90000.003576278701</v>
      </c>
      <c r="X871" s="3">
        <v>90000.003576278701</v>
      </c>
      <c r="Y871" s="3">
        <v>779999.97138977097</v>
      </c>
      <c r="Z871" s="3">
        <v>259999.99046325701</v>
      </c>
      <c r="AA871" s="3">
        <v>340000.00357627904</v>
      </c>
      <c r="AB871" s="3">
        <v>200000.00298023198</v>
      </c>
      <c r="AC871" s="3"/>
      <c r="AD871" s="3"/>
      <c r="AE871" t="s">
        <v>6020</v>
      </c>
      <c r="AF871" t="s">
        <v>149</v>
      </c>
    </row>
    <row r="872" spans="1:32" x14ac:dyDescent="0.3">
      <c r="A872" t="s">
        <v>1826</v>
      </c>
      <c r="B872" s="1" t="s">
        <v>1205</v>
      </c>
      <c r="C872" s="5" t="s">
        <v>2938</v>
      </c>
      <c r="D872" s="2" t="s">
        <v>4455</v>
      </c>
      <c r="E872" s="1" t="s">
        <v>328</v>
      </c>
      <c r="F872" s="3">
        <v>3529999.97138977</v>
      </c>
      <c r="G872" s="3">
        <v>1450000.04768372</v>
      </c>
      <c r="H872" s="3">
        <v>78730003.356933594</v>
      </c>
      <c r="I872" s="3">
        <v>13850000.3814697</v>
      </c>
      <c r="J872" s="3">
        <v>4650000.0953674298</v>
      </c>
      <c r="K872" s="3">
        <v>6500000</v>
      </c>
      <c r="L872" s="3">
        <v>3390000.1049041701</v>
      </c>
      <c r="M872" s="3">
        <v>3930000.0667571998</v>
      </c>
      <c r="N872" s="3">
        <v>3369999.8855590797</v>
      </c>
      <c r="O872" s="3">
        <v>43740001.678466797</v>
      </c>
      <c r="P872" s="3">
        <v>6929999.8283386203</v>
      </c>
      <c r="Q872" s="3">
        <v>10180000.3051758</v>
      </c>
      <c r="R872" s="3">
        <v>139240005.493164</v>
      </c>
      <c r="S872" s="3">
        <v>3549999.95231628</v>
      </c>
      <c r="T872" s="3">
        <v>5710000.0381469699</v>
      </c>
      <c r="U872" s="3">
        <v>3589999.9141693101</v>
      </c>
      <c r="V872" s="3">
        <v>4119999.8855590802</v>
      </c>
      <c r="W872" s="3">
        <v>3930000.0667571998</v>
      </c>
      <c r="X872" s="3">
        <v>15760000.228881801</v>
      </c>
      <c r="Y872" s="3">
        <v>9949999.8092651404</v>
      </c>
      <c r="Z872" s="3">
        <v>13340000.1525879</v>
      </c>
      <c r="AA872" s="3">
        <v>10159999.8474121</v>
      </c>
      <c r="AB872" s="3">
        <v>25180000.3051758</v>
      </c>
      <c r="AC872" s="3"/>
      <c r="AD872" s="3"/>
      <c r="AE872" t="s">
        <v>6020</v>
      </c>
      <c r="AF872" t="s">
        <v>149</v>
      </c>
    </row>
    <row r="873" spans="1:32" ht="28.8" x14ac:dyDescent="0.3">
      <c r="A873" t="s">
        <v>1826</v>
      </c>
      <c r="B873" s="1" t="s">
        <v>1205</v>
      </c>
      <c r="C873" s="5" t="s">
        <v>2939</v>
      </c>
      <c r="D873" s="2" t="s">
        <v>4456</v>
      </c>
      <c r="E873" s="1" t="s">
        <v>1717</v>
      </c>
      <c r="F873" s="3"/>
      <c r="G873" s="3"/>
      <c r="H873" s="3"/>
      <c r="I873" s="3"/>
      <c r="J873" s="3"/>
      <c r="K873" s="3">
        <v>59999.9986588955</v>
      </c>
      <c r="L873" s="3">
        <v>29999.999329447703</v>
      </c>
      <c r="M873" s="3">
        <v>9999.9997764825803</v>
      </c>
      <c r="N873" s="3">
        <v>19999.999552965201</v>
      </c>
      <c r="O873" s="3">
        <v>39999.999105930299</v>
      </c>
      <c r="P873" s="3">
        <v>50000.000745058103</v>
      </c>
      <c r="Q873" s="3">
        <v>19999.999552965201</v>
      </c>
      <c r="R873" s="3">
        <v>9999.9997764825803</v>
      </c>
      <c r="S873" s="3">
        <v>9999.9997764825803</v>
      </c>
      <c r="T873" s="3"/>
      <c r="U873" s="3"/>
      <c r="V873" s="3"/>
      <c r="W873" s="3">
        <v>1149999.97615814</v>
      </c>
      <c r="X873" s="3"/>
      <c r="Y873" s="3"/>
      <c r="Z873" s="3"/>
      <c r="AA873" s="3"/>
      <c r="AB873" s="3"/>
      <c r="AC873" s="3"/>
      <c r="AD873" s="3"/>
      <c r="AE873" t="s">
        <v>6020</v>
      </c>
      <c r="AF873" t="s">
        <v>149</v>
      </c>
    </row>
    <row r="874" spans="1:32" x14ac:dyDescent="0.3">
      <c r="A874" t="s">
        <v>1826</v>
      </c>
      <c r="B874" s="1" t="s">
        <v>1205</v>
      </c>
      <c r="C874" s="5" t="s">
        <v>2940</v>
      </c>
      <c r="D874" s="2" t="s">
        <v>4457</v>
      </c>
      <c r="E874" s="1" t="s">
        <v>1564</v>
      </c>
      <c r="F874" s="3"/>
      <c r="G874" s="3"/>
      <c r="H874" s="3">
        <v>689999.99761581398</v>
      </c>
      <c r="I874" s="3">
        <v>-620000.00476837205</v>
      </c>
      <c r="J874" s="3">
        <v>-119999.997317791</v>
      </c>
      <c r="K874" s="3">
        <v>-109999.999403954</v>
      </c>
      <c r="L874" s="3">
        <v>-159999.99642372102</v>
      </c>
      <c r="M874" s="3">
        <v>-1610000.0143051101</v>
      </c>
      <c r="N874" s="3">
        <v>1269999.9809265099</v>
      </c>
      <c r="O874" s="3">
        <v>4000000</v>
      </c>
      <c r="P874" s="3">
        <v>9999.9997764825803</v>
      </c>
      <c r="Q874" s="3">
        <v>5920000.07629395</v>
      </c>
      <c r="R874" s="3">
        <v>90000.003576278701</v>
      </c>
      <c r="S874" s="3">
        <v>-90000.003576278701</v>
      </c>
      <c r="T874" s="3">
        <v>750000</v>
      </c>
      <c r="U874" s="3"/>
      <c r="V874" s="3">
        <v>0</v>
      </c>
      <c r="W874" s="3"/>
      <c r="X874" s="3"/>
      <c r="Y874" s="3"/>
      <c r="Z874" s="3">
        <v>0</v>
      </c>
      <c r="AA874" s="3"/>
      <c r="AB874" s="3">
        <v>109999.999403954</v>
      </c>
      <c r="AC874" s="3"/>
      <c r="AD874" s="3"/>
      <c r="AE874" t="s">
        <v>6020</v>
      </c>
      <c r="AF874" t="s">
        <v>149</v>
      </c>
    </row>
    <row r="875" spans="1:32" x14ac:dyDescent="0.3">
      <c r="A875" t="s">
        <v>1826</v>
      </c>
      <c r="B875" s="1" t="s">
        <v>1205</v>
      </c>
      <c r="C875" s="5" t="s">
        <v>2941</v>
      </c>
      <c r="D875" s="2" t="s">
        <v>4458</v>
      </c>
      <c r="E875" s="1" t="s">
        <v>1472</v>
      </c>
      <c r="F875" s="3"/>
      <c r="G875" s="3"/>
      <c r="H875" s="3"/>
      <c r="I875" s="3"/>
      <c r="J875" s="3"/>
      <c r="K875" s="3"/>
      <c r="L875" s="3"/>
      <c r="M875" s="3"/>
      <c r="N875" s="3"/>
      <c r="O875" s="3"/>
      <c r="P875" s="3"/>
      <c r="Q875" s="3">
        <v>79999.9982118607</v>
      </c>
      <c r="R875" s="3"/>
      <c r="S875" s="3">
        <v>9999.9997764825803</v>
      </c>
      <c r="T875" s="3"/>
      <c r="U875" s="3">
        <v>9999.9997764825803</v>
      </c>
      <c r="V875" s="3"/>
      <c r="W875" s="3"/>
      <c r="X875" s="3"/>
      <c r="Y875" s="3"/>
      <c r="Z875" s="3"/>
      <c r="AA875" s="3"/>
      <c r="AB875" s="3"/>
      <c r="AC875" s="3"/>
      <c r="AD875" s="3"/>
      <c r="AE875" t="s">
        <v>6021</v>
      </c>
      <c r="AF875" t="s">
        <v>1622</v>
      </c>
    </row>
    <row r="876" spans="1:32" ht="28.8" x14ac:dyDescent="0.3">
      <c r="A876" t="s">
        <v>1826</v>
      </c>
      <c r="B876" s="1" t="s">
        <v>1205</v>
      </c>
      <c r="C876" s="5" t="s">
        <v>2942</v>
      </c>
      <c r="D876" s="2" t="s">
        <v>4459</v>
      </c>
      <c r="E876" s="1" t="s">
        <v>530</v>
      </c>
      <c r="F876" s="3">
        <v>2960000.0381469699</v>
      </c>
      <c r="G876" s="3">
        <v>71769996.643066406</v>
      </c>
      <c r="H876" s="3">
        <v>4989999.7711181594</v>
      </c>
      <c r="I876" s="3">
        <v>6449999.8092651404</v>
      </c>
      <c r="J876" s="3">
        <v>22690000.534057599</v>
      </c>
      <c r="K876" s="3">
        <v>20750000</v>
      </c>
      <c r="L876" s="3">
        <v>76540000.915527299</v>
      </c>
      <c r="M876" s="3">
        <v>69849998.474121094</v>
      </c>
      <c r="N876" s="3">
        <v>145520004.272461</v>
      </c>
      <c r="O876" s="3">
        <v>71849998.474121094</v>
      </c>
      <c r="P876" s="3">
        <v>66930000.305175796</v>
      </c>
      <c r="Q876" s="3">
        <v>99080001.831054702</v>
      </c>
      <c r="R876" s="3">
        <v>169500000</v>
      </c>
      <c r="S876" s="3">
        <v>138059997.55859402</v>
      </c>
      <c r="T876" s="3">
        <v>121050003.05175799</v>
      </c>
      <c r="U876" s="3">
        <v>57569999.694824196</v>
      </c>
      <c r="V876" s="3">
        <v>108500000</v>
      </c>
      <c r="W876" s="3">
        <v>100330001.831055</v>
      </c>
      <c r="X876" s="3">
        <v>100620002.746582</v>
      </c>
      <c r="Y876" s="3">
        <v>102040000.915527</v>
      </c>
      <c r="Z876" s="3">
        <v>123860000.61035201</v>
      </c>
      <c r="AA876" s="3">
        <v>96889999.389648393</v>
      </c>
      <c r="AB876" s="3">
        <v>83040000.915527299</v>
      </c>
      <c r="AC876" s="3"/>
      <c r="AD876" s="3"/>
      <c r="AE876" t="s">
        <v>6020</v>
      </c>
      <c r="AF876" t="s">
        <v>149</v>
      </c>
    </row>
    <row r="877" spans="1:32" x14ac:dyDescent="0.3">
      <c r="A877" t="s">
        <v>1826</v>
      </c>
      <c r="B877" s="1" t="s">
        <v>1205</v>
      </c>
      <c r="C877" s="5" t="s">
        <v>2943</v>
      </c>
      <c r="D877" s="2" t="s">
        <v>4460</v>
      </c>
      <c r="E877" s="1" t="s">
        <v>1758</v>
      </c>
      <c r="F877" s="3"/>
      <c r="G877" s="3"/>
      <c r="H877" s="3">
        <v>59999.9986588955</v>
      </c>
      <c r="I877" s="3"/>
      <c r="J877" s="3">
        <v>620000.00476837205</v>
      </c>
      <c r="K877" s="3">
        <v>330000.01311302203</v>
      </c>
      <c r="L877" s="3">
        <v>629999.99523162795</v>
      </c>
      <c r="M877" s="3"/>
      <c r="N877" s="3">
        <v>319999.99284744303</v>
      </c>
      <c r="O877" s="3">
        <v>550000.01192092896</v>
      </c>
      <c r="P877" s="3">
        <v>460000.00834464998</v>
      </c>
      <c r="Q877" s="3">
        <v>1450000.04768372</v>
      </c>
      <c r="R877" s="3">
        <v>370000.00476837205</v>
      </c>
      <c r="S877" s="3">
        <v>660000.02622604405</v>
      </c>
      <c r="T877" s="3">
        <v>490000.00953674299</v>
      </c>
      <c r="U877" s="3">
        <v>469999.99880790699</v>
      </c>
      <c r="V877" s="3">
        <v>389999.98569488496</v>
      </c>
      <c r="W877" s="3">
        <v>239999.994635582</v>
      </c>
      <c r="X877" s="3">
        <v>170000.00178813902</v>
      </c>
      <c r="Y877" s="3">
        <v>100000.00149011599</v>
      </c>
      <c r="Z877" s="3"/>
      <c r="AA877" s="3"/>
      <c r="AB877" s="3">
        <v>540000.021457672</v>
      </c>
      <c r="AC877" s="3"/>
      <c r="AD877" s="3"/>
      <c r="AE877" t="s">
        <v>6020</v>
      </c>
      <c r="AF877" t="s">
        <v>149</v>
      </c>
    </row>
    <row r="878" spans="1:32" x14ac:dyDescent="0.3">
      <c r="A878" t="s">
        <v>1826</v>
      </c>
      <c r="B878" s="1" t="s">
        <v>1205</v>
      </c>
      <c r="C878" s="5" t="s">
        <v>2944</v>
      </c>
      <c r="D878" s="2" t="s">
        <v>4461</v>
      </c>
      <c r="E878" s="1" t="s">
        <v>1363</v>
      </c>
      <c r="F878" s="3">
        <v>156259994.506836</v>
      </c>
      <c r="G878" s="3">
        <v>110400001.52587901</v>
      </c>
      <c r="H878" s="3">
        <v>531289978.02734399</v>
      </c>
      <c r="I878" s="3">
        <v>116470001.22070299</v>
      </c>
      <c r="J878" s="3">
        <v>62159999.847412102</v>
      </c>
      <c r="K878" s="3">
        <v>54900001.525878899</v>
      </c>
      <c r="L878" s="3">
        <v>106819999.69482401</v>
      </c>
      <c r="M878" s="3">
        <v>50689998.626708999</v>
      </c>
      <c r="N878" s="3">
        <v>39490001.678466797</v>
      </c>
      <c r="O878" s="3">
        <v>1199060058.59375</v>
      </c>
      <c r="P878" s="3">
        <v>138520004.272461</v>
      </c>
      <c r="Q878" s="3">
        <v>553210021.97265601</v>
      </c>
      <c r="R878" s="3">
        <v>1279020019.53125</v>
      </c>
      <c r="S878" s="3">
        <v>81050003.051757798</v>
      </c>
      <c r="T878" s="3">
        <v>67919998.168945298</v>
      </c>
      <c r="U878" s="3">
        <v>22190000.534057599</v>
      </c>
      <c r="V878" s="3">
        <v>15829999.923706101</v>
      </c>
      <c r="W878" s="3">
        <v>11640000.3433228</v>
      </c>
      <c r="X878" s="3">
        <v>297070007.32421899</v>
      </c>
      <c r="Y878" s="3">
        <v>355549987.79296899</v>
      </c>
      <c r="Z878" s="3">
        <v>278950012.20703101</v>
      </c>
      <c r="AA878" s="3">
        <v>359540008.54492199</v>
      </c>
      <c r="AB878" s="3">
        <v>588190002.44140601</v>
      </c>
      <c r="AC878" s="3"/>
      <c r="AD878" s="3"/>
      <c r="AE878" t="s">
        <v>6020</v>
      </c>
      <c r="AF878" t="s">
        <v>149</v>
      </c>
    </row>
    <row r="879" spans="1:32" x14ac:dyDescent="0.3">
      <c r="A879" t="s">
        <v>1826</v>
      </c>
      <c r="B879" s="1" t="s">
        <v>1205</v>
      </c>
      <c r="C879" s="5" t="s">
        <v>2945</v>
      </c>
      <c r="D879" s="2" t="s">
        <v>4462</v>
      </c>
      <c r="E879" s="1" t="s">
        <v>237</v>
      </c>
      <c r="F879" s="3">
        <v>15689999.580383301</v>
      </c>
      <c r="G879" s="3">
        <v>19010000.228881799</v>
      </c>
      <c r="H879" s="3">
        <v>31110000.6103516</v>
      </c>
      <c r="I879" s="3">
        <v>54369998.931884803</v>
      </c>
      <c r="J879" s="3">
        <v>14460000.038146999</v>
      </c>
      <c r="K879" s="3">
        <v>13199999.809265099</v>
      </c>
      <c r="L879" s="3">
        <v>12470000.267028799</v>
      </c>
      <c r="M879" s="3">
        <v>19809999.465942401</v>
      </c>
      <c r="N879" s="3">
        <v>17469999.3133545</v>
      </c>
      <c r="O879" s="3">
        <v>15079999.923706101</v>
      </c>
      <c r="P879" s="3">
        <v>92550003.051757798</v>
      </c>
      <c r="Q879" s="3">
        <v>19459999.084472697</v>
      </c>
      <c r="R879" s="3">
        <v>14390000.3433228</v>
      </c>
      <c r="S879" s="3">
        <v>104839996.337891</v>
      </c>
      <c r="T879" s="3">
        <v>18729999.542236298</v>
      </c>
      <c r="U879" s="3">
        <v>15850000.3814697</v>
      </c>
      <c r="V879" s="3">
        <v>9239999.7711181603</v>
      </c>
      <c r="W879" s="3">
        <v>22629999.160766602</v>
      </c>
      <c r="X879" s="3">
        <v>15609999.6566772</v>
      </c>
      <c r="Y879" s="3">
        <v>99610000.610351607</v>
      </c>
      <c r="Z879" s="3">
        <v>81080001.831054702</v>
      </c>
      <c r="AA879" s="3">
        <v>92739997.863769501</v>
      </c>
      <c r="AB879" s="3">
        <v>93209999.084472701</v>
      </c>
      <c r="AC879" s="3"/>
      <c r="AD879" s="3"/>
      <c r="AE879" t="s">
        <v>6020</v>
      </c>
      <c r="AF879" t="s">
        <v>149</v>
      </c>
    </row>
    <row r="880" spans="1:32" x14ac:dyDescent="0.3">
      <c r="A880" t="s">
        <v>1826</v>
      </c>
      <c r="B880" s="1" t="s">
        <v>1205</v>
      </c>
      <c r="C880" s="5" t="s">
        <v>2946</v>
      </c>
      <c r="D880" s="2" t="s">
        <v>4463</v>
      </c>
      <c r="E880" s="1" t="s">
        <v>286</v>
      </c>
      <c r="F880" s="3">
        <v>150000.00596046401</v>
      </c>
      <c r="G880" s="3">
        <v>140000.00059604601</v>
      </c>
      <c r="H880" s="3">
        <v>29999.999329447703</v>
      </c>
      <c r="I880" s="3">
        <v>230000.00417232499</v>
      </c>
      <c r="J880" s="3">
        <v>660000.02622604405</v>
      </c>
      <c r="K880" s="3">
        <v>100000.00149011599</v>
      </c>
      <c r="L880" s="3">
        <v>259999.99046325701</v>
      </c>
      <c r="M880" s="3">
        <v>490000.00953674299</v>
      </c>
      <c r="N880" s="3">
        <v>90000.003576278701</v>
      </c>
      <c r="O880" s="3">
        <v>150000.00596046401</v>
      </c>
      <c r="P880" s="3">
        <v>19999.999552965201</v>
      </c>
      <c r="Q880" s="3">
        <v>29999.999329447703</v>
      </c>
      <c r="R880" s="3">
        <v>19999.999552965201</v>
      </c>
      <c r="S880" s="3">
        <v>9999.9997764825803</v>
      </c>
      <c r="T880" s="3">
        <v>9999.9997764825803</v>
      </c>
      <c r="U880" s="3">
        <v>9999.9997764825803</v>
      </c>
      <c r="V880" s="3"/>
      <c r="W880" s="3"/>
      <c r="X880" s="3"/>
      <c r="Y880" s="3"/>
      <c r="Z880" s="3"/>
      <c r="AA880" s="3"/>
      <c r="AB880" s="3">
        <v>39999.999105930299</v>
      </c>
      <c r="AC880" s="3"/>
      <c r="AD880" s="3"/>
      <c r="AE880" t="s">
        <v>6020</v>
      </c>
      <c r="AF880" t="s">
        <v>149</v>
      </c>
    </row>
    <row r="881" spans="1:32" x14ac:dyDescent="0.3">
      <c r="A881" t="s">
        <v>1826</v>
      </c>
      <c r="B881" s="1" t="s">
        <v>1205</v>
      </c>
      <c r="C881" s="5" t="s">
        <v>2947</v>
      </c>
      <c r="D881" s="2" t="s">
        <v>4464</v>
      </c>
      <c r="E881" s="1" t="s">
        <v>943</v>
      </c>
      <c r="F881" s="3"/>
      <c r="G881" s="3"/>
      <c r="H881" s="3"/>
      <c r="I881" s="3"/>
      <c r="J881" s="3"/>
      <c r="K881" s="3"/>
      <c r="L881" s="3"/>
      <c r="M881" s="3"/>
      <c r="N881" s="3"/>
      <c r="O881" s="3"/>
      <c r="P881" s="3"/>
      <c r="Q881" s="3"/>
      <c r="R881" s="3"/>
      <c r="S881" s="3"/>
      <c r="T881" s="3"/>
      <c r="U881" s="3">
        <v>0</v>
      </c>
      <c r="V881" s="3"/>
      <c r="W881" s="3">
        <v>0</v>
      </c>
      <c r="X881" s="3"/>
      <c r="Y881" s="3"/>
      <c r="Z881" s="3">
        <v>0</v>
      </c>
      <c r="AA881" s="3">
        <v>0</v>
      </c>
      <c r="AB881" s="3"/>
      <c r="AC881" s="3"/>
      <c r="AD881" s="3"/>
      <c r="AE881" t="s">
        <v>6020</v>
      </c>
      <c r="AF881" t="s">
        <v>149</v>
      </c>
    </row>
    <row r="882" spans="1:32" x14ac:dyDescent="0.3">
      <c r="A882" t="s">
        <v>1826</v>
      </c>
      <c r="B882" s="1" t="s">
        <v>1205</v>
      </c>
      <c r="C882" s="5" t="s">
        <v>2948</v>
      </c>
      <c r="D882" s="2" t="s">
        <v>4465</v>
      </c>
      <c r="E882" s="1" t="s">
        <v>1248</v>
      </c>
      <c r="F882" s="3"/>
      <c r="G882" s="3"/>
      <c r="H882" s="3"/>
      <c r="I882" s="3"/>
      <c r="J882" s="3"/>
      <c r="K882" s="3"/>
      <c r="L882" s="3"/>
      <c r="M882" s="3"/>
      <c r="N882" s="3"/>
      <c r="O882" s="3"/>
      <c r="P882" s="3">
        <v>90000.003576278701</v>
      </c>
      <c r="Q882" s="3">
        <v>100000.00149011599</v>
      </c>
      <c r="R882" s="3"/>
      <c r="S882" s="3"/>
      <c r="T882" s="3"/>
      <c r="U882" s="3"/>
      <c r="V882" s="3"/>
      <c r="W882" s="3"/>
      <c r="X882" s="3"/>
      <c r="Y882" s="3"/>
      <c r="Z882" s="3"/>
      <c r="AA882" s="3"/>
      <c r="AB882" s="3"/>
      <c r="AC882" s="3"/>
      <c r="AD882" s="3"/>
      <c r="AE882" t="s">
        <v>6020</v>
      </c>
      <c r="AF882" t="s">
        <v>149</v>
      </c>
    </row>
    <row r="883" spans="1:32" x14ac:dyDescent="0.3">
      <c r="A883" t="s">
        <v>1826</v>
      </c>
      <c r="B883" s="1" t="s">
        <v>1205</v>
      </c>
      <c r="C883" s="5" t="s">
        <v>2949</v>
      </c>
      <c r="D883" s="2" t="s">
        <v>4466</v>
      </c>
      <c r="E883" s="1" t="s">
        <v>1013</v>
      </c>
      <c r="F883" s="3"/>
      <c r="G883" s="3"/>
      <c r="H883" s="3"/>
      <c r="I883" s="3"/>
      <c r="J883" s="3"/>
      <c r="K883" s="3"/>
      <c r="L883" s="3">
        <v>1980000.0190734901</v>
      </c>
      <c r="M883" s="3">
        <v>2720000.02861023</v>
      </c>
      <c r="N883" s="3">
        <v>50000.000745058103</v>
      </c>
      <c r="O883" s="3">
        <v>29999.999329447703</v>
      </c>
      <c r="P883" s="3">
        <v>409999.99642372096</v>
      </c>
      <c r="Q883" s="3">
        <v>790000.021457672</v>
      </c>
      <c r="R883" s="3">
        <v>50000.000745058103</v>
      </c>
      <c r="S883" s="3"/>
      <c r="T883" s="3"/>
      <c r="U883" s="3">
        <v>9999.9997764825803</v>
      </c>
      <c r="V883" s="3">
        <v>9999.9997764825803</v>
      </c>
      <c r="W883" s="3">
        <v>19999.999552965201</v>
      </c>
      <c r="X883" s="3">
        <v>19999.999552965201</v>
      </c>
      <c r="Y883" s="3">
        <v>19999.999552965201</v>
      </c>
      <c r="Z883" s="3">
        <v>19999.999552965201</v>
      </c>
      <c r="AA883" s="3">
        <v>19999.999552965201</v>
      </c>
      <c r="AB883" s="3">
        <v>39999.999105930299</v>
      </c>
      <c r="AC883" s="3"/>
      <c r="AD883" s="3"/>
      <c r="AE883" t="s">
        <v>6020</v>
      </c>
      <c r="AF883" t="s">
        <v>149</v>
      </c>
    </row>
    <row r="884" spans="1:32" x14ac:dyDescent="0.3">
      <c r="A884" t="s">
        <v>1826</v>
      </c>
      <c r="B884" s="1" t="s">
        <v>1205</v>
      </c>
      <c r="C884" s="5" t="s">
        <v>2950</v>
      </c>
      <c r="D884" s="2" t="s">
        <v>4467</v>
      </c>
      <c r="E884" s="1" t="s">
        <v>708</v>
      </c>
      <c r="F884" s="3">
        <v>209999.99344348899</v>
      </c>
      <c r="G884" s="3">
        <v>319999.99284744303</v>
      </c>
      <c r="H884" s="3">
        <v>319999.99284744303</v>
      </c>
      <c r="I884" s="3">
        <v>709999.978542328</v>
      </c>
      <c r="J884" s="3">
        <v>49729999.542236298</v>
      </c>
      <c r="K884" s="3">
        <v>1179999.94754791</v>
      </c>
      <c r="L884" s="3">
        <v>759999.99046325695</v>
      </c>
      <c r="M884" s="3">
        <v>819999.99284744298</v>
      </c>
      <c r="N884" s="3">
        <v>1740000.0095367401</v>
      </c>
      <c r="O884" s="3">
        <v>65970001.220703095</v>
      </c>
      <c r="P884" s="3">
        <v>2240000.0095367399</v>
      </c>
      <c r="Q884" s="3">
        <v>1220000.02861023</v>
      </c>
      <c r="R884" s="3">
        <v>2630000.1144409203</v>
      </c>
      <c r="S884" s="3">
        <v>620000.00476837205</v>
      </c>
      <c r="T884" s="3">
        <v>540000.021457672</v>
      </c>
      <c r="U884" s="3">
        <v>1289999.9618530299</v>
      </c>
      <c r="V884" s="3">
        <v>769999.98092651402</v>
      </c>
      <c r="W884" s="3">
        <v>3200000.04768372</v>
      </c>
      <c r="X884" s="3">
        <v>4639999.8664856004</v>
      </c>
      <c r="Y884" s="3">
        <v>3150000.0953674298</v>
      </c>
      <c r="Z884" s="3">
        <v>3140000.1049041701</v>
      </c>
      <c r="AA884" s="3">
        <v>4340000.1525878897</v>
      </c>
      <c r="AB884" s="3">
        <v>3039999.9618530301</v>
      </c>
      <c r="AC884" s="3"/>
      <c r="AD884" s="3"/>
      <c r="AE884" t="s">
        <v>6020</v>
      </c>
      <c r="AF884" t="s">
        <v>149</v>
      </c>
    </row>
    <row r="885" spans="1:32" x14ac:dyDescent="0.3">
      <c r="A885" t="s">
        <v>1826</v>
      </c>
      <c r="B885" s="1" t="s">
        <v>1205</v>
      </c>
      <c r="C885" s="5" t="s">
        <v>2951</v>
      </c>
      <c r="D885" s="2" t="s">
        <v>4468</v>
      </c>
      <c r="E885" s="1" t="s">
        <v>892</v>
      </c>
      <c r="F885" s="3">
        <v>23399999.6185303</v>
      </c>
      <c r="G885" s="3">
        <v>4309999.9427795401</v>
      </c>
      <c r="H885" s="3">
        <v>5210000.0381469699</v>
      </c>
      <c r="I885" s="3">
        <v>2440000.0572204599</v>
      </c>
      <c r="J885" s="3">
        <v>1899999.97615814</v>
      </c>
      <c r="K885" s="3">
        <v>1370000.00476837</v>
      </c>
      <c r="L885" s="3">
        <v>12949999.809265099</v>
      </c>
      <c r="M885" s="3">
        <v>6539999.9618530301</v>
      </c>
      <c r="N885" s="3">
        <v>19510000.228881799</v>
      </c>
      <c r="O885" s="3">
        <v>10390000.3433228</v>
      </c>
      <c r="P885" s="3">
        <v>81260002.136230499</v>
      </c>
      <c r="Q885" s="3">
        <v>8329999.9237060491</v>
      </c>
      <c r="R885" s="3">
        <v>30879999.160766602</v>
      </c>
      <c r="S885" s="3">
        <v>35689998.626708999</v>
      </c>
      <c r="T885" s="3">
        <v>26590000.152587902</v>
      </c>
      <c r="U885" s="3">
        <v>22030000.6866455</v>
      </c>
      <c r="V885" s="3">
        <v>22549999.237060502</v>
      </c>
      <c r="W885" s="3">
        <v>38430000.305175804</v>
      </c>
      <c r="X885" s="3">
        <v>24639999.3896484</v>
      </c>
      <c r="Y885" s="3">
        <v>52849998.474121101</v>
      </c>
      <c r="Z885" s="3">
        <v>65510002.136230499</v>
      </c>
      <c r="AA885" s="3">
        <v>34259998.321533203</v>
      </c>
      <c r="AB885" s="3">
        <v>140940002.44140598</v>
      </c>
      <c r="AC885" s="3"/>
      <c r="AD885" s="3"/>
      <c r="AE885" t="s">
        <v>6020</v>
      </c>
      <c r="AF885" t="s">
        <v>149</v>
      </c>
    </row>
    <row r="886" spans="1:32" x14ac:dyDescent="0.3">
      <c r="A886" t="s">
        <v>1826</v>
      </c>
      <c r="B886" s="1" t="s">
        <v>1205</v>
      </c>
      <c r="C886" s="5" t="s">
        <v>2952</v>
      </c>
      <c r="D886" s="2" t="s">
        <v>4469</v>
      </c>
      <c r="E886" s="1" t="s">
        <v>1346</v>
      </c>
      <c r="F886" s="3"/>
      <c r="G886" s="3"/>
      <c r="H886" s="3">
        <v>9999.9997764825803</v>
      </c>
      <c r="I886" s="3">
        <v>129999.995231628</v>
      </c>
      <c r="J886" s="3">
        <v>189999.99761581398</v>
      </c>
      <c r="K886" s="3">
        <v>259999.99046325701</v>
      </c>
      <c r="L886" s="3">
        <v>1029999.97138977</v>
      </c>
      <c r="M886" s="3">
        <v>850000.02384185803</v>
      </c>
      <c r="N886" s="3">
        <v>1730000.0190734901</v>
      </c>
      <c r="O886" s="3">
        <v>980000.01907348598</v>
      </c>
      <c r="P886" s="3">
        <v>1230000.0190734901</v>
      </c>
      <c r="Q886" s="3">
        <v>1029999.97138977</v>
      </c>
      <c r="R886" s="3">
        <v>1039999.96185303</v>
      </c>
      <c r="S886" s="3">
        <v>1889999.9856948899</v>
      </c>
      <c r="T886" s="3">
        <v>2559999.9427795401</v>
      </c>
      <c r="U886" s="3">
        <v>3539999.9618530301</v>
      </c>
      <c r="V886" s="3">
        <v>6019999.9809265099</v>
      </c>
      <c r="W886" s="3">
        <v>6300000.1907348596</v>
      </c>
      <c r="X886" s="3">
        <v>6760000.2288818406</v>
      </c>
      <c r="Y886" s="3">
        <v>10270000.4577637</v>
      </c>
      <c r="Z886" s="3">
        <v>8890000.3433227502</v>
      </c>
      <c r="AA886" s="3">
        <v>35520000.457763702</v>
      </c>
      <c r="AB886" s="3">
        <v>10420000.076293899</v>
      </c>
      <c r="AC886" s="3"/>
      <c r="AD886" s="3"/>
      <c r="AE886" t="s">
        <v>6020</v>
      </c>
      <c r="AF886" t="s">
        <v>149</v>
      </c>
    </row>
    <row r="887" spans="1:32" x14ac:dyDescent="0.3">
      <c r="A887" t="s">
        <v>1826</v>
      </c>
      <c r="B887" s="1" t="s">
        <v>1205</v>
      </c>
      <c r="C887" s="5" t="s">
        <v>2953</v>
      </c>
      <c r="D887" s="2" t="s">
        <v>4470</v>
      </c>
      <c r="E887" s="1" t="s">
        <v>1371</v>
      </c>
      <c r="F887" s="3"/>
      <c r="G887" s="3"/>
      <c r="H887" s="3"/>
      <c r="I887" s="3"/>
      <c r="J887" s="3"/>
      <c r="K887" s="3"/>
      <c r="L887" s="3"/>
      <c r="M887" s="3"/>
      <c r="N887" s="3"/>
      <c r="O887" s="3"/>
      <c r="P887" s="3"/>
      <c r="Q887" s="3"/>
      <c r="R887" s="3"/>
      <c r="S887" s="3"/>
      <c r="T887" s="3"/>
      <c r="U887" s="3"/>
      <c r="V887" s="3"/>
      <c r="W887" s="3"/>
      <c r="X887" s="3"/>
      <c r="Y887" s="3">
        <v>29999.999329447703</v>
      </c>
      <c r="Z887" s="3">
        <v>29999.999329447703</v>
      </c>
      <c r="AA887" s="3">
        <v>59999.9986588955</v>
      </c>
      <c r="AB887" s="3"/>
      <c r="AC887" s="3"/>
      <c r="AD887" s="3"/>
      <c r="AE887" t="s">
        <v>6021</v>
      </c>
      <c r="AF887" t="s">
        <v>1622</v>
      </c>
    </row>
    <row r="888" spans="1:32" x14ac:dyDescent="0.3">
      <c r="A888" t="s">
        <v>1826</v>
      </c>
      <c r="B888" s="1" t="s">
        <v>1205</v>
      </c>
      <c r="C888" s="5" t="s">
        <v>2954</v>
      </c>
      <c r="D888" s="2" t="s">
        <v>4471</v>
      </c>
      <c r="E888" s="1" t="s">
        <v>1875</v>
      </c>
      <c r="F888" s="3"/>
      <c r="G888" s="3"/>
      <c r="H888" s="3">
        <v>490000.00953674299</v>
      </c>
      <c r="I888" s="3">
        <v>19999.999552965201</v>
      </c>
      <c r="J888" s="3">
        <v>1250000</v>
      </c>
      <c r="K888" s="3">
        <v>579999.983310699</v>
      </c>
      <c r="L888" s="3">
        <v>19999.999552965201</v>
      </c>
      <c r="M888" s="3">
        <v>550000.01192092896</v>
      </c>
      <c r="N888" s="3">
        <v>19999.999552965201</v>
      </c>
      <c r="O888" s="3">
        <v>419999.98688697797</v>
      </c>
      <c r="P888" s="3">
        <v>509999.99046325695</v>
      </c>
      <c r="Q888" s="3">
        <v>319999.99284744303</v>
      </c>
      <c r="R888" s="3">
        <v>70000.000298023195</v>
      </c>
      <c r="S888" s="3">
        <v>79999.9982118607</v>
      </c>
      <c r="T888" s="3">
        <v>159999.99642372102</v>
      </c>
      <c r="U888" s="3">
        <v>59999.9986588955</v>
      </c>
      <c r="V888" s="3">
        <v>90000.003576278701</v>
      </c>
      <c r="W888" s="3">
        <v>70000.000298023195</v>
      </c>
      <c r="X888" s="3">
        <v>79999.9982118607</v>
      </c>
      <c r="Y888" s="3">
        <v>109999.999403954</v>
      </c>
      <c r="Z888" s="3">
        <v>180000.00715255702</v>
      </c>
      <c r="AA888" s="3">
        <v>140000.00059604601</v>
      </c>
      <c r="AB888" s="3">
        <v>119999.997317791</v>
      </c>
      <c r="AC888" s="3"/>
      <c r="AD888" s="3"/>
      <c r="AE888" t="s">
        <v>6020</v>
      </c>
      <c r="AF888" t="s">
        <v>149</v>
      </c>
    </row>
    <row r="889" spans="1:32" x14ac:dyDescent="0.3">
      <c r="A889" t="s">
        <v>1826</v>
      </c>
      <c r="B889" s="1" t="s">
        <v>1205</v>
      </c>
      <c r="C889" s="5" t="s">
        <v>2955</v>
      </c>
      <c r="D889" s="2" t="s">
        <v>4472</v>
      </c>
      <c r="E889" s="1" t="s">
        <v>1362</v>
      </c>
      <c r="F889" s="3">
        <v>10300000.190734901</v>
      </c>
      <c r="G889" s="3">
        <v>7599999.9046325702</v>
      </c>
      <c r="H889" s="3">
        <v>24329999.923706099</v>
      </c>
      <c r="I889" s="3">
        <v>14890000.3433228</v>
      </c>
      <c r="J889" s="3">
        <v>1929999.94754791</v>
      </c>
      <c r="K889" s="3">
        <v>2420000.07629395</v>
      </c>
      <c r="L889" s="3">
        <v>1000000</v>
      </c>
      <c r="M889" s="3">
        <v>1509999.9904632599</v>
      </c>
      <c r="N889" s="3">
        <v>100000.00149011599</v>
      </c>
      <c r="O889" s="3">
        <v>36540000.915527299</v>
      </c>
      <c r="P889" s="3">
        <v>5460000.0381469699</v>
      </c>
      <c r="Q889" s="3">
        <v>8920000.0762939509</v>
      </c>
      <c r="R889" s="3"/>
      <c r="S889" s="3"/>
      <c r="T889" s="3"/>
      <c r="U889" s="3"/>
      <c r="V889" s="3"/>
      <c r="W889" s="3"/>
      <c r="X889" s="3">
        <v>9999.9997764825803</v>
      </c>
      <c r="Y889" s="3">
        <v>29999.999329447703</v>
      </c>
      <c r="Z889" s="3">
        <v>0</v>
      </c>
      <c r="AA889" s="3">
        <v>19999.999552965201</v>
      </c>
      <c r="AB889" s="3">
        <v>29999.999329447703</v>
      </c>
      <c r="AC889" s="3"/>
      <c r="AD889" s="3"/>
      <c r="AE889" t="s">
        <v>6020</v>
      </c>
      <c r="AF889" t="s">
        <v>149</v>
      </c>
    </row>
    <row r="890" spans="1:32" x14ac:dyDescent="0.3">
      <c r="A890" t="s">
        <v>1826</v>
      </c>
      <c r="B890" s="1" t="s">
        <v>1205</v>
      </c>
      <c r="C890" s="5" t="s">
        <v>2956</v>
      </c>
      <c r="D890" s="2" t="s">
        <v>4473</v>
      </c>
      <c r="E890" s="1" t="s">
        <v>118</v>
      </c>
      <c r="F890" s="3"/>
      <c r="G890" s="3"/>
      <c r="H890" s="3"/>
      <c r="I890" s="3">
        <v>29999.999329447703</v>
      </c>
      <c r="J890" s="3"/>
      <c r="K890" s="3"/>
      <c r="L890" s="3"/>
      <c r="M890" s="3"/>
      <c r="N890" s="3"/>
      <c r="O890" s="3"/>
      <c r="P890" s="3"/>
      <c r="Q890" s="3">
        <v>1129999.99523163</v>
      </c>
      <c r="R890" s="3"/>
      <c r="S890" s="3"/>
      <c r="T890" s="3"/>
      <c r="U890" s="3"/>
      <c r="V890" s="3"/>
      <c r="W890" s="3"/>
      <c r="X890" s="3"/>
      <c r="Y890" s="3"/>
      <c r="Z890" s="3"/>
      <c r="AA890" s="3"/>
      <c r="AB890" s="3"/>
      <c r="AC890" s="3"/>
      <c r="AD890" s="3"/>
      <c r="AE890" t="s">
        <v>6020</v>
      </c>
      <c r="AF890" t="s">
        <v>149</v>
      </c>
    </row>
    <row r="891" spans="1:32" x14ac:dyDescent="0.3">
      <c r="A891" t="s">
        <v>1826</v>
      </c>
      <c r="B891" s="1" t="s">
        <v>1205</v>
      </c>
      <c r="C891" s="5" t="s">
        <v>2957</v>
      </c>
      <c r="D891" s="2" t="s">
        <v>4474</v>
      </c>
      <c r="E891" s="1" t="s">
        <v>1688</v>
      </c>
      <c r="F891" s="3">
        <v>150000.00596046401</v>
      </c>
      <c r="G891" s="3">
        <v>239999.994635582</v>
      </c>
      <c r="H891" s="3">
        <v>509999.99046325695</v>
      </c>
      <c r="I891" s="3">
        <v>870000.00476837205</v>
      </c>
      <c r="J891" s="3">
        <v>3039999.9618530301</v>
      </c>
      <c r="K891" s="3">
        <v>3859999.8950958299</v>
      </c>
      <c r="L891" s="3">
        <v>3750000</v>
      </c>
      <c r="M891" s="3">
        <v>4670000.07629395</v>
      </c>
      <c r="N891" s="3">
        <v>3599999.9046325702</v>
      </c>
      <c r="O891" s="3">
        <v>1570000.05245209</v>
      </c>
      <c r="P891" s="3">
        <v>1720000.02861023</v>
      </c>
      <c r="Q891" s="3">
        <v>7429999.8283386203</v>
      </c>
      <c r="R891" s="3">
        <v>7610000.1335143996</v>
      </c>
      <c r="S891" s="3">
        <v>990000.00953674305</v>
      </c>
      <c r="T891" s="3">
        <v>1090000.0333785999</v>
      </c>
      <c r="U891" s="3">
        <v>1080000.04291534</v>
      </c>
      <c r="V891" s="3">
        <v>349999.99403953605</v>
      </c>
      <c r="W891" s="3">
        <v>300000.01192092901</v>
      </c>
      <c r="X891" s="3">
        <v>379999.99523162795</v>
      </c>
      <c r="Y891" s="3">
        <v>129999.995231628</v>
      </c>
      <c r="Z891" s="3">
        <v>109999.999403954</v>
      </c>
      <c r="AA891" s="3">
        <v>189999.99761581398</v>
      </c>
      <c r="AB891" s="3">
        <v>250000</v>
      </c>
      <c r="AC891" s="3"/>
      <c r="AD891" s="3"/>
      <c r="AE891" t="s">
        <v>6020</v>
      </c>
      <c r="AF891" t="s">
        <v>149</v>
      </c>
    </row>
    <row r="892" spans="1:32" x14ac:dyDescent="0.3">
      <c r="A892" t="s">
        <v>1826</v>
      </c>
      <c r="B892" s="1" t="s">
        <v>1205</v>
      </c>
      <c r="C892" s="5" t="s">
        <v>2958</v>
      </c>
      <c r="D892" s="2" t="s">
        <v>4475</v>
      </c>
      <c r="E892" s="1" t="s">
        <v>1504</v>
      </c>
      <c r="F892" s="3"/>
      <c r="G892" s="3"/>
      <c r="H892" s="3"/>
      <c r="I892" s="3"/>
      <c r="J892" s="3"/>
      <c r="K892" s="3"/>
      <c r="L892" s="3"/>
      <c r="M892" s="3"/>
      <c r="N892" s="3"/>
      <c r="O892" s="3"/>
      <c r="P892" s="3"/>
      <c r="Q892" s="3"/>
      <c r="R892" s="3"/>
      <c r="S892" s="3"/>
      <c r="T892" s="3"/>
      <c r="U892" s="3"/>
      <c r="V892" s="3"/>
      <c r="W892" s="3">
        <v>50000.000745058103</v>
      </c>
      <c r="X892" s="3"/>
      <c r="Y892" s="3">
        <v>9999.9997764825803</v>
      </c>
      <c r="Z892" s="3"/>
      <c r="AA892" s="3">
        <v>19999.999552965201</v>
      </c>
      <c r="AB892" s="3">
        <v>9999.9997764825803</v>
      </c>
      <c r="AC892" s="3"/>
      <c r="AD892" s="3"/>
      <c r="AE892" t="s">
        <v>6020</v>
      </c>
      <c r="AF892" t="s">
        <v>149</v>
      </c>
    </row>
    <row r="893" spans="1:32" x14ac:dyDescent="0.3">
      <c r="A893" t="s">
        <v>1826</v>
      </c>
      <c r="B893" s="1" t="s">
        <v>1205</v>
      </c>
      <c r="C893" s="5" t="s">
        <v>2959</v>
      </c>
      <c r="D893" s="2" t="s">
        <v>4476</v>
      </c>
      <c r="E893" s="1" t="s">
        <v>442</v>
      </c>
      <c r="F893" s="3"/>
      <c r="G893" s="3">
        <v>29999.999329447703</v>
      </c>
      <c r="H893" s="3">
        <v>79999.9982118607</v>
      </c>
      <c r="I893" s="3"/>
      <c r="J893" s="3">
        <v>100000.00149011599</v>
      </c>
      <c r="K893" s="3">
        <v>230000.00417232499</v>
      </c>
      <c r="L893" s="3">
        <v>119999.997317791</v>
      </c>
      <c r="M893" s="3">
        <v>200000.00298023198</v>
      </c>
      <c r="N893" s="3">
        <v>180000.00715255702</v>
      </c>
      <c r="O893" s="3">
        <v>29999.999329447703</v>
      </c>
      <c r="P893" s="3"/>
      <c r="Q893" s="3">
        <v>90000.003576278701</v>
      </c>
      <c r="R893" s="3">
        <v>29999.999329447703</v>
      </c>
      <c r="S893" s="3">
        <v>29999.999329447703</v>
      </c>
      <c r="T893" s="3">
        <v>29999.999329447703</v>
      </c>
      <c r="U893" s="3">
        <v>19999.999552965201</v>
      </c>
      <c r="V893" s="3">
        <v>19999.999552965201</v>
      </c>
      <c r="W893" s="3">
        <v>19999.999552965201</v>
      </c>
      <c r="X893" s="3">
        <v>29999.999329447703</v>
      </c>
      <c r="Y893" s="3">
        <v>589999.97377395595</v>
      </c>
      <c r="Z893" s="3">
        <v>70000.000298023195</v>
      </c>
      <c r="AA893" s="3">
        <v>400000.00596046395</v>
      </c>
      <c r="AB893" s="3">
        <v>90000.003576278701</v>
      </c>
      <c r="AC893" s="3"/>
      <c r="AD893" s="3"/>
      <c r="AE893" t="s">
        <v>6020</v>
      </c>
      <c r="AF893" t="s">
        <v>149</v>
      </c>
    </row>
    <row r="894" spans="1:32" x14ac:dyDescent="0.3">
      <c r="A894" t="s">
        <v>1826</v>
      </c>
      <c r="B894" s="1" t="s">
        <v>1205</v>
      </c>
      <c r="C894" s="5" t="s">
        <v>2960</v>
      </c>
      <c r="D894" s="2" t="s">
        <v>4477</v>
      </c>
      <c r="E894" s="1" t="s">
        <v>732</v>
      </c>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t="s">
        <v>6020</v>
      </c>
      <c r="AF894" t="s">
        <v>149</v>
      </c>
    </row>
    <row r="895" spans="1:32" x14ac:dyDescent="0.3">
      <c r="A895" t="s">
        <v>1826</v>
      </c>
      <c r="B895" s="1" t="s">
        <v>1205</v>
      </c>
      <c r="C895" s="5" t="s">
        <v>2961</v>
      </c>
      <c r="D895" s="2" t="s">
        <v>4478</v>
      </c>
      <c r="E895" s="1" t="s">
        <v>405</v>
      </c>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t="s">
        <v>6020</v>
      </c>
      <c r="AF895" t="s">
        <v>149</v>
      </c>
    </row>
    <row r="896" spans="1:32" x14ac:dyDescent="0.3">
      <c r="A896" t="s">
        <v>1826</v>
      </c>
      <c r="B896" s="1" t="s">
        <v>1205</v>
      </c>
      <c r="C896" s="5" t="s">
        <v>2962</v>
      </c>
      <c r="D896" s="2" t="s">
        <v>4479</v>
      </c>
      <c r="E896" s="1" t="s">
        <v>1951</v>
      </c>
      <c r="F896" s="3">
        <v>12619999.885559101</v>
      </c>
      <c r="G896" s="3">
        <v>7119999.8855590802</v>
      </c>
      <c r="H896" s="3">
        <v>43119998.931884803</v>
      </c>
      <c r="I896" s="3">
        <v>1120000.00476837</v>
      </c>
      <c r="J896" s="3">
        <v>3920000.07629395</v>
      </c>
      <c r="K896" s="3">
        <v>3609999.8950958299</v>
      </c>
      <c r="L896" s="3">
        <v>4289999.9618530301</v>
      </c>
      <c r="M896" s="3">
        <v>3089999.9141693101</v>
      </c>
      <c r="N896" s="3">
        <v>5230000.0190734901</v>
      </c>
      <c r="O896" s="3">
        <v>50770000.457763702</v>
      </c>
      <c r="P896" s="3">
        <v>-7590000.1525878897</v>
      </c>
      <c r="Q896" s="3">
        <v>219999.99880790699</v>
      </c>
      <c r="R896" s="3">
        <v>17209999.084472697</v>
      </c>
      <c r="S896" s="3">
        <v>230860000.61035198</v>
      </c>
      <c r="T896" s="3">
        <v>9999.9997764825803</v>
      </c>
      <c r="U896" s="3">
        <v>-300000.01192092901</v>
      </c>
      <c r="V896" s="3">
        <v>720000.02861022903</v>
      </c>
      <c r="W896" s="3">
        <v>45290000.915527299</v>
      </c>
      <c r="X896" s="3">
        <v>-43659999.847412102</v>
      </c>
      <c r="Y896" s="3">
        <v>7610000.1335143996</v>
      </c>
      <c r="Z896" s="3">
        <v>2759999.9904632601</v>
      </c>
      <c r="AA896" s="3">
        <v>11479999.5422363</v>
      </c>
      <c r="AB896" s="3">
        <v>1129999.99523163</v>
      </c>
      <c r="AC896" s="3"/>
      <c r="AD896" s="3"/>
      <c r="AE896" t="s">
        <v>6020</v>
      </c>
      <c r="AF896" t="s">
        <v>149</v>
      </c>
    </row>
    <row r="897" spans="1:32" x14ac:dyDescent="0.3">
      <c r="A897" t="s">
        <v>1826</v>
      </c>
      <c r="B897" s="1" t="s">
        <v>1205</v>
      </c>
      <c r="C897" s="5" t="s">
        <v>2963</v>
      </c>
      <c r="D897" s="2" t="s">
        <v>4480</v>
      </c>
      <c r="E897" s="1" t="s">
        <v>1116</v>
      </c>
      <c r="F897" s="3">
        <v>209999.99344348899</v>
      </c>
      <c r="G897" s="3">
        <v>109999.999403954</v>
      </c>
      <c r="H897" s="3">
        <v>230000.00417232499</v>
      </c>
      <c r="I897" s="3">
        <v>2779999.97138977</v>
      </c>
      <c r="J897" s="3">
        <v>1639999.9856948899</v>
      </c>
      <c r="K897" s="3">
        <v>3609999.8950958299</v>
      </c>
      <c r="L897" s="3">
        <v>7829999.92370605</v>
      </c>
      <c r="M897" s="3">
        <v>5739999.7711181594</v>
      </c>
      <c r="N897" s="3">
        <v>5550000.1907348596</v>
      </c>
      <c r="O897" s="3">
        <v>2970000.02861023</v>
      </c>
      <c r="P897" s="3">
        <v>1240000.0095367401</v>
      </c>
      <c r="Q897" s="3">
        <v>5300000.1907348596</v>
      </c>
      <c r="R897" s="3">
        <v>3009999.9904632601</v>
      </c>
      <c r="S897" s="3">
        <v>2039999.9618530299</v>
      </c>
      <c r="T897" s="3">
        <v>1360000.0143051101</v>
      </c>
      <c r="U897" s="3">
        <v>800000.01192092896</v>
      </c>
      <c r="V897" s="3">
        <v>699999.98807907104</v>
      </c>
      <c r="W897" s="3">
        <v>1100000.02384186</v>
      </c>
      <c r="X897" s="3">
        <v>1009999.99046326</v>
      </c>
      <c r="Y897" s="3">
        <v>1049999.95231628</v>
      </c>
      <c r="Z897" s="3">
        <v>949999.98807907104</v>
      </c>
      <c r="AA897" s="3">
        <v>1330000.04291534</v>
      </c>
      <c r="AB897" s="3">
        <v>1289999.9618530299</v>
      </c>
      <c r="AC897" s="3"/>
      <c r="AD897" s="3"/>
      <c r="AE897" t="s">
        <v>6020</v>
      </c>
      <c r="AF897" t="s">
        <v>149</v>
      </c>
    </row>
    <row r="898" spans="1:32" x14ac:dyDescent="0.3">
      <c r="A898" t="s">
        <v>1826</v>
      </c>
      <c r="B898" s="1" t="s">
        <v>1205</v>
      </c>
      <c r="C898" s="5" t="s">
        <v>2964</v>
      </c>
      <c r="D898" s="2" t="s">
        <v>4481</v>
      </c>
      <c r="E898" s="1" t="s">
        <v>1625</v>
      </c>
      <c r="F898" s="3">
        <v>310000.00238418602</v>
      </c>
      <c r="G898" s="3">
        <v>259999.99046325701</v>
      </c>
      <c r="H898" s="3">
        <v>3170000.07629395</v>
      </c>
      <c r="I898" s="3">
        <v>1830000.04291534</v>
      </c>
      <c r="J898" s="3">
        <v>2190000.0572204599</v>
      </c>
      <c r="K898" s="3">
        <v>2910000.0858306899</v>
      </c>
      <c r="L898" s="3">
        <v>1879999.99523163</v>
      </c>
      <c r="M898" s="3">
        <v>1590000.0333785999</v>
      </c>
      <c r="N898" s="3">
        <v>1519999.9809265099</v>
      </c>
      <c r="O898" s="3">
        <v>2529999.97138977</v>
      </c>
      <c r="P898" s="3">
        <v>2569999.9332428002</v>
      </c>
      <c r="Q898" s="3">
        <v>7019999.9809265099</v>
      </c>
      <c r="R898" s="3">
        <v>18840000.152587902</v>
      </c>
      <c r="S898" s="3">
        <v>2170000.07629395</v>
      </c>
      <c r="T898" s="3">
        <v>2559999.9427795401</v>
      </c>
      <c r="U898" s="3">
        <v>2500000</v>
      </c>
      <c r="V898" s="3">
        <v>1519999.9809265099</v>
      </c>
      <c r="W898" s="3">
        <v>1070000.05245209</v>
      </c>
      <c r="X898" s="3">
        <v>889999.98569488502</v>
      </c>
      <c r="Y898" s="3">
        <v>839999.97377395595</v>
      </c>
      <c r="Z898" s="3">
        <v>579999.983310699</v>
      </c>
      <c r="AA898" s="3">
        <v>560000.00238418602</v>
      </c>
      <c r="AB898" s="3">
        <v>2529999.97138977</v>
      </c>
      <c r="AC898" s="3"/>
      <c r="AD898" s="3"/>
      <c r="AE898" t="s">
        <v>6020</v>
      </c>
      <c r="AF898" t="s">
        <v>149</v>
      </c>
    </row>
    <row r="899" spans="1:32" x14ac:dyDescent="0.3">
      <c r="A899" t="s">
        <v>1826</v>
      </c>
      <c r="B899" s="1" t="s">
        <v>1205</v>
      </c>
      <c r="C899" s="5" t="s">
        <v>2965</v>
      </c>
      <c r="D899" s="2" t="s">
        <v>4482</v>
      </c>
      <c r="E899" s="1" t="s">
        <v>607</v>
      </c>
      <c r="F899" s="3">
        <v>253009994.18832383</v>
      </c>
      <c r="G899" s="3">
        <v>230309998.22728345</v>
      </c>
      <c r="H899" s="3">
        <v>836099980.7454648</v>
      </c>
      <c r="I899" s="3">
        <v>287760000.79698855</v>
      </c>
      <c r="J899" s="3">
        <v>219480000.36180016</v>
      </c>
      <c r="K899" s="3">
        <v>150140001.47953629</v>
      </c>
      <c r="L899" s="3">
        <v>276430000.68142974</v>
      </c>
      <c r="M899" s="3">
        <v>182209994.52844265</v>
      </c>
      <c r="N899" s="3">
        <v>345750005.12972474</v>
      </c>
      <c r="O899" s="3">
        <v>1792910065.6546645</v>
      </c>
      <c r="P899" s="3">
        <v>504260008.64803809</v>
      </c>
      <c r="Q899" s="3">
        <v>820710023.97872484</v>
      </c>
      <c r="R899" s="3">
        <v>2271180024.2885947</v>
      </c>
      <c r="S899" s="3">
        <v>861369994.98680353</v>
      </c>
      <c r="T899" s="3">
        <v>365930000.48957759</v>
      </c>
      <c r="U899" s="3">
        <v>201660002.13287756</v>
      </c>
      <c r="V899" s="3">
        <v>319320003.6305939</v>
      </c>
      <c r="W899" s="3">
        <v>389840005.3735823</v>
      </c>
      <c r="X899" s="3">
        <v>609270013.86135828</v>
      </c>
      <c r="Y899" s="3">
        <v>719059986.91357672</v>
      </c>
      <c r="Z899" s="3">
        <v>776570016.12335479</v>
      </c>
      <c r="AA899" s="3">
        <v>842140002.3065505</v>
      </c>
      <c r="AB899" s="3">
        <v>1140000005.804002</v>
      </c>
      <c r="AC899" s="3"/>
      <c r="AD899" s="3"/>
      <c r="AE899" t="s">
        <v>6020</v>
      </c>
      <c r="AF899" t="s">
        <v>149</v>
      </c>
    </row>
    <row r="900" spans="1:32" x14ac:dyDescent="0.3">
      <c r="A900" t="s">
        <v>1826</v>
      </c>
      <c r="B900" s="1" t="s">
        <v>1205</v>
      </c>
      <c r="C900" s="5" t="s">
        <v>2966</v>
      </c>
      <c r="D900" s="2" t="s">
        <v>4483</v>
      </c>
      <c r="E900" s="1" t="s">
        <v>1608</v>
      </c>
      <c r="F900" s="3">
        <v>1090000.0333785999</v>
      </c>
      <c r="G900" s="3">
        <v>1210000.0381469701</v>
      </c>
      <c r="H900" s="3">
        <v>11720000.267028799</v>
      </c>
      <c r="I900" s="3">
        <v>2140000.1049041701</v>
      </c>
      <c r="J900" s="3">
        <v>5880000.1144409198</v>
      </c>
      <c r="K900" s="3">
        <v>3069999.9332428002</v>
      </c>
      <c r="L900" s="3">
        <v>1860000.0143051101</v>
      </c>
      <c r="M900" s="3">
        <v>-37110000.6103516</v>
      </c>
      <c r="N900" s="3">
        <v>340000.00357627904</v>
      </c>
      <c r="O900" s="3">
        <v>150000.00596046401</v>
      </c>
      <c r="P900" s="3">
        <v>25959999.084472697</v>
      </c>
      <c r="Q900" s="3">
        <v>10739999.771118199</v>
      </c>
      <c r="R900" s="3">
        <v>74980003.356933594</v>
      </c>
      <c r="S900" s="3">
        <v>-639999.98569488502</v>
      </c>
      <c r="T900" s="3">
        <v>3339999.9141693101</v>
      </c>
      <c r="U900" s="3">
        <v>1070000.05245209</v>
      </c>
      <c r="V900" s="3">
        <v>790000.021457672</v>
      </c>
      <c r="W900" s="3">
        <v>490000.00953674299</v>
      </c>
      <c r="X900" s="3">
        <v>790000.021457672</v>
      </c>
      <c r="Y900" s="3">
        <v>1519999.9809265099</v>
      </c>
      <c r="Z900" s="3">
        <v>1750000</v>
      </c>
      <c r="AA900" s="3">
        <v>4750000</v>
      </c>
      <c r="AB900" s="3">
        <v>3220000.02861023</v>
      </c>
      <c r="AC900" s="3"/>
      <c r="AD900" s="3"/>
      <c r="AE900" t="s">
        <v>6020</v>
      </c>
      <c r="AF900" t="s">
        <v>149</v>
      </c>
    </row>
    <row r="901" spans="1:32" x14ac:dyDescent="0.3">
      <c r="A901" t="s">
        <v>1826</v>
      </c>
      <c r="B901" s="1" t="s">
        <v>1205</v>
      </c>
      <c r="C901" s="5" t="s">
        <v>2967</v>
      </c>
      <c r="D901" s="2" t="s">
        <v>4484</v>
      </c>
      <c r="E901" s="1" t="s">
        <v>1777</v>
      </c>
      <c r="F901" s="3">
        <v>10000000</v>
      </c>
      <c r="G901" s="3">
        <v>1950000.04768372</v>
      </c>
      <c r="H901" s="3">
        <v>53060001.373291001</v>
      </c>
      <c r="I901" s="3">
        <v>62590000.152587898</v>
      </c>
      <c r="J901" s="3">
        <v>31750000</v>
      </c>
      <c r="K901" s="3">
        <v>23770000.457763702</v>
      </c>
      <c r="L901" s="3">
        <v>30920000.076293901</v>
      </c>
      <c r="M901" s="3">
        <v>37029998.779296905</v>
      </c>
      <c r="N901" s="3">
        <v>88819999.694824204</v>
      </c>
      <c r="O901" s="3">
        <v>230660003.66210902</v>
      </c>
      <c r="P901" s="3">
        <v>75930000.305175796</v>
      </c>
      <c r="Q901" s="3">
        <v>73540000.915527299</v>
      </c>
      <c r="R901" s="3">
        <v>139309997.55859402</v>
      </c>
      <c r="S901" s="3">
        <v>257029998.77929699</v>
      </c>
      <c r="T901" s="3">
        <v>112319999.69482401</v>
      </c>
      <c r="U901" s="3">
        <v>69290000.915527299</v>
      </c>
      <c r="V901" s="3">
        <v>145880004.88281301</v>
      </c>
      <c r="W901" s="3">
        <v>153440002.44140598</v>
      </c>
      <c r="X901" s="3">
        <v>184270004.272461</v>
      </c>
      <c r="Y901" s="3">
        <v>72779998.779296905</v>
      </c>
      <c r="Z901" s="3">
        <v>195029998.77929699</v>
      </c>
      <c r="AA901" s="3">
        <v>188169998.16894501</v>
      </c>
      <c r="AB901" s="3">
        <v>185860000.61035198</v>
      </c>
      <c r="AC901" s="3"/>
      <c r="AD901" s="3"/>
      <c r="AE901" t="s">
        <v>6020</v>
      </c>
      <c r="AF901" t="s">
        <v>149</v>
      </c>
    </row>
    <row r="902" spans="1:32" x14ac:dyDescent="0.3">
      <c r="A902" t="s">
        <v>1826</v>
      </c>
      <c r="B902" s="1" t="s">
        <v>1205</v>
      </c>
      <c r="C902" s="5" t="s">
        <v>2968</v>
      </c>
      <c r="D902" s="2" t="s">
        <v>4485</v>
      </c>
      <c r="E902" s="1" t="s">
        <v>1016</v>
      </c>
      <c r="F902" s="3"/>
      <c r="G902" s="3"/>
      <c r="H902" s="3"/>
      <c r="I902" s="3"/>
      <c r="J902" s="3"/>
      <c r="K902" s="3">
        <v>185303638.44589299</v>
      </c>
      <c r="L902" s="3">
        <v>33017271.404826298</v>
      </c>
      <c r="M902" s="3">
        <v>93000134.093557894</v>
      </c>
      <c r="N902" s="3">
        <v>89677121.713961497</v>
      </c>
      <c r="O902" s="3">
        <v>225829226.454869</v>
      </c>
      <c r="P902" s="3">
        <v>1179449408.6858399</v>
      </c>
      <c r="Q902" s="3">
        <v>154850318.95567301</v>
      </c>
      <c r="R902" s="3">
        <v>8110996276.51408</v>
      </c>
      <c r="S902" s="3">
        <v>191882733.70370701</v>
      </c>
      <c r="T902" s="3">
        <v>280642983.13301599</v>
      </c>
      <c r="U902" s="3">
        <v>264554846.48512599</v>
      </c>
      <c r="V902" s="3">
        <v>187082955.64868999</v>
      </c>
      <c r="W902" s="3">
        <v>192595022.92770499</v>
      </c>
      <c r="X902" s="3">
        <v>152440381.46210399</v>
      </c>
      <c r="Y902" s="3">
        <v>179736526.65337601</v>
      </c>
      <c r="Z902" s="3">
        <v>174389820.48440599</v>
      </c>
      <c r="AA902" s="3">
        <v>165171367.651631</v>
      </c>
      <c r="AB902" s="3">
        <v>62817459.901243798</v>
      </c>
      <c r="AC902" s="3"/>
      <c r="AD902" s="3"/>
      <c r="AE902" t="s">
        <v>6022</v>
      </c>
      <c r="AF902" t="s">
        <v>613</v>
      </c>
    </row>
    <row r="903" spans="1:32" x14ac:dyDescent="0.3">
      <c r="A903" t="s">
        <v>1826</v>
      </c>
      <c r="B903" s="1" t="s">
        <v>1205</v>
      </c>
      <c r="C903" s="5" t="s">
        <v>2969</v>
      </c>
      <c r="D903" s="2" t="s">
        <v>4486</v>
      </c>
      <c r="E903" s="1" t="s">
        <v>757</v>
      </c>
      <c r="F903" s="3">
        <v>1709490100000</v>
      </c>
      <c r="G903" s="3">
        <v>1767648766768.1201</v>
      </c>
      <c r="H903" s="3">
        <v>1785089157544.47</v>
      </c>
      <c r="I903" s="3">
        <v>1610714988485.1602</v>
      </c>
      <c r="J903" s="3">
        <v>1582166488257.6802</v>
      </c>
      <c r="K903" s="3">
        <v>1561553962548.4602</v>
      </c>
      <c r="L903" s="3">
        <v>1828333091360.1301</v>
      </c>
      <c r="M903" s="3">
        <v>2130991832746.27</v>
      </c>
      <c r="N903" s="3">
        <v>2377678924955.6802</v>
      </c>
      <c r="O903" s="3">
        <v>2867240634923.21</v>
      </c>
      <c r="P903" s="3">
        <v>3310537868719.7397</v>
      </c>
      <c r="Q903" s="3">
        <v>3276240542466.2305</v>
      </c>
      <c r="R903" s="3">
        <v>3821319893591</v>
      </c>
      <c r="S903" s="3">
        <v>4529450556988.9395</v>
      </c>
      <c r="T903" s="3">
        <v>5325209818317.9307</v>
      </c>
      <c r="U903" s="3">
        <v>6320004026039.6201</v>
      </c>
      <c r="V903" s="3">
        <v>7273900440714.4004</v>
      </c>
      <c r="W903" s="3">
        <v>8292936330124.29</v>
      </c>
      <c r="X903" s="3">
        <v>9338832105802</v>
      </c>
      <c r="Y903" s="3">
        <v>10238469067286</v>
      </c>
      <c r="Z903" s="3">
        <v>12042667971972</v>
      </c>
      <c r="AA903" s="3">
        <v>13764046011871</v>
      </c>
      <c r="AB903" s="3">
        <v>15708140172867</v>
      </c>
      <c r="AC903" s="3">
        <v>17669808150678</v>
      </c>
      <c r="AD903" s="3">
        <v>19848189538766</v>
      </c>
      <c r="AE903" t="s">
        <v>6023</v>
      </c>
      <c r="AF903" t="s">
        <v>1714</v>
      </c>
    </row>
    <row r="904" spans="1:32" x14ac:dyDescent="0.3">
      <c r="A904" t="s">
        <v>1826</v>
      </c>
      <c r="B904" s="1" t="s">
        <v>1205</v>
      </c>
      <c r="C904" s="5" t="s">
        <v>2970</v>
      </c>
      <c r="D904" s="2" t="s">
        <v>4487</v>
      </c>
      <c r="E904" s="1" t="s">
        <v>866</v>
      </c>
      <c r="F904" s="3"/>
      <c r="G904" s="3"/>
      <c r="H904" s="3"/>
      <c r="I904" s="3"/>
      <c r="J904" s="3"/>
      <c r="K904" s="3">
        <v>-38252180.549944296</v>
      </c>
      <c r="L904" s="3">
        <v>-37633692.4987133</v>
      </c>
      <c r="M904" s="3">
        <v>35265972.845690697</v>
      </c>
      <c r="N904" s="3">
        <v>-44052194.5649717</v>
      </c>
      <c r="O904" s="3">
        <v>-37120344.369886301</v>
      </c>
      <c r="P904" s="3">
        <v>-24927781.494508602</v>
      </c>
      <c r="Q904" s="3">
        <v>-44634345.095418401</v>
      </c>
      <c r="R904" s="3">
        <v>-76509842.038692802</v>
      </c>
      <c r="S904" s="3">
        <v>284223104.57487899</v>
      </c>
      <c r="T904" s="3">
        <v>-54765800.6792202</v>
      </c>
      <c r="U904" s="3">
        <v>-66141374.991879098</v>
      </c>
      <c r="V904" s="3">
        <v>-9799485.2772065196</v>
      </c>
      <c r="W904" s="3">
        <v>-5042118.2601905297</v>
      </c>
      <c r="X904" s="3">
        <v>-4180591.2537741298</v>
      </c>
      <c r="Y904" s="3">
        <v>-2553553.2478614599</v>
      </c>
      <c r="Z904" s="3">
        <v>21850439.138030399</v>
      </c>
      <c r="AA904" s="3">
        <v>79472553.433587298</v>
      </c>
      <c r="AB904" s="3">
        <v>-6210982.8317528097</v>
      </c>
      <c r="AC904" s="3"/>
      <c r="AD904" s="3"/>
      <c r="AE904" t="s">
        <v>6024</v>
      </c>
      <c r="AF904" t="s">
        <v>613</v>
      </c>
    </row>
    <row r="905" spans="1:32" x14ac:dyDescent="0.3">
      <c r="A905" t="s">
        <v>1826</v>
      </c>
      <c r="B905" s="1" t="s">
        <v>1205</v>
      </c>
      <c r="C905" s="5" t="s">
        <v>2971</v>
      </c>
      <c r="D905" s="2" t="s">
        <v>4488</v>
      </c>
      <c r="E905" s="1" t="s">
        <v>1379</v>
      </c>
      <c r="F905" s="3"/>
      <c r="G905" s="3"/>
      <c r="H905" s="3"/>
      <c r="I905" s="3"/>
      <c r="J905" s="3"/>
      <c r="K905" s="3">
        <v>186741904.709984</v>
      </c>
      <c r="L905" s="3">
        <v>474774305.67272598</v>
      </c>
      <c r="M905" s="3">
        <v>-10958237.6285911</v>
      </c>
      <c r="N905" s="3">
        <v>499016338.56565201</v>
      </c>
      <c r="O905" s="3">
        <v>1812808133.6183901</v>
      </c>
      <c r="P905" s="3">
        <v>1619507361.9103799</v>
      </c>
      <c r="Q905" s="3">
        <v>2776427828.3675499</v>
      </c>
      <c r="R905" s="3">
        <v>7713952138.3619003</v>
      </c>
      <c r="S905" s="3">
        <v>-156798155.45510301</v>
      </c>
      <c r="T905" s="3">
        <v>736591438.25418103</v>
      </c>
      <c r="U905" s="3">
        <v>-2959430.6167666102</v>
      </c>
      <c r="V905" s="3">
        <v>-236989485.806786</v>
      </c>
      <c r="W905" s="3">
        <v>-861538784.06662202</v>
      </c>
      <c r="X905" s="3">
        <v>-2136241716.9417701</v>
      </c>
      <c r="Y905" s="3">
        <v>-1171644446.46367</v>
      </c>
      <c r="Z905" s="3">
        <v>-1778066493.06303</v>
      </c>
      <c r="AA905" s="3">
        <v>-2629472587.8112202</v>
      </c>
      <c r="AB905" s="3">
        <v>-5337221021.8816299</v>
      </c>
      <c r="AC905" s="3"/>
      <c r="AD905" s="3"/>
      <c r="AE905" t="s">
        <v>6025</v>
      </c>
      <c r="AF905" t="s">
        <v>613</v>
      </c>
    </row>
    <row r="906" spans="1:32" x14ac:dyDescent="0.3">
      <c r="A906" t="s">
        <v>1826</v>
      </c>
      <c r="B906" s="1" t="s">
        <v>1205</v>
      </c>
      <c r="C906" s="5" t="s">
        <v>2972</v>
      </c>
      <c r="D906" s="2" t="s">
        <v>4489</v>
      </c>
      <c r="E906" s="1" t="s">
        <v>674</v>
      </c>
      <c r="F906" s="3">
        <v>-135481943.19999999</v>
      </c>
      <c r="G906" s="3">
        <v>-85097024</v>
      </c>
      <c r="H906" s="3">
        <v>-90653143</v>
      </c>
      <c r="I906" s="3">
        <v>-108640900.40000001</v>
      </c>
      <c r="J906" s="3">
        <v>13924376.9</v>
      </c>
      <c r="K906" s="3">
        <v>9927105.3000000007</v>
      </c>
      <c r="L906" s="3">
        <v>16824410</v>
      </c>
      <c r="M906" s="3">
        <v>16497036.800000001</v>
      </c>
      <c r="N906" s="3">
        <v>10344163.6</v>
      </c>
      <c r="O906" s="3">
        <v>-6708041.2000000002</v>
      </c>
      <c r="P906" s="3">
        <v>-237459486</v>
      </c>
      <c r="Q906" s="3">
        <v>334468100</v>
      </c>
      <c r="R906" s="3">
        <v>-129271114.90000001</v>
      </c>
      <c r="S906" s="3">
        <v>367910312.89999998</v>
      </c>
      <c r="T906" s="3">
        <v>157794248.90000001</v>
      </c>
      <c r="U906" s="3">
        <v>1341377302.4000001</v>
      </c>
      <c r="V906" s="3">
        <v>-109194846.7</v>
      </c>
      <c r="W906" s="3">
        <v>90400510.099999994</v>
      </c>
      <c r="X906" s="3">
        <v>-169458575.69999999</v>
      </c>
      <c r="Y906" s="3">
        <v>252069803.19999999</v>
      </c>
      <c r="Z906" s="3">
        <v>457076357.80000001</v>
      </c>
      <c r="AA906" s="3">
        <v>1483601631.5</v>
      </c>
      <c r="AB906" s="3">
        <v>554961105.70000005</v>
      </c>
      <c r="AC906" s="3">
        <v>373215709.60000002</v>
      </c>
      <c r="AD906" s="3"/>
      <c r="AE906" t="s">
        <v>6026</v>
      </c>
      <c r="AF906" t="s">
        <v>1040</v>
      </c>
    </row>
    <row r="907" spans="1:32" x14ac:dyDescent="0.3">
      <c r="A907" t="s">
        <v>1826</v>
      </c>
      <c r="B907" s="1" t="s">
        <v>1205</v>
      </c>
      <c r="C907" s="5" t="s">
        <v>2973</v>
      </c>
      <c r="D907" s="2" t="s">
        <v>4490</v>
      </c>
      <c r="E907" s="1" t="s">
        <v>1003</v>
      </c>
      <c r="F907" s="3">
        <v>-57480000</v>
      </c>
      <c r="G907" s="3">
        <v>-72142000</v>
      </c>
      <c r="H907" s="3">
        <v>-89858000</v>
      </c>
      <c r="I907" s="3">
        <v>-82074000</v>
      </c>
      <c r="J907" s="3">
        <v>-38363000</v>
      </c>
      <c r="K907" s="3">
        <v>0</v>
      </c>
      <c r="L907" s="3">
        <v>0</v>
      </c>
      <c r="M907" s="3">
        <v>-29653000</v>
      </c>
      <c r="N907" s="3">
        <v>-377429000</v>
      </c>
      <c r="O907" s="3">
        <v>-73270000</v>
      </c>
      <c r="P907" s="3">
        <v>-24872000</v>
      </c>
      <c r="Q907" s="3">
        <v>-14688000</v>
      </c>
      <c r="R907" s="3"/>
      <c r="S907" s="3"/>
      <c r="T907" s="3"/>
      <c r="U907" s="3"/>
      <c r="V907" s="3"/>
      <c r="W907" s="3"/>
      <c r="X907" s="3">
        <v>17198000</v>
      </c>
      <c r="Y907" s="3">
        <v>12911000</v>
      </c>
      <c r="Z907" s="3">
        <v>26964000</v>
      </c>
      <c r="AA907" s="3">
        <v>35467000</v>
      </c>
      <c r="AB907" s="3">
        <v>29782000</v>
      </c>
      <c r="AC907" s="3">
        <v>36770000</v>
      </c>
      <c r="AD907" s="3"/>
      <c r="AE907" t="s">
        <v>6027</v>
      </c>
      <c r="AF907" t="s">
        <v>1344</v>
      </c>
    </row>
    <row r="908" spans="1:32" x14ac:dyDescent="0.3">
      <c r="A908" t="s">
        <v>1826</v>
      </c>
      <c r="B908" s="1" t="s">
        <v>1205</v>
      </c>
      <c r="C908" s="5" t="s">
        <v>2974</v>
      </c>
      <c r="D908" s="2" t="s">
        <v>4491</v>
      </c>
      <c r="E908" s="1" t="s">
        <v>1282</v>
      </c>
      <c r="F908" s="3">
        <v>75392000</v>
      </c>
      <c r="G908" s="3">
        <v>4996000</v>
      </c>
      <c r="H908" s="3">
        <v>161187000</v>
      </c>
      <c r="I908" s="3">
        <v>43681000</v>
      </c>
      <c r="J908" s="3">
        <v>33074000</v>
      </c>
      <c r="K908" s="3">
        <v>-22000</v>
      </c>
      <c r="L908" s="3">
        <v>-11000</v>
      </c>
      <c r="M908" s="3">
        <v>-15880000</v>
      </c>
      <c r="N908" s="3">
        <v>-103551000</v>
      </c>
      <c r="O908" s="3">
        <v>-27316000</v>
      </c>
      <c r="P908" s="3">
        <v>-869000</v>
      </c>
      <c r="Q908" s="3">
        <v>-31674000</v>
      </c>
      <c r="R908" s="3">
        <v>-28754000</v>
      </c>
      <c r="S908" s="3">
        <v>50707000</v>
      </c>
      <c r="T908" s="3">
        <v>81728000</v>
      </c>
      <c r="U908" s="3">
        <v>164987000</v>
      </c>
      <c r="V908" s="3">
        <v>140021000</v>
      </c>
      <c r="W908" s="3">
        <v>205078000</v>
      </c>
      <c r="X908" s="3">
        <v>115216000</v>
      </c>
      <c r="Y908" s="3">
        <v>222628000</v>
      </c>
      <c r="Z908" s="3">
        <v>509524000</v>
      </c>
      <c r="AA908" s="3">
        <v>729980000</v>
      </c>
      <c r="AB908" s="3">
        <v>731309000</v>
      </c>
      <c r="AC908" s="3">
        <v>909489000</v>
      </c>
      <c r="AD908" s="3"/>
      <c r="AE908" t="s">
        <v>6028</v>
      </c>
      <c r="AF908" t="s">
        <v>875</v>
      </c>
    </row>
    <row r="909" spans="1:32" x14ac:dyDescent="0.3">
      <c r="A909" t="s">
        <v>1826</v>
      </c>
      <c r="B909" s="1" t="s">
        <v>1205</v>
      </c>
      <c r="C909" s="5" t="s">
        <v>2975</v>
      </c>
      <c r="D909" s="2" t="s">
        <v>4492</v>
      </c>
      <c r="E909" s="1" t="s">
        <v>644</v>
      </c>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t="s">
        <v>6029</v>
      </c>
      <c r="AF909" t="s">
        <v>1634</v>
      </c>
    </row>
    <row r="910" spans="1:32" x14ac:dyDescent="0.3">
      <c r="A910" t="s">
        <v>1826</v>
      </c>
      <c r="B910" s="1" t="s">
        <v>1205</v>
      </c>
      <c r="C910" s="5" t="s">
        <v>2976</v>
      </c>
      <c r="D910" s="2" t="s">
        <v>4493</v>
      </c>
      <c r="E910" s="1" t="s">
        <v>1613</v>
      </c>
      <c r="F910" s="3">
        <v>-39273373.899999999</v>
      </c>
      <c r="G910" s="3">
        <v>-66715139.399999999</v>
      </c>
      <c r="H910" s="3">
        <v>-10560939.300000001</v>
      </c>
      <c r="I910" s="3">
        <v>-104956160.40000001</v>
      </c>
      <c r="J910" s="3">
        <v>-126732816.90000001</v>
      </c>
      <c r="K910" s="3">
        <v>-91143014</v>
      </c>
      <c r="L910" s="3">
        <v>-57480534</v>
      </c>
      <c r="M910" s="3">
        <v>15344138.4</v>
      </c>
      <c r="N910" s="3">
        <v>19768928.699999999</v>
      </c>
      <c r="O910" s="3">
        <v>157505971.5</v>
      </c>
      <c r="P910" s="3">
        <v>44416844</v>
      </c>
      <c r="Q910" s="3">
        <v>237921775.09999999</v>
      </c>
      <c r="R910" s="3">
        <v>172977717.90000001</v>
      </c>
      <c r="S910" s="3">
        <v>148262684.30000001</v>
      </c>
      <c r="T910" s="3">
        <v>165913401.90000001</v>
      </c>
      <c r="U910" s="3">
        <v>81899159.299999997</v>
      </c>
      <c r="V910" s="3">
        <v>32677495.699999999</v>
      </c>
      <c r="W910" s="3">
        <v>150280846.80000001</v>
      </c>
      <c r="X910" s="3">
        <v>118918208.8</v>
      </c>
      <c r="Y910" s="3">
        <v>111087336.3</v>
      </c>
      <c r="Z910" s="3">
        <v>1018510405</v>
      </c>
      <c r="AA910" s="3">
        <v>-190099753.80000001</v>
      </c>
      <c r="AB910" s="3">
        <v>-165675728.69999999</v>
      </c>
      <c r="AC910" s="3">
        <v>668479980.29999995</v>
      </c>
      <c r="AD910" s="3"/>
      <c r="AE910" t="s">
        <v>6030</v>
      </c>
      <c r="AF910" t="s">
        <v>500</v>
      </c>
    </row>
    <row r="911" spans="1:32" x14ac:dyDescent="0.3">
      <c r="A911" t="s">
        <v>1826</v>
      </c>
      <c r="B911" s="1" t="s">
        <v>1205</v>
      </c>
      <c r="C911" s="5" t="s">
        <v>2977</v>
      </c>
      <c r="D911" s="2" t="s">
        <v>4494</v>
      </c>
      <c r="E911" s="1" t="s">
        <v>1365</v>
      </c>
      <c r="F911" s="3">
        <v>4919000</v>
      </c>
      <c r="G911" s="3">
        <v>-93039000</v>
      </c>
      <c r="H911" s="3">
        <v>-4756000</v>
      </c>
      <c r="I911" s="3">
        <v>-40259000</v>
      </c>
      <c r="J911" s="3">
        <v>-21882000</v>
      </c>
      <c r="K911" s="3">
        <v>-8418000</v>
      </c>
      <c r="L911" s="3">
        <v>58223000</v>
      </c>
      <c r="M911" s="3">
        <v>-70893000</v>
      </c>
      <c r="N911" s="3">
        <v>-561327000</v>
      </c>
      <c r="O911" s="3">
        <v>-441345000</v>
      </c>
      <c r="P911" s="3">
        <v>17200000</v>
      </c>
      <c r="Q911" s="3">
        <v>10174000</v>
      </c>
      <c r="R911" s="3">
        <v>-4102000</v>
      </c>
      <c r="S911" s="3">
        <v>131585000</v>
      </c>
      <c r="T911" s="3">
        <v>141389000</v>
      </c>
      <c r="U911" s="3">
        <v>191376000</v>
      </c>
      <c r="V911" s="3">
        <v>152134000</v>
      </c>
      <c r="W911" s="3">
        <v>449739000</v>
      </c>
      <c r="X911" s="3">
        <v>497303000</v>
      </c>
      <c r="Y911" s="3">
        <v>516822000</v>
      </c>
      <c r="Z911" s="3">
        <v>1093547000</v>
      </c>
      <c r="AA911" s="3">
        <v>1057305000</v>
      </c>
      <c r="AB911" s="3">
        <v>1343312000</v>
      </c>
      <c r="AC911" s="3">
        <v>1426647000</v>
      </c>
      <c r="AD911" s="3"/>
      <c r="AE911" t="s">
        <v>6031</v>
      </c>
      <c r="AF911" t="s">
        <v>912</v>
      </c>
    </row>
    <row r="912" spans="1:32" x14ac:dyDescent="0.3">
      <c r="A912" t="s">
        <v>1826</v>
      </c>
      <c r="B912" s="1" t="s">
        <v>1205</v>
      </c>
      <c r="C912" s="5" t="s">
        <v>2978</v>
      </c>
      <c r="D912" s="2" t="s">
        <v>4495</v>
      </c>
      <c r="E912" s="1" t="s">
        <v>1424</v>
      </c>
      <c r="F912" s="3">
        <v>8075756.2999999998</v>
      </c>
      <c r="G912" s="3">
        <v>397316.5</v>
      </c>
      <c r="H912" s="3">
        <v>-1931470.5</v>
      </c>
      <c r="I912" s="3">
        <v>-4236861.3</v>
      </c>
      <c r="J912" s="3">
        <v>111489.4</v>
      </c>
      <c r="K912" s="3">
        <v>1813150.2</v>
      </c>
      <c r="L912" s="3">
        <v>16824319.5</v>
      </c>
      <c r="M912" s="3">
        <v>19669864</v>
      </c>
      <c r="N912" s="3">
        <v>-14733180.800000001</v>
      </c>
      <c r="O912" s="3">
        <v>35181898</v>
      </c>
      <c r="P912" s="3">
        <v>81640452.200000003</v>
      </c>
      <c r="Q912" s="3">
        <v>54111199.399999999</v>
      </c>
      <c r="R912" s="3">
        <v>51600536.700000003</v>
      </c>
      <c r="S912" s="3">
        <v>89326941.299999997</v>
      </c>
      <c r="T912" s="3">
        <v>55558838.600000001</v>
      </c>
      <c r="U912" s="3">
        <v>21866975.100000001</v>
      </c>
      <c r="V912" s="3">
        <v>17968007.399999999</v>
      </c>
      <c r="W912" s="3">
        <v>97839991.5</v>
      </c>
      <c r="X912" s="3">
        <v>268425256.5</v>
      </c>
      <c r="Y912" s="3">
        <v>129094583.3</v>
      </c>
      <c r="Z912" s="3">
        <v>374886539.30000001</v>
      </c>
      <c r="AA912" s="3">
        <v>138710091.59999999</v>
      </c>
      <c r="AB912" s="3">
        <v>304746120.39999998</v>
      </c>
      <c r="AC912" s="3">
        <v>303622623.10000002</v>
      </c>
      <c r="AD912" s="3"/>
      <c r="AE912" t="s">
        <v>6032</v>
      </c>
      <c r="AF912" t="s">
        <v>252</v>
      </c>
    </row>
    <row r="913" spans="1:32" x14ac:dyDescent="0.3">
      <c r="A913" t="s">
        <v>1826</v>
      </c>
      <c r="B913" s="1" t="s">
        <v>1205</v>
      </c>
      <c r="C913" s="5" t="s">
        <v>2979</v>
      </c>
      <c r="D913" s="2" t="s">
        <v>4496</v>
      </c>
      <c r="E913" s="1" t="s">
        <v>1292</v>
      </c>
      <c r="F913" s="3">
        <v>43281830.5</v>
      </c>
      <c r="G913" s="3">
        <v>122126.8</v>
      </c>
      <c r="H913" s="3">
        <v>34278763.399999999</v>
      </c>
      <c r="I913" s="3">
        <v>442507.5</v>
      </c>
      <c r="J913" s="3">
        <v>1070013</v>
      </c>
      <c r="K913" s="3">
        <v>94549.8</v>
      </c>
      <c r="L913" s="3">
        <v>0</v>
      </c>
      <c r="M913" s="3">
        <v>-1126749.8</v>
      </c>
      <c r="N913" s="3">
        <v>-615835.9</v>
      </c>
      <c r="O913" s="3">
        <v>-4227944.5</v>
      </c>
      <c r="P913" s="3">
        <v>-2160720.7000000002</v>
      </c>
      <c r="Q913" s="3">
        <v>34325612.700000003</v>
      </c>
      <c r="R913" s="3">
        <v>-2017264.2</v>
      </c>
      <c r="S913" s="3"/>
      <c r="T913" s="3">
        <v>12546080.300000001</v>
      </c>
      <c r="U913" s="3">
        <v>7905054.2000000002</v>
      </c>
      <c r="V913" s="3">
        <v>404507</v>
      </c>
      <c r="W913" s="3">
        <v>84559151.099999994</v>
      </c>
      <c r="X913" s="3">
        <v>17087235.399999999</v>
      </c>
      <c r="Y913" s="3">
        <v>15892121</v>
      </c>
      <c r="Z913" s="3">
        <v>19796877.300000001</v>
      </c>
      <c r="AA913" s="3">
        <v>25684920.699999999</v>
      </c>
      <c r="AB913" s="3">
        <v>12010821.300000001</v>
      </c>
      <c r="AC913" s="3">
        <v>20681762.600000001</v>
      </c>
      <c r="AD913" s="3"/>
      <c r="AE913" t="s">
        <v>6033</v>
      </c>
      <c r="AF913" t="s">
        <v>301</v>
      </c>
    </row>
    <row r="914" spans="1:32" x14ac:dyDescent="0.3">
      <c r="A914" t="s">
        <v>1826</v>
      </c>
      <c r="B914" s="1" t="s">
        <v>1205</v>
      </c>
      <c r="C914" s="5" t="s">
        <v>2980</v>
      </c>
      <c r="D914" s="2" t="s">
        <v>4497</v>
      </c>
      <c r="E914" s="1" t="s">
        <v>228</v>
      </c>
      <c r="F914" s="3">
        <v>-35423198.700000003</v>
      </c>
      <c r="G914" s="3">
        <v>-26412482.199999999</v>
      </c>
      <c r="H914" s="3">
        <v>-108432664.7</v>
      </c>
      <c r="I914" s="3">
        <v>1928268.1</v>
      </c>
      <c r="J914" s="3">
        <v>991466.4</v>
      </c>
      <c r="K914" s="3">
        <v>1028228.6</v>
      </c>
      <c r="L914" s="3">
        <v>0</v>
      </c>
      <c r="M914" s="3">
        <v>-36209083.5</v>
      </c>
      <c r="N914" s="3">
        <v>-59613877.299999997</v>
      </c>
      <c r="O914" s="3">
        <v>-369353601.19999999</v>
      </c>
      <c r="P914" s="3">
        <v>-32493207.100000001</v>
      </c>
      <c r="Q914" s="3">
        <v>-27658467.899999999</v>
      </c>
      <c r="R914" s="3">
        <v>-21013550.899999999</v>
      </c>
      <c r="S914" s="3">
        <v>-4399553.8</v>
      </c>
      <c r="T914" s="3">
        <v>-4391736</v>
      </c>
      <c r="U914" s="3"/>
      <c r="V914" s="3"/>
      <c r="W914" s="3">
        <v>62261783.299999997</v>
      </c>
      <c r="X914" s="3">
        <v>79376983.900000006</v>
      </c>
      <c r="Y914" s="3">
        <v>136296147.80000001</v>
      </c>
      <c r="Z914" s="3">
        <v>162375907.90000001</v>
      </c>
      <c r="AA914" s="3">
        <v>127463021.7</v>
      </c>
      <c r="AB914" s="3">
        <v>261494647.90000001</v>
      </c>
      <c r="AC914" s="3">
        <v>146894810.80000001</v>
      </c>
      <c r="AD914" s="3"/>
      <c r="AE914" t="s">
        <v>6034</v>
      </c>
      <c r="AF914" t="s">
        <v>301</v>
      </c>
    </row>
    <row r="915" spans="1:32" x14ac:dyDescent="0.3">
      <c r="A915" t="s">
        <v>1826</v>
      </c>
      <c r="B915" s="1" t="s">
        <v>1205</v>
      </c>
      <c r="C915" s="5" t="s">
        <v>2981</v>
      </c>
      <c r="D915" s="2" t="s">
        <v>4498</v>
      </c>
      <c r="E915" s="1" t="s">
        <v>610</v>
      </c>
      <c r="F915" s="3">
        <v>-113288000</v>
      </c>
      <c r="G915" s="3">
        <v>-110000000</v>
      </c>
      <c r="H915" s="3">
        <v>-113561000</v>
      </c>
      <c r="I915" s="3">
        <v>-115000000</v>
      </c>
      <c r="J915" s="3">
        <v>-134000000</v>
      </c>
      <c r="K915" s="3">
        <v>-109319000</v>
      </c>
      <c r="L915" s="3">
        <v>-118393000</v>
      </c>
      <c r="M915" s="3">
        <v>-166696000</v>
      </c>
      <c r="N915" s="3">
        <v>79000000</v>
      </c>
      <c r="O915" s="3">
        <v>155000000</v>
      </c>
      <c r="P915" s="3">
        <v>169600000</v>
      </c>
      <c r="Q915" s="3">
        <v>182400000</v>
      </c>
      <c r="R915" s="3">
        <v>576936000</v>
      </c>
      <c r="S915" s="3">
        <v>-400584000</v>
      </c>
      <c r="T915" s="3">
        <v>-350780000</v>
      </c>
      <c r="U915" s="3">
        <v>-323075000</v>
      </c>
      <c r="V915" s="3">
        <v>-29182000</v>
      </c>
      <c r="W915" s="3">
        <v>-170641000</v>
      </c>
      <c r="X915" s="3">
        <v>-213821000</v>
      </c>
      <c r="Y915" s="3">
        <v>270565000</v>
      </c>
      <c r="Z915" s="3">
        <v>-339509000</v>
      </c>
      <c r="AA915" s="3">
        <v>-200427000</v>
      </c>
      <c r="AB915" s="3">
        <v>-196642000</v>
      </c>
      <c r="AC915" s="3">
        <v>-142144000</v>
      </c>
      <c r="AD915" s="3"/>
      <c r="AE915" t="s">
        <v>6035</v>
      </c>
      <c r="AF915" t="s">
        <v>2057</v>
      </c>
    </row>
    <row r="916" spans="1:32" x14ac:dyDescent="0.3">
      <c r="A916" t="s">
        <v>1826</v>
      </c>
      <c r="B916" s="1" t="s">
        <v>1205</v>
      </c>
      <c r="C916" s="5" t="s">
        <v>2982</v>
      </c>
      <c r="D916" s="2" t="s">
        <v>4499</v>
      </c>
      <c r="E916" s="1" t="s">
        <v>1884</v>
      </c>
      <c r="F916" s="3">
        <v>39101212260.204895</v>
      </c>
      <c r="G916" s="3">
        <v>298006300995.54401</v>
      </c>
      <c r="H916" s="3">
        <v>909769929424.25793</v>
      </c>
      <c r="I916" s="3">
        <v>470624232400.185</v>
      </c>
      <c r="J916" s="3">
        <v>700789423307.521</v>
      </c>
      <c r="K916" s="3">
        <v>723514664408.42603</v>
      </c>
      <c r="L916" s="3">
        <v>854495089834.16003</v>
      </c>
      <c r="M916" s="3">
        <v>1023379107200.53</v>
      </c>
      <c r="N916" s="3">
        <v>1000248851479.38</v>
      </c>
      <c r="O916" s="3">
        <v>1111897007264.9302</v>
      </c>
      <c r="P916" s="3">
        <v>1345336769829.05</v>
      </c>
      <c r="Q916" s="3">
        <v>1688305955190.1902</v>
      </c>
      <c r="R916" s="3">
        <v>1522569532293.3499</v>
      </c>
      <c r="S916" s="3">
        <v>1454851169128.1299</v>
      </c>
      <c r="T916" s="3">
        <v>1697083358110.76</v>
      </c>
      <c r="U916" s="3">
        <v>1802697719799.5901</v>
      </c>
      <c r="V916" s="3">
        <v>1701387456214.5601</v>
      </c>
      <c r="W916" s="3">
        <v>1795356970203.7998</v>
      </c>
      <c r="X916" s="3">
        <v>2018021974779.3301</v>
      </c>
      <c r="Y916" s="3">
        <v>2502078310276.1304</v>
      </c>
      <c r="Z916" s="3">
        <v>3219895958729.9697</v>
      </c>
      <c r="AA916" s="3">
        <v>4157565323663.2397</v>
      </c>
      <c r="AB916" s="3">
        <v>3913464205573.7598</v>
      </c>
      <c r="AC916" s="3">
        <v>2650861149086.3101</v>
      </c>
      <c r="AD916" s="3">
        <v>4367429372983.6997</v>
      </c>
      <c r="AE916" t="s">
        <v>6036</v>
      </c>
      <c r="AF916" t="s">
        <v>1714</v>
      </c>
    </row>
    <row r="917" spans="1:32" x14ac:dyDescent="0.3">
      <c r="A917" t="s">
        <v>1826</v>
      </c>
      <c r="B917" s="1" t="s">
        <v>1205</v>
      </c>
      <c r="C917" s="5" t="s">
        <v>2983</v>
      </c>
      <c r="D917" s="2" t="s">
        <v>4500</v>
      </c>
      <c r="E917" s="1" t="s">
        <v>1445</v>
      </c>
      <c r="F917" s="3"/>
      <c r="G917" s="3"/>
      <c r="H917" s="3"/>
      <c r="I917" s="3">
        <v>2.1365098088066015</v>
      </c>
      <c r="J917" s="3">
        <v>1.0235504759837144</v>
      </c>
      <c r="K917" s="3">
        <v>1.1291128818173888</v>
      </c>
      <c r="L917" s="3"/>
      <c r="M917" s="3">
        <v>0.61748353353737151</v>
      </c>
      <c r="N917" s="3">
        <v>-4.6055974976091894E-3</v>
      </c>
      <c r="O917" s="3">
        <v>-0.25443839998277668</v>
      </c>
      <c r="P917" s="3">
        <v>1.712131928436238</v>
      </c>
      <c r="Q917" s="3">
        <v>4.0433762922777374</v>
      </c>
      <c r="R917" s="3">
        <v>1.3196941099422435</v>
      </c>
      <c r="S917" s="3">
        <v>2.6056589569555908</v>
      </c>
      <c r="T917" s="3">
        <v>2.8455305742757204</v>
      </c>
      <c r="U917" s="3">
        <v>3.2045641263001419</v>
      </c>
      <c r="V917" s="3">
        <v>2.8380144381138712</v>
      </c>
      <c r="W917" s="3">
        <v>4.3402691694548352</v>
      </c>
      <c r="X917" s="3">
        <v>3.5632607657138102</v>
      </c>
      <c r="Y917" s="3">
        <v>3.0891925653914556</v>
      </c>
      <c r="Z917" s="3">
        <v>7.4722212435318704</v>
      </c>
      <c r="AA917" s="3">
        <v>5.0702764899949733</v>
      </c>
      <c r="AB917" s="3">
        <v>7.4309237214504913</v>
      </c>
      <c r="AC917" s="3">
        <v>5.0223747462115771</v>
      </c>
      <c r="AD917" s="3"/>
      <c r="AE917" t="s">
        <v>6037</v>
      </c>
      <c r="AF917" t="s">
        <v>115</v>
      </c>
    </row>
    <row r="918" spans="1:32" x14ac:dyDescent="0.3">
      <c r="A918" t="s">
        <v>1826</v>
      </c>
      <c r="B918" s="1" t="s">
        <v>1205</v>
      </c>
      <c r="C918" s="5" t="s">
        <v>2984</v>
      </c>
      <c r="D918" s="2" t="s">
        <v>4501</v>
      </c>
      <c r="E918" s="1" t="s">
        <v>420</v>
      </c>
      <c r="F918" s="3"/>
      <c r="G918" s="3"/>
      <c r="H918" s="3"/>
      <c r="I918" s="3">
        <v>263300000000</v>
      </c>
      <c r="J918" s="3">
        <v>126900000000</v>
      </c>
      <c r="K918" s="3">
        <v>143100000000</v>
      </c>
      <c r="L918" s="3"/>
      <c r="M918" s="3">
        <v>85000000000</v>
      </c>
      <c r="N918" s="3">
        <v>-700000000.00001705</v>
      </c>
      <c r="O918" s="3">
        <v>-40549200000</v>
      </c>
      <c r="P918" s="3">
        <v>295964000000</v>
      </c>
      <c r="Q918" s="3">
        <v>699175000000</v>
      </c>
      <c r="R918" s="3">
        <v>244597000000</v>
      </c>
      <c r="S918" s="3">
        <v>550296000000</v>
      </c>
      <c r="T918" s="3">
        <v>686245000000</v>
      </c>
      <c r="U918" s="3">
        <v>868000000000</v>
      </c>
      <c r="V918" s="3">
        <v>814133000000</v>
      </c>
      <c r="W918" s="3">
        <v>1323419554000</v>
      </c>
      <c r="X918" s="3">
        <v>1158277214661.52</v>
      </c>
      <c r="Y918" s="3">
        <v>1092925530385.62</v>
      </c>
      <c r="Z918" s="3">
        <v>2710768686617.8701</v>
      </c>
      <c r="AA918" s="3">
        <v>2046711361626.4199</v>
      </c>
      <c r="AB918" s="3">
        <v>3287351483285.04</v>
      </c>
      <c r="AC918" s="3">
        <v>2425500865224.9199</v>
      </c>
      <c r="AD918" s="3"/>
      <c r="AE918" t="s">
        <v>6038</v>
      </c>
      <c r="AF918" t="s">
        <v>115</v>
      </c>
    </row>
    <row r="919" spans="1:32" x14ac:dyDescent="0.3">
      <c r="A919" t="s">
        <v>1826</v>
      </c>
      <c r="B919" s="1" t="s">
        <v>1205</v>
      </c>
      <c r="C919" s="5" t="s">
        <v>2985</v>
      </c>
      <c r="D919" s="2" t="s">
        <v>4502</v>
      </c>
      <c r="E919" s="1" t="s">
        <v>904</v>
      </c>
      <c r="F919" s="3">
        <v>25.28443</v>
      </c>
      <c r="G919" s="3"/>
      <c r="H919" s="3">
        <v>24.645610000000001</v>
      </c>
      <c r="I919" s="3">
        <v>26.024709999999999</v>
      </c>
      <c r="J919" s="3"/>
      <c r="K919" s="3"/>
      <c r="L919" s="3"/>
      <c r="M919" s="3"/>
      <c r="N919" s="3"/>
      <c r="O919" s="3"/>
      <c r="P919" s="3"/>
      <c r="Q919" s="3"/>
      <c r="R919" s="3"/>
      <c r="S919" s="3"/>
      <c r="T919" s="3">
        <v>40.531910000000003</v>
      </c>
      <c r="U919" s="3">
        <v>42.624630000000003</v>
      </c>
      <c r="V919" s="3">
        <v>68.118650000000002</v>
      </c>
      <c r="W919" s="3">
        <v>67.16395</v>
      </c>
      <c r="X919" s="3">
        <v>73.3215</v>
      </c>
      <c r="Y919" s="3"/>
      <c r="Z919" s="3"/>
      <c r="AA919" s="3"/>
      <c r="AB919" s="3"/>
      <c r="AC919" s="3"/>
      <c r="AD919" s="3"/>
      <c r="AE919" t="s">
        <v>6039</v>
      </c>
      <c r="AF919" t="s">
        <v>1554</v>
      </c>
    </row>
    <row r="920" spans="1:32" x14ac:dyDescent="0.3">
      <c r="A920" t="s">
        <v>1826</v>
      </c>
      <c r="B920" s="1" t="s">
        <v>1205</v>
      </c>
      <c r="C920" s="5" t="s">
        <v>2986</v>
      </c>
      <c r="D920" s="2" t="s">
        <v>4503</v>
      </c>
      <c r="E920" s="1" t="s">
        <v>123</v>
      </c>
      <c r="F920" s="3">
        <v>22.064250000000001</v>
      </c>
      <c r="G920" s="3"/>
      <c r="H920" s="3">
        <v>21.726019999999998</v>
      </c>
      <c r="I920" s="3">
        <v>25.185300000000002</v>
      </c>
      <c r="J920" s="3"/>
      <c r="K920" s="3"/>
      <c r="L920" s="3"/>
      <c r="M920" s="3"/>
      <c r="N920" s="3"/>
      <c r="O920" s="3"/>
      <c r="P920" s="3"/>
      <c r="Q920" s="3"/>
      <c r="R920" s="3"/>
      <c r="S920" s="3"/>
      <c r="T920" s="3">
        <v>39.166440000000001</v>
      </c>
      <c r="U920" s="3">
        <v>40.728000000000002</v>
      </c>
      <c r="V920" s="3">
        <v>64.471680000000006</v>
      </c>
      <c r="W920" s="3">
        <v>62.150860000000002</v>
      </c>
      <c r="X920" s="3">
        <v>70.161119999999997</v>
      </c>
      <c r="Y920" s="3"/>
      <c r="Z920" s="3"/>
      <c r="AA920" s="3"/>
      <c r="AB920" s="3"/>
      <c r="AC920" s="3"/>
      <c r="AD920" s="3"/>
      <c r="AE920" t="s">
        <v>6039</v>
      </c>
      <c r="AF920" t="s">
        <v>359</v>
      </c>
    </row>
    <row r="921" spans="1:32" x14ac:dyDescent="0.3">
      <c r="A921" t="s">
        <v>1826</v>
      </c>
      <c r="B921" s="1" t="s">
        <v>1205</v>
      </c>
      <c r="C921" s="5" t="s">
        <v>2987</v>
      </c>
      <c r="D921" s="2" t="s">
        <v>4504</v>
      </c>
      <c r="E921" s="1" t="s">
        <v>309</v>
      </c>
      <c r="F921" s="3">
        <v>28.492570000000001</v>
      </c>
      <c r="G921" s="3"/>
      <c r="H921" s="3">
        <v>27.557210000000001</v>
      </c>
      <c r="I921" s="3">
        <v>26.86232</v>
      </c>
      <c r="J921" s="3"/>
      <c r="K921" s="3"/>
      <c r="L921" s="3"/>
      <c r="M921" s="3"/>
      <c r="N921" s="3"/>
      <c r="O921" s="3"/>
      <c r="P921" s="3"/>
      <c r="Q921" s="3"/>
      <c r="R921" s="3"/>
      <c r="S921" s="3"/>
      <c r="T921" s="3">
        <v>41.888179999999998</v>
      </c>
      <c r="U921" s="3">
        <v>44.507069999999999</v>
      </c>
      <c r="V921" s="3">
        <v>71.736829999999998</v>
      </c>
      <c r="W921" s="3">
        <v>72.132530000000003</v>
      </c>
      <c r="X921" s="3">
        <v>76.451779999999999</v>
      </c>
      <c r="Y921" s="3"/>
      <c r="Z921" s="3"/>
      <c r="AA921" s="3"/>
      <c r="AB921" s="3"/>
      <c r="AC921" s="3"/>
      <c r="AD921" s="3"/>
      <c r="AE921" t="s">
        <v>6039</v>
      </c>
      <c r="AF921" t="s">
        <v>359</v>
      </c>
    </row>
    <row r="922" spans="1:32" x14ac:dyDescent="0.3">
      <c r="A922" t="s">
        <v>1826</v>
      </c>
      <c r="B922" s="1" t="s">
        <v>1205</v>
      </c>
      <c r="C922" s="5" t="s">
        <v>2988</v>
      </c>
      <c r="D922" s="2" t="s">
        <v>4505</v>
      </c>
      <c r="E922" s="1" t="s">
        <v>1676</v>
      </c>
      <c r="F922" s="3"/>
      <c r="G922" s="3"/>
      <c r="H922" s="3"/>
      <c r="I922" s="3">
        <v>1.7502664859839878</v>
      </c>
      <c r="J922" s="3">
        <v>2.1011418360422192</v>
      </c>
      <c r="K922" s="3">
        <v>1.8487152215919926</v>
      </c>
      <c r="L922" s="3">
        <v>1.8095562266834491</v>
      </c>
      <c r="M922" s="3">
        <v>1.8110428813043145</v>
      </c>
      <c r="N922" s="3">
        <v>1.9758013264742944</v>
      </c>
      <c r="O922" s="3">
        <v>1.8860124353729104</v>
      </c>
      <c r="P922" s="3">
        <v>1.9817676584047916</v>
      </c>
      <c r="Q922" s="3">
        <v>1.6298361598689062</v>
      </c>
      <c r="R922" s="3">
        <v>3.3032683224693646</v>
      </c>
      <c r="S922" s="3">
        <v>4.3903754884163764</v>
      </c>
      <c r="T922" s="3">
        <v>4.0793491813746607</v>
      </c>
      <c r="U922" s="3">
        <v>2.1781899233699371</v>
      </c>
      <c r="V922" s="3">
        <v>2.5958360141704637</v>
      </c>
      <c r="W922" s="3"/>
      <c r="X922" s="3"/>
      <c r="Y922" s="3"/>
      <c r="Z922" s="3"/>
      <c r="AA922" s="3"/>
      <c r="AB922" s="3"/>
      <c r="AC922" s="3"/>
      <c r="AD922" s="3"/>
      <c r="AE922" t="s">
        <v>6040</v>
      </c>
      <c r="AF922" t="s">
        <v>115</v>
      </c>
    </row>
    <row r="923" spans="1:32" x14ac:dyDescent="0.3">
      <c r="A923" t="s">
        <v>1826</v>
      </c>
      <c r="B923" s="1" t="s">
        <v>1205</v>
      </c>
      <c r="C923" s="5" t="s">
        <v>2989</v>
      </c>
      <c r="D923" s="2" t="s">
        <v>4506</v>
      </c>
      <c r="E923" s="1" t="s">
        <v>54</v>
      </c>
      <c r="F923" s="3"/>
      <c r="G923" s="3"/>
      <c r="H923" s="3"/>
      <c r="I923" s="3">
        <v>215700000000</v>
      </c>
      <c r="J923" s="3">
        <v>260500000000</v>
      </c>
      <c r="K923" s="3">
        <v>234300000000</v>
      </c>
      <c r="L923" s="3">
        <v>239000000000</v>
      </c>
      <c r="M923" s="3">
        <v>249300000000</v>
      </c>
      <c r="N923" s="3">
        <v>300300000000</v>
      </c>
      <c r="O923" s="3">
        <v>300569000000</v>
      </c>
      <c r="P923" s="3">
        <v>342574000000</v>
      </c>
      <c r="Q923" s="3">
        <v>281829000000</v>
      </c>
      <c r="R923" s="3">
        <v>612240000000</v>
      </c>
      <c r="S923" s="3">
        <v>927215000000</v>
      </c>
      <c r="T923" s="3">
        <v>983800000000</v>
      </c>
      <c r="U923" s="3">
        <v>589992516601</v>
      </c>
      <c r="V923" s="3">
        <v>744659975419</v>
      </c>
      <c r="W923" s="3"/>
      <c r="X923" s="3"/>
      <c r="Y923" s="3"/>
      <c r="Z923" s="3"/>
      <c r="AA923" s="3"/>
      <c r="AB923" s="3"/>
      <c r="AC923" s="3"/>
      <c r="AD923" s="3"/>
      <c r="AE923" t="s">
        <v>6041</v>
      </c>
      <c r="AF923" t="s">
        <v>115</v>
      </c>
    </row>
    <row r="924" spans="1:32" x14ac:dyDescent="0.3">
      <c r="A924" t="s">
        <v>1826</v>
      </c>
      <c r="B924" s="1" t="s">
        <v>1205</v>
      </c>
      <c r="C924" s="5" t="s">
        <v>2990</v>
      </c>
      <c r="D924" s="2" t="s">
        <v>4507</v>
      </c>
      <c r="E924" s="1" t="s">
        <v>477</v>
      </c>
      <c r="F924" s="3"/>
      <c r="G924" s="3"/>
      <c r="H924" s="3"/>
      <c r="I924" s="3">
        <v>-1.5822993266892798</v>
      </c>
      <c r="J924" s="3">
        <v>-0.9106292256781825</v>
      </c>
      <c r="K924" s="3">
        <v>-0.94211095799438294</v>
      </c>
      <c r="L924" s="3">
        <v>-0.25409500823220316</v>
      </c>
      <c r="M924" s="3">
        <v>9.4438658070421528E-3</v>
      </c>
      <c r="N924" s="3">
        <v>0.22837184163144439</v>
      </c>
      <c r="O924" s="3">
        <v>1.1733951652604546</v>
      </c>
      <c r="P924" s="3">
        <v>-0.46235498995937979</v>
      </c>
      <c r="Q924" s="3">
        <v>-2.3891529363212491</v>
      </c>
      <c r="R924" s="3">
        <v>-2.0756571872749072</v>
      </c>
      <c r="S924" s="3">
        <v>-1.6540585705484172</v>
      </c>
      <c r="T924" s="3">
        <v>-1.3477187868614906</v>
      </c>
      <c r="U924" s="3">
        <v>-2.4268123914197868</v>
      </c>
      <c r="V924" s="3">
        <v>-3.2454466398818953</v>
      </c>
      <c r="W924" s="3">
        <v>-3.4830777332561276</v>
      </c>
      <c r="X924" s="3">
        <v>-3.310115492399289</v>
      </c>
      <c r="Y924" s="3">
        <v>-2.6049166911197981</v>
      </c>
      <c r="Z924" s="3">
        <v>-5.8544873751986808</v>
      </c>
      <c r="AA924" s="3">
        <v>-5.4486863849520963</v>
      </c>
      <c r="AB924" s="3">
        <v>-7.1787371612398845</v>
      </c>
      <c r="AC924" s="3">
        <v>-5.490924615166195</v>
      </c>
      <c r="AD924" s="3"/>
      <c r="AE924" t="s">
        <v>6042</v>
      </c>
      <c r="AF924" t="s">
        <v>115</v>
      </c>
    </row>
    <row r="925" spans="1:32" x14ac:dyDescent="0.3">
      <c r="A925" t="s">
        <v>1826</v>
      </c>
      <c r="B925" s="1" t="s">
        <v>1205</v>
      </c>
      <c r="C925" s="5" t="s">
        <v>2991</v>
      </c>
      <c r="D925" s="2" t="s">
        <v>4508</v>
      </c>
      <c r="E925" s="1" t="s">
        <v>1305</v>
      </c>
      <c r="F925" s="3"/>
      <c r="G925" s="3"/>
      <c r="H925" s="3"/>
      <c r="I925" s="3">
        <v>-195000000000</v>
      </c>
      <c r="J925" s="3">
        <v>-112900000000</v>
      </c>
      <c r="K925" s="3">
        <v>-119400000000</v>
      </c>
      <c r="L925" s="3">
        <v>-33560000000</v>
      </c>
      <c r="M925" s="3">
        <v>1300000000</v>
      </c>
      <c r="N925" s="3">
        <v>34710000000</v>
      </c>
      <c r="O925" s="3">
        <v>187001000000</v>
      </c>
      <c r="P925" s="3">
        <v>-79924000000</v>
      </c>
      <c r="Q925" s="3">
        <v>-413129000000</v>
      </c>
      <c r="R925" s="3">
        <v>-384710000000</v>
      </c>
      <c r="S925" s="3">
        <v>-349325000000</v>
      </c>
      <c r="T925" s="3">
        <v>-325023841687.29999</v>
      </c>
      <c r="U925" s="3">
        <v>-657335310741.43994</v>
      </c>
      <c r="V925" s="3">
        <v>-931011898242.13</v>
      </c>
      <c r="W925" s="3">
        <v>-1062047767160.0601</v>
      </c>
      <c r="X925" s="3">
        <v>-1075989551378.27</v>
      </c>
      <c r="Y925" s="3">
        <v>-921593554298.77405</v>
      </c>
      <c r="Z925" s="3">
        <v>-2123888002730.8899</v>
      </c>
      <c r="AA925" s="3">
        <v>-2199463550365.8101</v>
      </c>
      <c r="AB925" s="3">
        <v>-3175787175286.5898</v>
      </c>
      <c r="AC925" s="3">
        <v>-2651781891627.3599</v>
      </c>
      <c r="AD925" s="3"/>
      <c r="AE925" t="s">
        <v>6043</v>
      </c>
      <c r="AF925" t="s">
        <v>115</v>
      </c>
    </row>
    <row r="926" spans="1:32" x14ac:dyDescent="0.3">
      <c r="A926" t="s">
        <v>1826</v>
      </c>
      <c r="B926" s="1" t="s">
        <v>1205</v>
      </c>
      <c r="C926" s="5" t="s">
        <v>2992</v>
      </c>
      <c r="D926" s="2" t="s">
        <v>4509</v>
      </c>
      <c r="E926" s="1" t="s">
        <v>705</v>
      </c>
      <c r="F926" s="3">
        <v>-63843</v>
      </c>
      <c r="G926" s="3">
        <v>-76679</v>
      </c>
      <c r="H926" s="3">
        <v>-90503</v>
      </c>
      <c r="I926" s="3">
        <v>-99880</v>
      </c>
      <c r="J926" s="3">
        <v>-108869</v>
      </c>
      <c r="K926" s="3">
        <v>-117342</v>
      </c>
      <c r="L926" s="3">
        <v>-124651</v>
      </c>
      <c r="M926" s="3">
        <v>-130079</v>
      </c>
      <c r="N926" s="3">
        <v>-150037</v>
      </c>
      <c r="O926" s="3">
        <v>-168027</v>
      </c>
      <c r="P926" s="3">
        <v>-182689</v>
      </c>
      <c r="Q926" s="3">
        <v>-200010</v>
      </c>
      <c r="R926" s="3">
        <v>-232712</v>
      </c>
      <c r="S926" s="3">
        <v>-250964</v>
      </c>
      <c r="T926" s="3">
        <v>-23011</v>
      </c>
      <c r="U926" s="3">
        <v>522</v>
      </c>
      <c r="V926" s="3">
        <v>18568</v>
      </c>
      <c r="W926" s="3">
        <v>-796</v>
      </c>
      <c r="X926" s="3">
        <v>5395</v>
      </c>
      <c r="Y926" s="3">
        <v>2043</v>
      </c>
      <c r="Z926" s="3">
        <v>-12390</v>
      </c>
      <c r="AA926" s="3">
        <v>1322</v>
      </c>
      <c r="AB926" s="3">
        <v>26777</v>
      </c>
      <c r="AC926" s="3">
        <v>6002</v>
      </c>
      <c r="AD926" s="3">
        <v>7838</v>
      </c>
      <c r="AE926" t="s">
        <v>6044</v>
      </c>
      <c r="AF926" t="s">
        <v>1612</v>
      </c>
    </row>
    <row r="927" spans="1:32" x14ac:dyDescent="0.3">
      <c r="A927" t="s">
        <v>1826</v>
      </c>
      <c r="B927" s="1" t="s">
        <v>1205</v>
      </c>
      <c r="C927" s="5" t="s">
        <v>2993</v>
      </c>
      <c r="D927" s="2" t="s">
        <v>4510</v>
      </c>
      <c r="E927" s="1" t="s">
        <v>224</v>
      </c>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t="s">
        <v>6045</v>
      </c>
      <c r="AF927" t="s">
        <v>1115</v>
      </c>
    </row>
    <row r="928" spans="1:32" x14ac:dyDescent="0.3">
      <c r="A928" t="s">
        <v>1826</v>
      </c>
      <c r="B928" s="1" t="s">
        <v>1205</v>
      </c>
      <c r="C928" s="5" t="s">
        <v>2994</v>
      </c>
      <c r="D928" s="2" t="s">
        <v>4511</v>
      </c>
      <c r="E928" s="1" t="s">
        <v>1837</v>
      </c>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t="s">
        <v>6046</v>
      </c>
      <c r="AF928" t="s">
        <v>759</v>
      </c>
    </row>
    <row r="929" spans="1:32" x14ac:dyDescent="0.3">
      <c r="A929" t="s">
        <v>1826</v>
      </c>
      <c r="B929" s="1" t="s">
        <v>1205</v>
      </c>
      <c r="C929" s="5" t="s">
        <v>2995</v>
      </c>
      <c r="D929" s="2" t="s">
        <v>4512</v>
      </c>
      <c r="E929" s="1" t="s">
        <v>808</v>
      </c>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t="s">
        <v>6047</v>
      </c>
      <c r="AF929" t="s">
        <v>1115</v>
      </c>
    </row>
    <row r="930" spans="1:32" x14ac:dyDescent="0.3">
      <c r="A930" t="s">
        <v>1826</v>
      </c>
      <c r="B930" s="1" t="s">
        <v>1205</v>
      </c>
      <c r="C930" s="5" t="s">
        <v>2996</v>
      </c>
      <c r="D930" s="2" t="s">
        <v>4513</v>
      </c>
      <c r="E930" s="1" t="s">
        <v>871</v>
      </c>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t="s">
        <v>6048</v>
      </c>
      <c r="AF930" t="s">
        <v>117</v>
      </c>
    </row>
    <row r="931" spans="1:32" x14ac:dyDescent="0.3">
      <c r="A931" t="s">
        <v>1826</v>
      </c>
      <c r="B931" s="1" t="s">
        <v>1205</v>
      </c>
      <c r="C931" s="5" t="s">
        <v>2997</v>
      </c>
      <c r="D931" s="2" t="s">
        <v>4514</v>
      </c>
      <c r="E931" s="1" t="s">
        <v>699</v>
      </c>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t="s">
        <v>6049</v>
      </c>
      <c r="AF931" t="s">
        <v>759</v>
      </c>
    </row>
    <row r="932" spans="1:32" x14ac:dyDescent="0.3">
      <c r="A932" t="s">
        <v>1826</v>
      </c>
      <c r="B932" s="1" t="s">
        <v>1205</v>
      </c>
      <c r="C932" s="5" t="s">
        <v>2998</v>
      </c>
      <c r="D932" s="2" t="s">
        <v>4515</v>
      </c>
      <c r="E932" s="1" t="s">
        <v>1594</v>
      </c>
      <c r="F932" s="3"/>
      <c r="G932" s="3">
        <v>13.345897072628357</v>
      </c>
      <c r="H932" s="3">
        <v>65.098998892583936</v>
      </c>
      <c r="I932" s="3">
        <v>11.568764268812879</v>
      </c>
      <c r="J932" s="3">
        <v>6.763107386736686</v>
      </c>
      <c r="K932" s="3">
        <v>3.6069956329921373</v>
      </c>
      <c r="L932" s="3">
        <v>10.023466240481055</v>
      </c>
      <c r="M932" s="3">
        <v>6.0941330633425341</v>
      </c>
      <c r="N932" s="3">
        <v>10.394418695236636</v>
      </c>
      <c r="O932" s="3">
        <v>62.449704217848236</v>
      </c>
      <c r="P932" s="3">
        <v>22.771942026951798</v>
      </c>
      <c r="Q932" s="3">
        <v>40.772142339161263</v>
      </c>
      <c r="R932" s="3">
        <v>70.762509859165348</v>
      </c>
      <c r="S932" s="3">
        <v>29.98905759616687</v>
      </c>
      <c r="T932" s="3">
        <v>20.549450946702393</v>
      </c>
      <c r="U932" s="3">
        <v>10.573435794151916</v>
      </c>
      <c r="V932" s="3">
        <v>9.492913872018617</v>
      </c>
      <c r="W932" s="3">
        <v>10.563593821999067</v>
      </c>
      <c r="X932" s="3">
        <v>11.131915016491382</v>
      </c>
      <c r="Y932" s="3">
        <v>14.262844532699006</v>
      </c>
      <c r="Z932" s="3">
        <v>15.464535295736347</v>
      </c>
      <c r="AA932" s="3">
        <v>13.222039336052513</v>
      </c>
      <c r="AB932" s="3">
        <v>15.118931455644748</v>
      </c>
      <c r="AC932" s="3"/>
      <c r="AD932" s="3"/>
      <c r="AE932" t="s">
        <v>6050</v>
      </c>
      <c r="AF932" t="s">
        <v>1193</v>
      </c>
    </row>
    <row r="933" spans="1:32" x14ac:dyDescent="0.3">
      <c r="A933" t="s">
        <v>1826</v>
      </c>
      <c r="B933" s="1" t="s">
        <v>1205</v>
      </c>
      <c r="C933" s="5" t="s">
        <v>2999</v>
      </c>
      <c r="D933" s="2" t="s">
        <v>4516</v>
      </c>
      <c r="E933" s="1" t="s">
        <v>823</v>
      </c>
      <c r="F933" s="3">
        <v>3.6031487057109941</v>
      </c>
      <c r="G933" s="3">
        <v>1.875725175199918</v>
      </c>
      <c r="H933" s="3">
        <v>9.8317409509908149</v>
      </c>
      <c r="I933" s="3">
        <v>1.9445064081367098</v>
      </c>
      <c r="J933" s="3">
        <v>1.0866409661506129</v>
      </c>
      <c r="K933" s="3">
        <v>0.55525171223840208</v>
      </c>
      <c r="L933" s="3">
        <v>1.4447164815890221</v>
      </c>
      <c r="M933" s="3">
        <v>0.95525764982865546</v>
      </c>
      <c r="N933" s="3">
        <v>1.6666318506740663</v>
      </c>
      <c r="O933" s="3">
        <v>9.4617239376972027</v>
      </c>
      <c r="P933" s="3">
        <v>3.5227720999404202</v>
      </c>
      <c r="Q933" s="3">
        <v>5.8861567269368189</v>
      </c>
      <c r="R933" s="3">
        <v>11.21752708872849</v>
      </c>
      <c r="S933" s="3">
        <v>4.2644471329562608</v>
      </c>
      <c r="T933" s="3">
        <v>1.9298341331167448</v>
      </c>
      <c r="U933" s="3">
        <v>1.4545921068715919</v>
      </c>
      <c r="V933" s="3">
        <v>1.3009932903582409</v>
      </c>
      <c r="W933" s="3">
        <v>1.6266389603609199</v>
      </c>
      <c r="X933" s="3">
        <v>1.6874889627883978</v>
      </c>
      <c r="Y933" s="3">
        <v>1.9993199693260923</v>
      </c>
      <c r="Z933" s="3">
        <v>2.5541077143864532</v>
      </c>
      <c r="AA933" s="3">
        <v>2.2340866141587203</v>
      </c>
      <c r="AB933" s="3">
        <v>2.8772060867171563</v>
      </c>
      <c r="AC933" s="3"/>
      <c r="AD933" s="3"/>
      <c r="AE933" t="s">
        <v>6050</v>
      </c>
      <c r="AF933" t="s">
        <v>341</v>
      </c>
    </row>
    <row r="934" spans="1:32" x14ac:dyDescent="0.3">
      <c r="A934" t="s">
        <v>1826</v>
      </c>
      <c r="B934" s="1" t="s">
        <v>1205</v>
      </c>
      <c r="C934" s="5" t="s">
        <v>3000</v>
      </c>
      <c r="D934" s="2" t="s">
        <v>4517</v>
      </c>
      <c r="E934" s="1" t="s">
        <v>1018</v>
      </c>
      <c r="F934" s="3">
        <v>13.319825236129182</v>
      </c>
      <c r="G934" s="3">
        <v>7.7840945991472177</v>
      </c>
      <c r="H934" s="3">
        <v>49.176226742041038</v>
      </c>
      <c r="I934" s="3">
        <v>8.5462916437056951</v>
      </c>
      <c r="J934" s="3">
        <v>4.6443209271247721</v>
      </c>
      <c r="K934" s="3">
        <v>2.7434278822566927</v>
      </c>
      <c r="L934" s="3">
        <v>6.8935055711083439</v>
      </c>
      <c r="M934" s="3">
        <v>4.7334025710681269</v>
      </c>
      <c r="N934" s="3">
        <v>6.3006108471714368</v>
      </c>
      <c r="O934" s="3">
        <v>44.384850894984595</v>
      </c>
      <c r="P934" s="3">
        <v>11.159856141574629</v>
      </c>
      <c r="Q934" s="3">
        <v>23.61217094831272</v>
      </c>
      <c r="R934" s="3">
        <v>39.174084359615982</v>
      </c>
      <c r="S934" s="3">
        <v>12.99921288298464</v>
      </c>
      <c r="T934" s="3">
        <v>8.3725310964574113</v>
      </c>
      <c r="U934" s="3">
        <v>6.0826213094327297</v>
      </c>
      <c r="V934" s="3">
        <v>5.4841404112743097</v>
      </c>
      <c r="W934" s="3">
        <v>7.584303062991343</v>
      </c>
      <c r="X934" s="3">
        <v>7.3721763900437276</v>
      </c>
      <c r="Y934" s="3">
        <v>8.838648284893031</v>
      </c>
      <c r="Z934" s="3">
        <v>11.402736595816631</v>
      </c>
      <c r="AA934" s="3">
        <v>9.1851176164367008</v>
      </c>
      <c r="AB934" s="3">
        <v>10.128833698603041</v>
      </c>
      <c r="AC934" s="3"/>
      <c r="AD934" s="3"/>
      <c r="AE934" t="s">
        <v>6050</v>
      </c>
      <c r="AF934" t="s">
        <v>1582</v>
      </c>
    </row>
    <row r="935" spans="1:32" x14ac:dyDescent="0.3">
      <c r="A935" t="s">
        <v>1826</v>
      </c>
      <c r="B935" s="1" t="s">
        <v>1205</v>
      </c>
      <c r="C935" s="5" t="s">
        <v>3001</v>
      </c>
      <c r="D935" s="2" t="s">
        <v>4518</v>
      </c>
      <c r="E935" s="1" t="s">
        <v>240</v>
      </c>
      <c r="F935" s="3"/>
      <c r="G935" s="3"/>
      <c r="H935" s="3"/>
      <c r="I935" s="3"/>
      <c r="J935" s="3"/>
      <c r="K935" s="3">
        <v>1.1106569959509041</v>
      </c>
      <c r="L935" s="3">
        <v>2.9045146314851937</v>
      </c>
      <c r="M935" s="3">
        <v>1.9422070758784111</v>
      </c>
      <c r="N935" s="3">
        <v>3.5801535420471606</v>
      </c>
      <c r="O935" s="3">
        <v>20.364822983238355</v>
      </c>
      <c r="P935" s="3">
        <v>7.0925279662030718</v>
      </c>
      <c r="Q935" s="3">
        <v>13.464866069209123</v>
      </c>
      <c r="R935" s="3">
        <v>22.175527361109047</v>
      </c>
      <c r="S935" s="3">
        <v>9.6629055624639992</v>
      </c>
      <c r="T935" s="3">
        <v>6.9447567711385094</v>
      </c>
      <c r="U935" s="3">
        <v>5.1793491422521214</v>
      </c>
      <c r="V935" s="3">
        <v>5.0985325131942938</v>
      </c>
      <c r="W935" s="3">
        <v>6.0587577684891851</v>
      </c>
      <c r="X935" s="3">
        <v>6.3319996822231133</v>
      </c>
      <c r="Y935" s="3">
        <v>7.8528941087752102</v>
      </c>
      <c r="Z935" s="3">
        <v>10.483187488941539</v>
      </c>
      <c r="AA935" s="3">
        <v>8.3089803798600386</v>
      </c>
      <c r="AB935" s="3">
        <v>8.6245155485890059</v>
      </c>
      <c r="AC935" s="3"/>
      <c r="AD935" s="3"/>
      <c r="AE935" t="s">
        <v>6050</v>
      </c>
      <c r="AF935" t="s">
        <v>1737</v>
      </c>
    </row>
    <row r="936" spans="1:32" x14ac:dyDescent="0.3">
      <c r="A936" t="s">
        <v>1826</v>
      </c>
      <c r="B936" s="1" t="s">
        <v>1205</v>
      </c>
      <c r="C936" s="5" t="s">
        <v>3002</v>
      </c>
      <c r="D936" s="2" t="s">
        <v>4519</v>
      </c>
      <c r="E936" s="1" t="s">
        <v>1462</v>
      </c>
      <c r="F936" s="3">
        <v>19.827105153924705</v>
      </c>
      <c r="G936" s="3">
        <v>10.236035665666863</v>
      </c>
      <c r="H936" s="3">
        <v>57.223966994824004</v>
      </c>
      <c r="I936" s="3">
        <v>13.264983389659857</v>
      </c>
      <c r="J936" s="3">
        <v>8.201582378865373</v>
      </c>
      <c r="K936" s="3">
        <v>4.5484311141043774</v>
      </c>
      <c r="L936" s="3">
        <v>12.028149168403337</v>
      </c>
      <c r="M936" s="3">
        <v>8.8851660812020281</v>
      </c>
      <c r="N936" s="3">
        <v>18.143629313481799</v>
      </c>
      <c r="O936" s="3">
        <v>100.80580361303149</v>
      </c>
      <c r="P936" s="3">
        <v>37.589272245459711</v>
      </c>
      <c r="Q936" s="3">
        <v>62.558087239470019</v>
      </c>
      <c r="R936" s="3">
        <v>123.93234803774888</v>
      </c>
      <c r="S936" s="3">
        <v>53.193479947336598</v>
      </c>
      <c r="T936" s="3">
        <v>37.714562758390933</v>
      </c>
      <c r="U936" s="3">
        <v>25.816414097981006</v>
      </c>
      <c r="V936" s="3">
        <v>23.693502382870058</v>
      </c>
      <c r="W936" s="3">
        <v>31.015542087771905</v>
      </c>
      <c r="X936" s="3">
        <v>34.9571788425677</v>
      </c>
      <c r="Y936" s="3">
        <v>41.62769519747112</v>
      </c>
      <c r="Z936" s="3">
        <v>54.041699807201333</v>
      </c>
      <c r="AA936" s="3">
        <v>53.182324518469059</v>
      </c>
      <c r="AB936" s="3">
        <v>64.95969143781862</v>
      </c>
      <c r="AC936" s="3"/>
      <c r="AD936" s="3"/>
      <c r="AE936" t="s">
        <v>6051</v>
      </c>
      <c r="AF936" t="s">
        <v>1271</v>
      </c>
    </row>
    <row r="937" spans="1:32" x14ac:dyDescent="0.3">
      <c r="A937" t="s">
        <v>1826</v>
      </c>
      <c r="B937" s="1" t="s">
        <v>1205</v>
      </c>
      <c r="C937" s="5" t="s">
        <v>3003</v>
      </c>
      <c r="D937" s="2" t="s">
        <v>4520</v>
      </c>
      <c r="E937" s="1" t="s">
        <v>800</v>
      </c>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t="s">
        <v>6052</v>
      </c>
      <c r="AF937" t="s">
        <v>650</v>
      </c>
    </row>
    <row r="938" spans="1:32" x14ac:dyDescent="0.3">
      <c r="A938" t="s">
        <v>1826</v>
      </c>
      <c r="B938" s="1" t="s">
        <v>1205</v>
      </c>
      <c r="C938" s="5" t="s">
        <v>3004</v>
      </c>
      <c r="D938" s="2" t="s">
        <v>4521</v>
      </c>
      <c r="E938" s="1" t="s">
        <v>646</v>
      </c>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t="s">
        <v>5300</v>
      </c>
      <c r="AF938" t="s">
        <v>167</v>
      </c>
    </row>
    <row r="939" spans="1:32" x14ac:dyDescent="0.3">
      <c r="A939" t="s">
        <v>1826</v>
      </c>
      <c r="B939" s="1" t="s">
        <v>1205</v>
      </c>
      <c r="C939" s="5" t="s">
        <v>3005</v>
      </c>
      <c r="D939" s="2" t="s">
        <v>4522</v>
      </c>
      <c r="E939" s="1" t="s">
        <v>1316</v>
      </c>
      <c r="F939" s="3">
        <v>567969970.703125</v>
      </c>
      <c r="G939" s="3">
        <v>334429992.67578101</v>
      </c>
      <c r="H939" s="3">
        <v>1729219970.70313</v>
      </c>
      <c r="I939" s="3">
        <v>350630004.88281304</v>
      </c>
      <c r="J939" s="3">
        <v>199259994.506836</v>
      </c>
      <c r="K939" s="3">
        <v>112220001.22070299</v>
      </c>
      <c r="L939" s="3">
        <v>287010009.765625</v>
      </c>
      <c r="M939" s="3">
        <v>208779998.77929699</v>
      </c>
      <c r="N939" s="3">
        <v>407399993.89648396</v>
      </c>
      <c r="O939" s="3">
        <v>2273340087.8906298</v>
      </c>
      <c r="P939" s="3">
        <v>888369995.11718798</v>
      </c>
      <c r="Q939" s="3">
        <v>1424170043.9453101</v>
      </c>
      <c r="R939" s="3">
        <v>2998280029.2968798</v>
      </c>
      <c r="S939" s="3">
        <v>1317300048.82813</v>
      </c>
      <c r="T939" s="3">
        <v>949409973.14453101</v>
      </c>
      <c r="U939" s="3">
        <v>741489990.234375</v>
      </c>
      <c r="V939" s="3">
        <v>699179992.67578101</v>
      </c>
      <c r="W939" s="3">
        <v>922909973.14453101</v>
      </c>
      <c r="X939" s="3">
        <v>1025329956.05469</v>
      </c>
      <c r="Y939" s="3">
        <v>1280780029.29688</v>
      </c>
      <c r="Z939" s="3">
        <v>1649400024.4140601</v>
      </c>
      <c r="AA939" s="3">
        <v>1576310058.59375</v>
      </c>
      <c r="AB939" s="3">
        <v>2091419921.875</v>
      </c>
      <c r="AC939" s="3"/>
      <c r="AD939" s="3"/>
      <c r="AE939" t="s">
        <v>6053</v>
      </c>
      <c r="AF939" t="s">
        <v>1100</v>
      </c>
    </row>
    <row r="940" spans="1:32" x14ac:dyDescent="0.3">
      <c r="A940" t="s">
        <v>1826</v>
      </c>
      <c r="B940" s="1" t="s">
        <v>1205</v>
      </c>
      <c r="C940" s="5" t="s">
        <v>3006</v>
      </c>
      <c r="D940" s="2" t="s">
        <v>4523</v>
      </c>
      <c r="E940" s="1" t="s">
        <v>1172</v>
      </c>
      <c r="F940" s="3">
        <v>350920013.42773396</v>
      </c>
      <c r="G940" s="3">
        <v>186080001.83105499</v>
      </c>
      <c r="H940" s="3">
        <v>1067500000</v>
      </c>
      <c r="I940" s="3">
        <v>253699996.94824198</v>
      </c>
      <c r="J940" s="3">
        <v>160710006.71386698</v>
      </c>
      <c r="K940" s="3">
        <v>91279998.779296905</v>
      </c>
      <c r="L940" s="3">
        <v>247139999.38964802</v>
      </c>
      <c r="M940" s="3">
        <v>186860000.61035198</v>
      </c>
      <c r="N940" s="3">
        <v>390350006.10351604</v>
      </c>
      <c r="O940" s="3">
        <v>2217520019.53125</v>
      </c>
      <c r="P940" s="3">
        <v>845309997.55859399</v>
      </c>
      <c r="Q940" s="3">
        <v>1437709960.9375</v>
      </c>
      <c r="R940" s="3">
        <v>2908330078.125</v>
      </c>
      <c r="S940" s="3">
        <v>1273439941.40625</v>
      </c>
      <c r="T940" s="3">
        <v>925039978.02734399</v>
      </c>
      <c r="U940" s="3">
        <v>651770019.53125</v>
      </c>
      <c r="V940" s="3">
        <v>615780029.296875</v>
      </c>
      <c r="W940" s="3">
        <v>829150024.41406298</v>
      </c>
      <c r="X940" s="3">
        <v>960070007.32421899</v>
      </c>
      <c r="Y940" s="3">
        <v>1173609985.3515601</v>
      </c>
      <c r="Z940" s="3">
        <v>1562640014.6484399</v>
      </c>
      <c r="AA940" s="3">
        <v>1576310058.59375</v>
      </c>
      <c r="AB940" s="3">
        <v>1974449951.17188</v>
      </c>
      <c r="AC940" s="3"/>
      <c r="AD940" s="3"/>
      <c r="AE940" t="s">
        <v>6054</v>
      </c>
      <c r="AF940" t="s">
        <v>671</v>
      </c>
    </row>
    <row r="941" spans="1:32" x14ac:dyDescent="0.3">
      <c r="A941" t="s">
        <v>1826</v>
      </c>
      <c r="B941" s="1" t="s">
        <v>1205</v>
      </c>
      <c r="C941" s="5" t="s">
        <v>3007</v>
      </c>
      <c r="D941" s="2" t="s">
        <v>4524</v>
      </c>
      <c r="E941" s="1" t="s">
        <v>1779</v>
      </c>
      <c r="F941" s="3">
        <v>567969970.703125</v>
      </c>
      <c r="G941" s="3">
        <v>334429992.67578101</v>
      </c>
      <c r="H941" s="3">
        <v>1729219970.70313</v>
      </c>
      <c r="I941" s="3">
        <v>350630004.88281304</v>
      </c>
      <c r="J941" s="3">
        <v>199259994.506836</v>
      </c>
      <c r="K941" s="3">
        <v>112220001.22070299</v>
      </c>
      <c r="L941" s="3">
        <v>287010009.765625</v>
      </c>
      <c r="M941" s="3">
        <v>208779998.77929699</v>
      </c>
      <c r="N941" s="3">
        <v>407399993.89648396</v>
      </c>
      <c r="O941" s="3">
        <v>2273340087.8906298</v>
      </c>
      <c r="P941" s="3">
        <v>888369995.11718798</v>
      </c>
      <c r="Q941" s="3">
        <v>1424170043.9453101</v>
      </c>
      <c r="R941" s="3">
        <v>2998280029.2968798</v>
      </c>
      <c r="S941" s="3">
        <v>1317300048.82813</v>
      </c>
      <c r="T941" s="3">
        <v>949409973.14453101</v>
      </c>
      <c r="U941" s="3">
        <v>741489990.234375</v>
      </c>
      <c r="V941" s="3">
        <v>699179992.67578101</v>
      </c>
      <c r="W941" s="3">
        <v>922909973.14453101</v>
      </c>
      <c r="X941" s="3">
        <v>1025329956.05469</v>
      </c>
      <c r="Y941" s="3">
        <v>1280780029.29688</v>
      </c>
      <c r="Z941" s="3">
        <v>1649400024.4140601</v>
      </c>
      <c r="AA941" s="3">
        <v>1576310058.59375</v>
      </c>
      <c r="AB941" s="3">
        <v>2091419921.875</v>
      </c>
      <c r="AC941" s="3"/>
      <c r="AD941" s="3"/>
      <c r="AE941" t="s">
        <v>6055</v>
      </c>
      <c r="AF941" t="s">
        <v>1799</v>
      </c>
    </row>
    <row r="942" spans="1:32" x14ac:dyDescent="0.3">
      <c r="A942" t="s">
        <v>1826</v>
      </c>
      <c r="B942" s="1" t="s">
        <v>1205</v>
      </c>
      <c r="C942" s="5" t="s">
        <v>3008</v>
      </c>
      <c r="D942" s="2" t="s">
        <v>4525</v>
      </c>
      <c r="E942" s="1" t="s">
        <v>1619</v>
      </c>
      <c r="F942" s="3">
        <v>350920013.42773396</v>
      </c>
      <c r="G942" s="3">
        <v>186080001.83105499</v>
      </c>
      <c r="H942" s="3">
        <v>1067500000</v>
      </c>
      <c r="I942" s="3">
        <v>253699996.94824198</v>
      </c>
      <c r="J942" s="3">
        <v>160710006.71386698</v>
      </c>
      <c r="K942" s="3">
        <v>91279998.779296905</v>
      </c>
      <c r="L942" s="3">
        <v>247139999.38964802</v>
      </c>
      <c r="M942" s="3">
        <v>186860000.61035198</v>
      </c>
      <c r="N942" s="3">
        <v>390350006.10351604</v>
      </c>
      <c r="O942" s="3">
        <v>2217520019.53125</v>
      </c>
      <c r="P942" s="3">
        <v>845309997.55859399</v>
      </c>
      <c r="Q942" s="3">
        <v>1437709960.9375</v>
      </c>
      <c r="R942" s="3">
        <v>2908330078.125</v>
      </c>
      <c r="S942" s="3">
        <v>1273439941.40625</v>
      </c>
      <c r="T942" s="3">
        <v>925039978.02734399</v>
      </c>
      <c r="U942" s="3">
        <v>651770019.53125</v>
      </c>
      <c r="V942" s="3">
        <v>615780029.296875</v>
      </c>
      <c r="W942" s="3">
        <v>829150024.41406298</v>
      </c>
      <c r="X942" s="3">
        <v>960070007.32421899</v>
      </c>
      <c r="Y942" s="3">
        <v>1173609985.3515601</v>
      </c>
      <c r="Z942" s="3">
        <v>1562640014.6484399</v>
      </c>
      <c r="AA942" s="3">
        <v>1576310058.59375</v>
      </c>
      <c r="AB942" s="3">
        <v>1974449951.17188</v>
      </c>
      <c r="AC942" s="3"/>
      <c r="AD942" s="3"/>
      <c r="AE942" t="s">
        <v>6056</v>
      </c>
      <c r="AF942" t="s">
        <v>717</v>
      </c>
    </row>
    <row r="943" spans="1:32" x14ac:dyDescent="0.3">
      <c r="A943" t="s">
        <v>1826</v>
      </c>
      <c r="B943" s="1" t="s">
        <v>1205</v>
      </c>
      <c r="C943" s="5" t="s">
        <v>3009</v>
      </c>
      <c r="D943" s="2" t="s">
        <v>4526</v>
      </c>
      <c r="E943" s="1" t="s">
        <v>457</v>
      </c>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t="s">
        <v>6057</v>
      </c>
      <c r="AF943" t="s">
        <v>796</v>
      </c>
    </row>
    <row r="944" spans="1:32" x14ac:dyDescent="0.3">
      <c r="A944" t="s">
        <v>1826</v>
      </c>
      <c r="B944" s="1" t="s">
        <v>1205</v>
      </c>
      <c r="C944" s="5" t="s">
        <v>3010</v>
      </c>
      <c r="D944" s="2" t="s">
        <v>4527</v>
      </c>
      <c r="E944" s="1" t="s">
        <v>908</v>
      </c>
      <c r="F944" s="3"/>
      <c r="G944" s="3"/>
      <c r="H944" s="3"/>
      <c r="I944" s="3"/>
      <c r="J944" s="3"/>
      <c r="K944" s="3"/>
      <c r="L944" s="3"/>
      <c r="M944" s="3"/>
      <c r="N944" s="3"/>
      <c r="O944" s="3"/>
      <c r="P944" s="3"/>
      <c r="Q944" s="3"/>
      <c r="R944" s="3"/>
      <c r="S944" s="3">
        <v>474012.19606399495</v>
      </c>
      <c r="T944" s="3"/>
      <c r="U944" s="3"/>
      <c r="V944" s="3"/>
      <c r="W944" s="3"/>
      <c r="X944" s="3">
        <v>397458.70232582098</v>
      </c>
      <c r="Y944" s="3">
        <v>182579.606771469</v>
      </c>
      <c r="Z944" s="3">
        <v>613007.42626190197</v>
      </c>
      <c r="AA944" s="3">
        <v>553759.99212265003</v>
      </c>
      <c r="AB944" s="3">
        <v>298280.56693077099</v>
      </c>
      <c r="AC944" s="3"/>
      <c r="AD944" s="3"/>
      <c r="AE944" t="s">
        <v>6058</v>
      </c>
      <c r="AF944" t="s">
        <v>796</v>
      </c>
    </row>
    <row r="945" spans="1:32" x14ac:dyDescent="0.3">
      <c r="A945" t="s">
        <v>1826</v>
      </c>
      <c r="B945" s="1" t="s">
        <v>1205</v>
      </c>
      <c r="C945" s="5" t="s">
        <v>3011</v>
      </c>
      <c r="D945" s="2" t="s">
        <v>4528</v>
      </c>
      <c r="E945" s="1" t="s">
        <v>1201</v>
      </c>
      <c r="F945" s="3"/>
      <c r="G945" s="3"/>
      <c r="H945" s="3"/>
      <c r="I945" s="3"/>
      <c r="J945" s="3"/>
      <c r="K945" s="3"/>
      <c r="L945" s="3">
        <v>19999.999552965201</v>
      </c>
      <c r="M945" s="3">
        <v>170000.00178813902</v>
      </c>
      <c r="N945" s="3">
        <v>409999.99642372096</v>
      </c>
      <c r="O945" s="3">
        <v>159999.99642372102</v>
      </c>
      <c r="P945" s="3">
        <v>319999.99284744303</v>
      </c>
      <c r="Q945" s="3">
        <v>70000.000298023195</v>
      </c>
      <c r="R945" s="3">
        <v>59999.9986588955</v>
      </c>
      <c r="S945" s="3">
        <v>330000.01311302203</v>
      </c>
      <c r="T945" s="3">
        <v>379999.99523162795</v>
      </c>
      <c r="U945" s="3">
        <v>256894.05202865601</v>
      </c>
      <c r="V945" s="3">
        <v>141120.86594104799</v>
      </c>
      <c r="W945" s="3">
        <v>226513.35597038298</v>
      </c>
      <c r="X945" s="3">
        <v>487179.27932739304</v>
      </c>
      <c r="Y945" s="3">
        <v>271450.877189636</v>
      </c>
      <c r="Z945" s="3">
        <v>663452.38685607899</v>
      </c>
      <c r="AA945" s="3">
        <v>294350.83270072896</v>
      </c>
      <c r="AB945" s="3">
        <v>715165.19784927403</v>
      </c>
      <c r="AC945" s="3"/>
      <c r="AD945" s="3"/>
      <c r="AE945" t="s">
        <v>6058</v>
      </c>
      <c r="AF945" t="s">
        <v>796</v>
      </c>
    </row>
    <row r="946" spans="1:32" x14ac:dyDescent="0.3">
      <c r="A946" t="s">
        <v>1826</v>
      </c>
      <c r="B946" s="1" t="s">
        <v>1205</v>
      </c>
      <c r="C946" s="5" t="s">
        <v>3012</v>
      </c>
      <c r="D946" s="2" t="s">
        <v>4529</v>
      </c>
      <c r="E946" s="1" t="s">
        <v>1753</v>
      </c>
      <c r="F946" s="3">
        <v>1610000.0143051101</v>
      </c>
      <c r="G946" s="3">
        <v>250000</v>
      </c>
      <c r="H946" s="3">
        <v>1840000.0333785999</v>
      </c>
      <c r="I946" s="3">
        <v>759999.99046325695</v>
      </c>
      <c r="J946" s="3">
        <v>1149999.97615814</v>
      </c>
      <c r="K946" s="3">
        <v>1720000.02861023</v>
      </c>
      <c r="L946" s="3">
        <v>1740000.0095367401</v>
      </c>
      <c r="M946" s="3">
        <v>-109999.999403954</v>
      </c>
      <c r="N946" s="3">
        <v>850000.02384185803</v>
      </c>
      <c r="O946" s="3">
        <v>2740000.0095367399</v>
      </c>
      <c r="P946" s="3">
        <v>2289999.9618530301</v>
      </c>
      <c r="Q946" s="3">
        <v>1299999.95231628</v>
      </c>
      <c r="R946" s="3">
        <v>1889999.9856948899</v>
      </c>
      <c r="S946" s="3">
        <v>7239999.7711181594</v>
      </c>
      <c r="T946" s="3">
        <v>4969999.7901916504</v>
      </c>
      <c r="U946" s="3">
        <v>5961489.2005920401</v>
      </c>
      <c r="V946" s="3">
        <v>1869946.36058807</v>
      </c>
      <c r="W946" s="3">
        <v>7138752.9373168899</v>
      </c>
      <c r="X946" s="3">
        <v>5624519.8249816904</v>
      </c>
      <c r="Y946" s="3">
        <v>4717507.3623657199</v>
      </c>
      <c r="Z946" s="3">
        <v>7534619.3313598596</v>
      </c>
      <c r="AA946" s="3">
        <v>5054999.8283386203</v>
      </c>
      <c r="AB946" s="3">
        <v>4451539.99328613</v>
      </c>
      <c r="AC946" s="3"/>
      <c r="AD946" s="3"/>
      <c r="AE946" t="s">
        <v>6058</v>
      </c>
      <c r="AF946" t="s">
        <v>796</v>
      </c>
    </row>
    <row r="947" spans="1:32" x14ac:dyDescent="0.3">
      <c r="A947" t="s">
        <v>1826</v>
      </c>
      <c r="B947" s="1" t="s">
        <v>1205</v>
      </c>
      <c r="C947" s="5" t="s">
        <v>3013</v>
      </c>
      <c r="D947" s="2" t="s">
        <v>4530</v>
      </c>
      <c r="E947" s="1" t="s">
        <v>1021</v>
      </c>
      <c r="F947" s="3"/>
      <c r="G947" s="3"/>
      <c r="H947" s="3"/>
      <c r="I947" s="3"/>
      <c r="J947" s="3"/>
      <c r="K947" s="3"/>
      <c r="L947" s="3"/>
      <c r="M947" s="3"/>
      <c r="N947" s="3"/>
      <c r="O947" s="3"/>
      <c r="P947" s="3"/>
      <c r="Q947" s="3"/>
      <c r="R947" s="3">
        <v>768647.13430404698</v>
      </c>
      <c r="S947" s="3">
        <v>351371.64592742897</v>
      </c>
      <c r="T947" s="3">
        <v>573199.98741149902</v>
      </c>
      <c r="U947" s="3">
        <v>666649.99723434402</v>
      </c>
      <c r="V947" s="3">
        <v>1310580.0151825</v>
      </c>
      <c r="W947" s="3">
        <v>363339.99037742597</v>
      </c>
      <c r="X947" s="3">
        <v>1165121.31690979</v>
      </c>
      <c r="Y947" s="3">
        <v>1393249.9885559101</v>
      </c>
      <c r="Z947" s="3">
        <v>1887075.6626129199</v>
      </c>
      <c r="AA947" s="3">
        <v>1860700.01125336</v>
      </c>
      <c r="AB947" s="3">
        <v>1242918.8489913901</v>
      </c>
      <c r="AC947" s="3"/>
      <c r="AD947" s="3"/>
      <c r="AE947" t="s">
        <v>6058</v>
      </c>
      <c r="AF947" t="s">
        <v>796</v>
      </c>
    </row>
    <row r="948" spans="1:32" x14ac:dyDescent="0.3">
      <c r="A948" t="s">
        <v>1826</v>
      </c>
      <c r="B948" s="1" t="s">
        <v>1205</v>
      </c>
      <c r="C948" s="5" t="s">
        <v>3014</v>
      </c>
      <c r="D948" s="2" t="s">
        <v>4531</v>
      </c>
      <c r="E948" s="1" t="s">
        <v>162</v>
      </c>
      <c r="F948" s="3"/>
      <c r="G948" s="3"/>
      <c r="H948" s="3"/>
      <c r="I948" s="3"/>
      <c r="J948" s="3"/>
      <c r="K948" s="3"/>
      <c r="L948" s="3"/>
      <c r="M948" s="3"/>
      <c r="N948" s="3"/>
      <c r="O948" s="3"/>
      <c r="P948" s="3"/>
      <c r="Q948" s="3"/>
      <c r="R948" s="3"/>
      <c r="S948" s="3"/>
      <c r="T948" s="3"/>
      <c r="U948" s="3"/>
      <c r="V948" s="3"/>
      <c r="W948" s="3"/>
      <c r="X948" s="3"/>
      <c r="Y948" s="3"/>
      <c r="Z948" s="3"/>
      <c r="AA948" s="3"/>
      <c r="AB948" s="3">
        <v>250000</v>
      </c>
      <c r="AC948" s="3"/>
      <c r="AD948" s="3"/>
      <c r="AE948" t="s">
        <v>6057</v>
      </c>
      <c r="AF948" t="s">
        <v>796</v>
      </c>
    </row>
    <row r="949" spans="1:32" x14ac:dyDescent="0.3">
      <c r="A949" t="s">
        <v>1826</v>
      </c>
      <c r="B949" s="1" t="s">
        <v>1205</v>
      </c>
      <c r="C949" s="5" t="s">
        <v>3015</v>
      </c>
      <c r="D949" s="2" t="s">
        <v>4532</v>
      </c>
      <c r="E949" s="1" t="s">
        <v>1160</v>
      </c>
      <c r="F949" s="3"/>
      <c r="G949" s="3"/>
      <c r="H949" s="3"/>
      <c r="I949" s="3"/>
      <c r="J949" s="3"/>
      <c r="K949" s="3"/>
      <c r="L949" s="3"/>
      <c r="M949" s="3"/>
      <c r="N949" s="3"/>
      <c r="O949" s="3"/>
      <c r="P949" s="3"/>
      <c r="Q949" s="3"/>
      <c r="R949" s="3"/>
      <c r="S949" s="3"/>
      <c r="T949" s="3"/>
      <c r="U949" s="3"/>
      <c r="V949" s="3"/>
      <c r="W949" s="3"/>
      <c r="X949" s="3"/>
      <c r="Y949" s="3"/>
      <c r="Z949" s="3"/>
      <c r="AA949" s="3">
        <v>603600.02517700195</v>
      </c>
      <c r="AB949" s="3">
        <v>243992.46275424998</v>
      </c>
      <c r="AC949" s="3"/>
      <c r="AD949" s="3"/>
      <c r="AE949" t="s">
        <v>6057</v>
      </c>
      <c r="AF949" t="s">
        <v>796</v>
      </c>
    </row>
    <row r="950" spans="1:32" ht="28.8" x14ac:dyDescent="0.3">
      <c r="A950" t="s">
        <v>1826</v>
      </c>
      <c r="B950" s="1" t="s">
        <v>1205</v>
      </c>
      <c r="C950" s="5" t="s">
        <v>3016</v>
      </c>
      <c r="D950" s="2" t="s">
        <v>4533</v>
      </c>
      <c r="E950" s="1" t="s">
        <v>1877</v>
      </c>
      <c r="F950" s="3"/>
      <c r="G950" s="3"/>
      <c r="H950" s="3"/>
      <c r="I950" s="3"/>
      <c r="J950" s="3"/>
      <c r="K950" s="3">
        <v>330000.01311302203</v>
      </c>
      <c r="L950" s="3">
        <v>389999.98569488496</v>
      </c>
      <c r="M950" s="3">
        <v>620000.00476837205</v>
      </c>
      <c r="N950" s="3">
        <v>720000.02861022903</v>
      </c>
      <c r="O950" s="3">
        <v>790000.021457672</v>
      </c>
      <c r="P950" s="3">
        <v>720000.02861022903</v>
      </c>
      <c r="Q950" s="3">
        <v>949999.98807907104</v>
      </c>
      <c r="R950" s="3">
        <v>851290.822029114</v>
      </c>
      <c r="S950" s="3">
        <v>808729.29096221901</v>
      </c>
      <c r="T950" s="3">
        <v>682949.48339462304</v>
      </c>
      <c r="U950" s="3">
        <v>1055441.9755935699</v>
      </c>
      <c r="V950" s="3">
        <v>798667.07324981701</v>
      </c>
      <c r="W950" s="3">
        <v>854200.00553131104</v>
      </c>
      <c r="X950" s="3">
        <v>416112.98918724101</v>
      </c>
      <c r="Y950" s="3">
        <v>843993.42536926304</v>
      </c>
      <c r="Z950" s="3"/>
      <c r="AA950" s="3"/>
      <c r="AB950" s="3">
        <v>80557.003617286697</v>
      </c>
      <c r="AC950" s="3"/>
      <c r="AD950" s="3"/>
      <c r="AE950" t="s">
        <v>6058</v>
      </c>
      <c r="AF950" t="s">
        <v>796</v>
      </c>
    </row>
    <row r="951" spans="1:32" x14ac:dyDescent="0.3">
      <c r="A951" t="s">
        <v>1826</v>
      </c>
      <c r="B951" s="1" t="s">
        <v>1205</v>
      </c>
      <c r="C951" s="5" t="s">
        <v>3017</v>
      </c>
      <c r="D951" s="2" t="s">
        <v>4534</v>
      </c>
      <c r="E951" s="1" t="s">
        <v>1852</v>
      </c>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t="s">
        <v>6057</v>
      </c>
      <c r="AF951" t="s">
        <v>796</v>
      </c>
    </row>
    <row r="952" spans="1:32" x14ac:dyDescent="0.3">
      <c r="A952" t="s">
        <v>1826</v>
      </c>
      <c r="B952" s="1" t="s">
        <v>1205</v>
      </c>
      <c r="C952" s="5" t="s">
        <v>3018</v>
      </c>
      <c r="D952" s="2" t="s">
        <v>4535</v>
      </c>
      <c r="E952" s="1" t="s">
        <v>56</v>
      </c>
      <c r="F952" s="3"/>
      <c r="G952" s="3"/>
      <c r="H952" s="3"/>
      <c r="I952" s="3"/>
      <c r="J952" s="3"/>
      <c r="K952" s="3"/>
      <c r="L952" s="3"/>
      <c r="M952" s="3"/>
      <c r="N952" s="3"/>
      <c r="O952" s="3"/>
      <c r="P952" s="3"/>
      <c r="Q952" s="3"/>
      <c r="R952" s="3"/>
      <c r="S952" s="3"/>
      <c r="T952" s="3"/>
      <c r="U952" s="3"/>
      <c r="V952" s="3"/>
      <c r="W952" s="3"/>
      <c r="X952" s="3"/>
      <c r="Y952" s="3"/>
      <c r="Z952" s="3"/>
      <c r="AA952" s="3"/>
      <c r="AB952" s="3">
        <v>-38865.581154823303</v>
      </c>
      <c r="AC952" s="3"/>
      <c r="AD952" s="3"/>
      <c r="AE952" t="s">
        <v>6057</v>
      </c>
      <c r="AF952" t="s">
        <v>796</v>
      </c>
    </row>
    <row r="953" spans="1:32" x14ac:dyDescent="0.3">
      <c r="A953" t="s">
        <v>1826</v>
      </c>
      <c r="B953" s="1" t="s">
        <v>1205</v>
      </c>
      <c r="C953" s="5" t="s">
        <v>3019</v>
      </c>
      <c r="D953" s="2" t="s">
        <v>4536</v>
      </c>
      <c r="E953" s="1" t="s">
        <v>2065</v>
      </c>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t="s">
        <v>6057</v>
      </c>
      <c r="AF953" t="s">
        <v>796</v>
      </c>
    </row>
    <row r="954" spans="1:32" x14ac:dyDescent="0.3">
      <c r="A954" t="s">
        <v>1826</v>
      </c>
      <c r="B954" s="1" t="s">
        <v>1205</v>
      </c>
      <c r="C954" s="5" t="s">
        <v>3020</v>
      </c>
      <c r="D954" s="2" t="s">
        <v>4537</v>
      </c>
      <c r="E954" s="1" t="s">
        <v>1399</v>
      </c>
      <c r="F954" s="3">
        <v>1340000.0333785999</v>
      </c>
      <c r="G954" s="3">
        <v>1740000.0095367401</v>
      </c>
      <c r="H954" s="3">
        <v>2500000</v>
      </c>
      <c r="I954" s="3">
        <v>4380000.1144409198</v>
      </c>
      <c r="J954" s="3">
        <v>4929999.8283386203</v>
      </c>
      <c r="K954" s="3">
        <v>3500000</v>
      </c>
      <c r="L954" s="3">
        <v>4269999.9809265099</v>
      </c>
      <c r="M954" s="3">
        <v>4349999.9046325702</v>
      </c>
      <c r="N954" s="3">
        <v>7840000.1525878897</v>
      </c>
      <c r="O954" s="3">
        <v>7610000.1335143996</v>
      </c>
      <c r="P954" s="3">
        <v>7150000.0953674298</v>
      </c>
      <c r="Q954" s="3">
        <v>3740000.0095367399</v>
      </c>
      <c r="R954" s="3">
        <v>2378630.87654114</v>
      </c>
      <c r="S954" s="3">
        <v>2346502.0656585698</v>
      </c>
      <c r="T954" s="3">
        <v>3078982.5916290302</v>
      </c>
      <c r="U954" s="3">
        <v>2226413.9652252202</v>
      </c>
      <c r="V954" s="3">
        <v>3267659.4257354699</v>
      </c>
      <c r="W954" s="3">
        <v>2702300.7869720501</v>
      </c>
      <c r="X954" s="3">
        <v>763087.86869049096</v>
      </c>
      <c r="Y954" s="3">
        <v>1556541.3236618</v>
      </c>
      <c r="Z954" s="3">
        <v>3643157.24372864</v>
      </c>
      <c r="AA954" s="3">
        <v>2512483.5968017601</v>
      </c>
      <c r="AB954" s="3">
        <v>1278156.63814545</v>
      </c>
      <c r="AC954" s="3"/>
      <c r="AD954" s="3"/>
      <c r="AE954" t="s">
        <v>6058</v>
      </c>
      <c r="AF954" t="s">
        <v>796</v>
      </c>
    </row>
    <row r="955" spans="1:32" x14ac:dyDescent="0.3">
      <c r="A955" t="s">
        <v>1826</v>
      </c>
      <c r="B955" s="1" t="s">
        <v>1205</v>
      </c>
      <c r="C955" s="5" t="s">
        <v>3021</v>
      </c>
      <c r="D955" s="2" t="s">
        <v>4538</v>
      </c>
      <c r="E955" s="1" t="s">
        <v>842</v>
      </c>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t="s">
        <v>6058</v>
      </c>
      <c r="AF955" t="s">
        <v>796</v>
      </c>
    </row>
    <row r="956" spans="1:32" x14ac:dyDescent="0.3">
      <c r="A956" t="s">
        <v>1826</v>
      </c>
      <c r="B956" s="1" t="s">
        <v>1205</v>
      </c>
      <c r="C956" s="5" t="s">
        <v>3022</v>
      </c>
      <c r="D956" s="2" t="s">
        <v>4539</v>
      </c>
      <c r="E956" s="1" t="s">
        <v>1278</v>
      </c>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t="s">
        <v>6058</v>
      </c>
      <c r="AF956" t="s">
        <v>796</v>
      </c>
    </row>
    <row r="957" spans="1:32" x14ac:dyDescent="0.3">
      <c r="A957" t="s">
        <v>1826</v>
      </c>
      <c r="B957" s="1" t="s">
        <v>1205</v>
      </c>
      <c r="C957" s="5" t="s">
        <v>3023</v>
      </c>
      <c r="D957" s="2" t="s">
        <v>4540</v>
      </c>
      <c r="E957" s="1" t="s">
        <v>1177</v>
      </c>
      <c r="F957" s="3">
        <v>1070000.05245209</v>
      </c>
      <c r="G957" s="3">
        <v>990000.00953674305</v>
      </c>
      <c r="H957" s="3">
        <v>2039999.9618530299</v>
      </c>
      <c r="I957" s="3">
        <v>1070000.05245209</v>
      </c>
      <c r="J957" s="3">
        <v>980000.01907348598</v>
      </c>
      <c r="K957" s="3">
        <v>1220000.02861023</v>
      </c>
      <c r="L957" s="3">
        <v>2250000</v>
      </c>
      <c r="M957" s="3">
        <v>3869999.8855590797</v>
      </c>
      <c r="N957" s="3">
        <v>5519999.9809265099</v>
      </c>
      <c r="O957" s="3">
        <v>4940000.0572204599</v>
      </c>
      <c r="P957" s="3">
        <v>5110000.1335143996</v>
      </c>
      <c r="Q957" s="3">
        <v>5250000</v>
      </c>
      <c r="R957" s="3">
        <v>5044581.8901062002</v>
      </c>
      <c r="S957" s="3">
        <v>5569952.0111084003</v>
      </c>
      <c r="T957" s="3">
        <v>4754911.4227294903</v>
      </c>
      <c r="U957" s="3">
        <v>3749089.7178649898</v>
      </c>
      <c r="V957" s="3">
        <v>2912082.1952819801</v>
      </c>
      <c r="W957" s="3">
        <v>2641003.60870361</v>
      </c>
      <c r="X957" s="3">
        <v>2608530.0445556599</v>
      </c>
      <c r="Y957" s="3">
        <v>3822691.9174194299</v>
      </c>
      <c r="Z957" s="3">
        <v>4279220.1042175302</v>
      </c>
      <c r="AA957" s="3">
        <v>4534713.2682800302</v>
      </c>
      <c r="AB957" s="3">
        <v>4621210.0982665997</v>
      </c>
      <c r="AC957" s="3"/>
      <c r="AD957" s="3"/>
      <c r="AE957" t="s">
        <v>6058</v>
      </c>
      <c r="AF957" t="s">
        <v>796</v>
      </c>
    </row>
    <row r="958" spans="1:32" x14ac:dyDescent="0.3">
      <c r="A958" t="s">
        <v>1826</v>
      </c>
      <c r="B958" s="1" t="s">
        <v>1205</v>
      </c>
      <c r="C958" s="5" t="s">
        <v>3024</v>
      </c>
      <c r="D958" s="2" t="s">
        <v>4541</v>
      </c>
      <c r="E958" s="1" t="s">
        <v>1038</v>
      </c>
      <c r="F958" s="3">
        <v>7690000.0572204599</v>
      </c>
      <c r="G958" s="3">
        <v>8069999.6948242206</v>
      </c>
      <c r="H958" s="3">
        <v>6159999.8474121103</v>
      </c>
      <c r="I958" s="3">
        <v>8180000.3051757794</v>
      </c>
      <c r="J958" s="3">
        <v>10539999.961853001</v>
      </c>
      <c r="K958" s="3">
        <v>2289999.9618530301</v>
      </c>
      <c r="L958" s="3">
        <v>819999.99284744298</v>
      </c>
      <c r="M958" s="3">
        <v>1460000.0381469701</v>
      </c>
      <c r="N958" s="3">
        <v>2289999.9618530301</v>
      </c>
      <c r="O958" s="3">
        <v>2089999.9141693101</v>
      </c>
      <c r="P958" s="3">
        <v>519999.98092651402</v>
      </c>
      <c r="Q958" s="3"/>
      <c r="R958" s="3"/>
      <c r="S958" s="3"/>
      <c r="T958" s="3"/>
      <c r="U958" s="3">
        <v>6515246.3912963904</v>
      </c>
      <c r="V958" s="3"/>
      <c r="W958" s="3"/>
      <c r="X958" s="3">
        <v>5265388.9656066904</v>
      </c>
      <c r="Y958" s="3">
        <v>4022581.10046387</v>
      </c>
      <c r="Z958" s="3">
        <v>5139531.1355590802</v>
      </c>
      <c r="AA958" s="3">
        <v>12982110.0234985</v>
      </c>
      <c r="AB958" s="3">
        <v>13535300.2548218</v>
      </c>
      <c r="AC958" s="3"/>
      <c r="AD958" s="3"/>
      <c r="AE958" t="s">
        <v>6058</v>
      </c>
      <c r="AF958" t="s">
        <v>796</v>
      </c>
    </row>
    <row r="959" spans="1:32" ht="28.8" x14ac:dyDescent="0.3">
      <c r="A959" t="s">
        <v>1826</v>
      </c>
      <c r="B959" s="1" t="s">
        <v>1205</v>
      </c>
      <c r="C959" s="5" t="s">
        <v>3025</v>
      </c>
      <c r="D959" s="2" t="s">
        <v>4542</v>
      </c>
      <c r="E959" s="1" t="s">
        <v>1347</v>
      </c>
      <c r="F959" s="3">
        <v>2390000.1049041701</v>
      </c>
      <c r="G959" s="3">
        <v>2730000.0190734901</v>
      </c>
      <c r="H959" s="3">
        <v>3119999.8855590797</v>
      </c>
      <c r="I959" s="3">
        <v>4659999.8474121103</v>
      </c>
      <c r="J959" s="3">
        <v>3519999.9809265099</v>
      </c>
      <c r="K959" s="3">
        <v>4409999.8474121103</v>
      </c>
      <c r="L959" s="3">
        <v>6409999.8474121103</v>
      </c>
      <c r="M959" s="3">
        <v>9739999.7711181603</v>
      </c>
      <c r="N959" s="3">
        <v>7679999.8283386203</v>
      </c>
      <c r="O959" s="3">
        <v>8430000.3051757794</v>
      </c>
      <c r="P959" s="3">
        <v>9569999.6948242206</v>
      </c>
      <c r="Q959" s="3">
        <v>13529999.732971201</v>
      </c>
      <c r="R959" s="3">
        <v>7229437.8280639602</v>
      </c>
      <c r="S959" s="3">
        <v>8279596.3287353497</v>
      </c>
      <c r="T959" s="3">
        <v>8446299.5529174805</v>
      </c>
      <c r="U959" s="3">
        <v>9926996.2310790997</v>
      </c>
      <c r="V959" s="3">
        <v>11946985.244750999</v>
      </c>
      <c r="W959" s="3">
        <v>10509869.575500501</v>
      </c>
      <c r="X959" s="3">
        <v>13520684.2422485</v>
      </c>
      <c r="Y959" s="3">
        <v>10762999.5346069</v>
      </c>
      <c r="Z959" s="3">
        <v>12746999.740600601</v>
      </c>
      <c r="AA959" s="3">
        <v>12336999.893188499</v>
      </c>
      <c r="AB959" s="3">
        <v>12336999.893188499</v>
      </c>
      <c r="AC959" s="3"/>
      <c r="AD959" s="3"/>
      <c r="AE959" t="s">
        <v>6058</v>
      </c>
      <c r="AF959" t="s">
        <v>1573</v>
      </c>
    </row>
    <row r="960" spans="1:32" x14ac:dyDescent="0.3">
      <c r="A960" t="s">
        <v>1826</v>
      </c>
      <c r="B960" s="1" t="s">
        <v>1205</v>
      </c>
      <c r="C960" s="5" t="s">
        <v>3026</v>
      </c>
      <c r="D960" s="2" t="s">
        <v>4543</v>
      </c>
      <c r="E960" s="1" t="s">
        <v>1155</v>
      </c>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t="s">
        <v>6058</v>
      </c>
      <c r="AF960" t="s">
        <v>796</v>
      </c>
    </row>
    <row r="961" spans="1:32" x14ac:dyDescent="0.3">
      <c r="A961" t="s">
        <v>1826</v>
      </c>
      <c r="B961" s="1" t="s">
        <v>1205</v>
      </c>
      <c r="C961" s="5" t="s">
        <v>3027</v>
      </c>
      <c r="D961" s="2" t="s">
        <v>4544</v>
      </c>
      <c r="E961" s="1" t="s">
        <v>1464</v>
      </c>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t="s">
        <v>6057</v>
      </c>
      <c r="AF961" t="s">
        <v>796</v>
      </c>
    </row>
    <row r="962" spans="1:32" x14ac:dyDescent="0.3">
      <c r="A962" t="s">
        <v>1826</v>
      </c>
      <c r="B962" s="1" t="s">
        <v>1205</v>
      </c>
      <c r="C962" s="5" t="s">
        <v>3028</v>
      </c>
      <c r="D962" s="2" t="s">
        <v>4545</v>
      </c>
      <c r="E962" s="1" t="s">
        <v>1419</v>
      </c>
      <c r="F962" s="3"/>
      <c r="G962" s="3"/>
      <c r="H962" s="3"/>
      <c r="I962" s="3"/>
      <c r="J962" s="3"/>
      <c r="K962" s="3"/>
      <c r="L962" s="3"/>
      <c r="M962" s="3">
        <v>59999.9986588955</v>
      </c>
      <c r="N962" s="3">
        <v>3049999.95231628</v>
      </c>
      <c r="O962" s="3">
        <v>4289999.9618530301</v>
      </c>
      <c r="P962" s="3">
        <v>649999.97615814197</v>
      </c>
      <c r="Q962" s="3">
        <v>29999.999329447703</v>
      </c>
      <c r="R962" s="3">
        <v>3306928.3962249802</v>
      </c>
      <c r="S962" s="3">
        <v>4459693.4318542499</v>
      </c>
      <c r="T962" s="3">
        <v>3455663.2041931199</v>
      </c>
      <c r="U962" s="3">
        <v>3615766.0484314002</v>
      </c>
      <c r="V962" s="3">
        <v>4878260.1356506301</v>
      </c>
      <c r="W962" s="3">
        <v>1680334.2103958102</v>
      </c>
      <c r="X962" s="3">
        <v>7140751.8386840802</v>
      </c>
      <c r="Y962" s="3">
        <v>3314623.83270264</v>
      </c>
      <c r="Z962" s="3">
        <v>8921790.1229858398</v>
      </c>
      <c r="AA962" s="3">
        <v>5634850.0251770001</v>
      </c>
      <c r="AB962" s="3">
        <v>1970716.3572311399</v>
      </c>
      <c r="AC962" s="3"/>
      <c r="AD962" s="3"/>
      <c r="AE962" t="s">
        <v>6058</v>
      </c>
      <c r="AF962" t="s">
        <v>796</v>
      </c>
    </row>
    <row r="963" spans="1:32" x14ac:dyDescent="0.3">
      <c r="A963" t="s">
        <v>1826</v>
      </c>
      <c r="B963" s="1" t="s">
        <v>1205</v>
      </c>
      <c r="C963" s="5" t="s">
        <v>3029</v>
      </c>
      <c r="D963" s="2" t="s">
        <v>4546</v>
      </c>
      <c r="E963" s="1" t="s">
        <v>1761</v>
      </c>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t="s">
        <v>6058</v>
      </c>
      <c r="AF963" t="s">
        <v>796</v>
      </c>
    </row>
    <row r="964" spans="1:32" x14ac:dyDescent="0.3">
      <c r="A964" t="s">
        <v>1826</v>
      </c>
      <c r="B964" s="1" t="s">
        <v>1205</v>
      </c>
      <c r="C964" s="5" t="s">
        <v>3030</v>
      </c>
      <c r="D964" s="2" t="s">
        <v>4547</v>
      </c>
      <c r="E964" s="1" t="s">
        <v>203</v>
      </c>
      <c r="F964" s="3">
        <v>1700000.04768372</v>
      </c>
      <c r="G964" s="3">
        <v>1190000.0572204601</v>
      </c>
      <c r="H964" s="3">
        <v>1590000.0333785999</v>
      </c>
      <c r="I964" s="3">
        <v>1929999.94754791</v>
      </c>
      <c r="J964" s="3">
        <v>1370000.00476837</v>
      </c>
      <c r="K964" s="3">
        <v>1750000</v>
      </c>
      <c r="L964" s="3">
        <v>1259999.9904632599</v>
      </c>
      <c r="M964" s="3">
        <v>2650000.0953674298</v>
      </c>
      <c r="N964" s="3">
        <v>1120000.00476837</v>
      </c>
      <c r="O964" s="3"/>
      <c r="P964" s="3"/>
      <c r="Q964" s="3"/>
      <c r="R964" s="3"/>
      <c r="S964" s="3"/>
      <c r="T964" s="3"/>
      <c r="U964" s="3"/>
      <c r="V964" s="3"/>
      <c r="W964" s="3"/>
      <c r="X964" s="3"/>
      <c r="Y964" s="3"/>
      <c r="Z964" s="3"/>
      <c r="AA964" s="3"/>
      <c r="AB964" s="3"/>
      <c r="AC964" s="3"/>
      <c r="AD964" s="3"/>
      <c r="AE964" t="s">
        <v>6058</v>
      </c>
      <c r="AF964" t="s">
        <v>796</v>
      </c>
    </row>
    <row r="965" spans="1:32" x14ac:dyDescent="0.3">
      <c r="A965" t="s">
        <v>1826</v>
      </c>
      <c r="B965" s="1" t="s">
        <v>1205</v>
      </c>
      <c r="C965" s="5" t="s">
        <v>3031</v>
      </c>
      <c r="D965" s="2" t="s">
        <v>4548</v>
      </c>
      <c r="E965" s="1" t="s">
        <v>313</v>
      </c>
      <c r="F965" s="3"/>
      <c r="G965" s="3"/>
      <c r="H965" s="3"/>
      <c r="I965" s="3"/>
      <c r="J965" s="3"/>
      <c r="K965" s="3"/>
      <c r="L965" s="3"/>
      <c r="M965" s="3"/>
      <c r="N965" s="3"/>
      <c r="O965" s="3"/>
      <c r="P965" s="3"/>
      <c r="Q965" s="3"/>
      <c r="R965" s="3"/>
      <c r="S965" s="3"/>
      <c r="T965" s="3"/>
      <c r="U965" s="3"/>
      <c r="V965" s="3"/>
      <c r="W965" s="3"/>
      <c r="X965" s="3"/>
      <c r="Y965" s="3"/>
      <c r="Z965" s="3"/>
      <c r="AA965" s="3">
        <v>978282.988071442</v>
      </c>
      <c r="AB965" s="3">
        <v>888977.16999054002</v>
      </c>
      <c r="AC965" s="3"/>
      <c r="AD965" s="3"/>
      <c r="AE965" t="s">
        <v>6057</v>
      </c>
      <c r="AF965" t="s">
        <v>796</v>
      </c>
    </row>
    <row r="966" spans="1:32" x14ac:dyDescent="0.3">
      <c r="A966" t="s">
        <v>1826</v>
      </c>
      <c r="B966" s="1" t="s">
        <v>1205</v>
      </c>
      <c r="C966" s="5" t="s">
        <v>3032</v>
      </c>
      <c r="D966" s="2" t="s">
        <v>4549</v>
      </c>
      <c r="E966" s="1" t="s">
        <v>1449</v>
      </c>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t="s">
        <v>6058</v>
      </c>
      <c r="AF966" t="s">
        <v>796</v>
      </c>
    </row>
    <row r="967" spans="1:32" x14ac:dyDescent="0.3">
      <c r="A967" t="s">
        <v>1826</v>
      </c>
      <c r="B967" s="1" t="s">
        <v>1205</v>
      </c>
      <c r="C967" s="5" t="s">
        <v>3033</v>
      </c>
      <c r="D967" s="2" t="s">
        <v>4550</v>
      </c>
      <c r="E967" s="1" t="s">
        <v>1903</v>
      </c>
      <c r="F967" s="3">
        <v>810000.00238418602</v>
      </c>
      <c r="G967" s="3">
        <v>810000.00238418602</v>
      </c>
      <c r="H967" s="3">
        <v>1580000.04291534</v>
      </c>
      <c r="I967" s="3">
        <v>1929999.94754791</v>
      </c>
      <c r="J967" s="3">
        <v>-409999.99642372096</v>
      </c>
      <c r="K967" s="3">
        <v>2910000.0858306899</v>
      </c>
      <c r="L967" s="3">
        <v>3319999.9332428002</v>
      </c>
      <c r="M967" s="3">
        <v>2099999.9046325702</v>
      </c>
      <c r="N967" s="3">
        <v>5050000.1907348596</v>
      </c>
      <c r="O967" s="3">
        <v>3269999.9809265099</v>
      </c>
      <c r="P967" s="3">
        <v>2930000.0667571998</v>
      </c>
      <c r="Q967" s="3">
        <v>8770000.45776367</v>
      </c>
      <c r="R967" s="3">
        <v>2213669.5384979201</v>
      </c>
      <c r="S967" s="3">
        <v>948109.50756072998</v>
      </c>
      <c r="T967" s="3">
        <v>1501799.9410629298</v>
      </c>
      <c r="U967" s="3">
        <v>151640.99633693701</v>
      </c>
      <c r="V967" s="3">
        <v>613927.00672149705</v>
      </c>
      <c r="W967" s="3">
        <v>3197740.0779724098</v>
      </c>
      <c r="X967" s="3">
        <v>1249944.5676803601</v>
      </c>
      <c r="Y967" s="3">
        <v>377550.00591278099</v>
      </c>
      <c r="Z967" s="3">
        <v>1223150.3725051901</v>
      </c>
      <c r="AA967" s="3">
        <v>345970.00479698199</v>
      </c>
      <c r="AB967" s="3">
        <v>777694.52333450294</v>
      </c>
      <c r="AC967" s="3"/>
      <c r="AD967" s="3"/>
      <c r="AE967" t="s">
        <v>6058</v>
      </c>
      <c r="AF967" t="s">
        <v>796</v>
      </c>
    </row>
    <row r="968" spans="1:32" x14ac:dyDescent="0.3">
      <c r="A968" t="s">
        <v>1826</v>
      </c>
      <c r="B968" s="1" t="s">
        <v>1205</v>
      </c>
      <c r="C968" s="5" t="s">
        <v>3034</v>
      </c>
      <c r="D968" s="2" t="s">
        <v>4551</v>
      </c>
      <c r="E968" s="1" t="s">
        <v>836</v>
      </c>
      <c r="F968" s="3"/>
      <c r="G968" s="3"/>
      <c r="H968" s="3"/>
      <c r="I968" s="3"/>
      <c r="J968" s="3"/>
      <c r="K968" s="3"/>
      <c r="L968" s="3"/>
      <c r="M968" s="3"/>
      <c r="N968" s="3"/>
      <c r="O968" s="3"/>
      <c r="P968" s="3"/>
      <c r="Q968" s="3">
        <v>1149999.97615814</v>
      </c>
      <c r="R968" s="3">
        <v>1601950.4070282001</v>
      </c>
      <c r="S968" s="3">
        <v>1807587.74280548</v>
      </c>
      <c r="T968" s="3">
        <v>1454583.6448669401</v>
      </c>
      <c r="U968" s="3">
        <v>1543010.4732513402</v>
      </c>
      <c r="V968" s="3">
        <v>1229111.4330291699</v>
      </c>
      <c r="W968" s="3">
        <v>1517473.45924377</v>
      </c>
      <c r="X968" s="3">
        <v>1707331.7766189598</v>
      </c>
      <c r="Y968" s="3">
        <v>1307877.06375122</v>
      </c>
      <c r="Z968" s="3">
        <v>1447590.4703140301</v>
      </c>
      <c r="AA968" s="3">
        <v>3463999.98664856</v>
      </c>
      <c r="AB968" s="3">
        <v>3197722.19657898</v>
      </c>
      <c r="AC968" s="3"/>
      <c r="AD968" s="3"/>
      <c r="AE968" t="s">
        <v>6058</v>
      </c>
      <c r="AF968" t="s">
        <v>796</v>
      </c>
    </row>
    <row r="969" spans="1:32" x14ac:dyDescent="0.3">
      <c r="A969" t="s">
        <v>1826</v>
      </c>
      <c r="B969" s="1" t="s">
        <v>1205</v>
      </c>
      <c r="C969" s="5" t="s">
        <v>3035</v>
      </c>
      <c r="D969" s="2" t="s">
        <v>4552</v>
      </c>
      <c r="E969" s="1" t="s">
        <v>1716</v>
      </c>
      <c r="F969" s="3"/>
      <c r="G969" s="3"/>
      <c r="H969" s="3"/>
      <c r="I969" s="3"/>
      <c r="J969" s="3"/>
      <c r="K969" s="3"/>
      <c r="L969" s="3"/>
      <c r="M969" s="3"/>
      <c r="N969" s="3"/>
      <c r="O969" s="3"/>
      <c r="P969" s="3"/>
      <c r="Q969" s="3"/>
      <c r="R969" s="3"/>
      <c r="S969" s="3"/>
      <c r="T969" s="3"/>
      <c r="U969" s="3"/>
      <c r="V969" s="3"/>
      <c r="W969" s="3"/>
      <c r="X969" s="3"/>
      <c r="Y969" s="3"/>
      <c r="Z969" s="3">
        <v>178618.99733543399</v>
      </c>
      <c r="AA969" s="3">
        <v>49114.000052213698</v>
      </c>
      <c r="AB969" s="3"/>
      <c r="AC969" s="3"/>
      <c r="AD969" s="3"/>
      <c r="AE969" t="s">
        <v>6057</v>
      </c>
      <c r="AF969" t="s">
        <v>796</v>
      </c>
    </row>
    <row r="970" spans="1:32" x14ac:dyDescent="0.3">
      <c r="A970" t="s">
        <v>1826</v>
      </c>
      <c r="B970" s="1" t="s">
        <v>1205</v>
      </c>
      <c r="C970" s="5" t="s">
        <v>3036</v>
      </c>
      <c r="D970" s="2" t="s">
        <v>4553</v>
      </c>
      <c r="E970" s="1" t="s">
        <v>1803</v>
      </c>
      <c r="F970" s="3"/>
      <c r="G970" s="3"/>
      <c r="H970" s="3"/>
      <c r="I970" s="3"/>
      <c r="J970" s="3"/>
      <c r="K970" s="3">
        <v>-653467112.91321504</v>
      </c>
      <c r="L970" s="3">
        <v>-710903107.16385603</v>
      </c>
      <c r="M970" s="3">
        <v>-810492418.36721504</v>
      </c>
      <c r="N970" s="3">
        <v>-905706740.866786</v>
      </c>
      <c r="O970" s="3">
        <v>-940900176.90014303</v>
      </c>
      <c r="P970" s="3">
        <v>-914894581.971614</v>
      </c>
      <c r="Q970" s="3">
        <v>-989600273.38226604</v>
      </c>
      <c r="R970" s="3">
        <v>-920412059.880463</v>
      </c>
      <c r="S970" s="3">
        <v>-901264950.63459599</v>
      </c>
      <c r="T970" s="3">
        <v>-910017518.34948397</v>
      </c>
      <c r="U970" s="3">
        <v>-1007253462.7309</v>
      </c>
      <c r="V970" s="3">
        <v>-1076231027.49739</v>
      </c>
      <c r="W970" s="3">
        <v>-1539138192.4593899</v>
      </c>
      <c r="X970" s="3">
        <v>-1629068199.1733301</v>
      </c>
      <c r="Y970" s="3">
        <v>-1682436915.68325</v>
      </c>
      <c r="Z970" s="3">
        <v>-1846407488.59619</v>
      </c>
      <c r="AA970" s="3">
        <v>-2237326828.89608</v>
      </c>
      <c r="AB970" s="3">
        <v>-2298978375.8849001</v>
      </c>
      <c r="AC970" s="3"/>
      <c r="AD970" s="3"/>
      <c r="AE970" t="s">
        <v>6059</v>
      </c>
      <c r="AF970" t="s">
        <v>613</v>
      </c>
    </row>
    <row r="971" spans="1:32" x14ac:dyDescent="0.3">
      <c r="A971" t="s">
        <v>1826</v>
      </c>
      <c r="B971" s="1" t="s">
        <v>1205</v>
      </c>
      <c r="C971" s="5" t="s">
        <v>3037</v>
      </c>
      <c r="D971" s="2" t="s">
        <v>4554</v>
      </c>
      <c r="E971" s="1" t="s">
        <v>1084</v>
      </c>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t="s">
        <v>6060</v>
      </c>
      <c r="AF971" t="s">
        <v>718</v>
      </c>
    </row>
    <row r="972" spans="1:32" x14ac:dyDescent="0.3">
      <c r="A972" t="s">
        <v>1826</v>
      </c>
      <c r="B972" s="1" t="s">
        <v>1205</v>
      </c>
      <c r="C972" s="5" t="s">
        <v>3038</v>
      </c>
      <c r="D972" s="2" t="s">
        <v>4555</v>
      </c>
      <c r="E972" s="1" t="s">
        <v>928</v>
      </c>
      <c r="F972" s="3">
        <v>-4856596809300</v>
      </c>
      <c r="G972" s="3">
        <v>-5046298549400</v>
      </c>
      <c r="H972" s="3">
        <v>-4992441022900</v>
      </c>
      <c r="I972" s="3">
        <v>-4757908590700</v>
      </c>
      <c r="J972" s="3">
        <v>-4598894660900</v>
      </c>
      <c r="K972" s="3">
        <v>-4005860136500</v>
      </c>
      <c r="L972" s="3">
        <v>-4270799558600</v>
      </c>
      <c r="M972" s="3">
        <v>-4402892302800</v>
      </c>
      <c r="N972" s="3">
        <v>-4752911231600</v>
      </c>
      <c r="O972" s="3">
        <v>-4914598827300</v>
      </c>
      <c r="P972" s="3">
        <v>-5413403807300</v>
      </c>
      <c r="Q972" s="3">
        <v>-5781483566300</v>
      </c>
      <c r="R972" s="3">
        <v>-5297350370400</v>
      </c>
      <c r="S972" s="3">
        <v>-6370540920200</v>
      </c>
      <c r="T972" s="3">
        <v>-449000000000</v>
      </c>
      <c r="U972" s="3">
        <v>-595500032400</v>
      </c>
      <c r="V972" s="3">
        <v>-637780565800</v>
      </c>
      <c r="W972" s="3">
        <v>-893711000000</v>
      </c>
      <c r="X972" s="3">
        <v>-904860161700</v>
      </c>
      <c r="Y972" s="3">
        <v>-985758000000</v>
      </c>
      <c r="Z972" s="3">
        <v>-1062766309100</v>
      </c>
      <c r="AA972" s="3">
        <v>-1240700000000</v>
      </c>
      <c r="AB972" s="3">
        <v>-1434000000000</v>
      </c>
      <c r="AC972" s="3">
        <v>-1851100000000</v>
      </c>
      <c r="AD972" s="3">
        <v>-2106100000000</v>
      </c>
      <c r="AE972" t="s">
        <v>6061</v>
      </c>
      <c r="AF972" t="s">
        <v>718</v>
      </c>
    </row>
    <row r="973" spans="1:32" x14ac:dyDescent="0.3">
      <c r="A973" t="s">
        <v>1826</v>
      </c>
      <c r="B973" s="1" t="s">
        <v>1205</v>
      </c>
      <c r="C973" s="5" t="s">
        <v>3039</v>
      </c>
      <c r="D973" s="2" t="s">
        <v>4556</v>
      </c>
      <c r="E973" s="1" t="s">
        <v>1579</v>
      </c>
      <c r="F973" s="3">
        <v>-6838274092.3508377</v>
      </c>
      <c r="G973" s="3">
        <v>-6890107106.6044445</v>
      </c>
      <c r="H973" s="3">
        <v>-7196692853.1694269</v>
      </c>
      <c r="I973" s="3">
        <v>-8204741696.3357935</v>
      </c>
      <c r="J973" s="3">
        <v>-8720961474.100544</v>
      </c>
      <c r="K973" s="3">
        <v>-7597527924.8439341</v>
      </c>
      <c r="L973" s="3">
        <v>-8174942717.6356449</v>
      </c>
      <c r="M973" s="3">
        <v>-9198876170.2743225</v>
      </c>
      <c r="N973" s="3">
        <v>-10656750660.702293</v>
      </c>
      <c r="O973" s="3">
        <v>-10450069226.887741</v>
      </c>
      <c r="P973" s="3">
        <v>-10940716623.144672</v>
      </c>
      <c r="Q973" s="3">
        <v>-12268435911.153193</v>
      </c>
      <c r="R973" s="3">
        <v>-10375643148.709673</v>
      </c>
      <c r="S973" s="3">
        <v>-12898452662.519135</v>
      </c>
      <c r="T973" s="3">
        <v>-909353588.7355839</v>
      </c>
      <c r="U973" s="3">
        <v>-1007253466.7607338</v>
      </c>
      <c r="V973" s="3">
        <v>-1076231054.2737603</v>
      </c>
      <c r="W973" s="3">
        <v>-1539138225.8106878</v>
      </c>
      <c r="X973" s="3">
        <v>-1629068200.3052759</v>
      </c>
      <c r="Y973" s="3">
        <v>-1682436373.6614044</v>
      </c>
      <c r="Z973" s="3">
        <v>-1846407487.0965633</v>
      </c>
      <c r="AA973" s="3">
        <v>-2237387498.7636032</v>
      </c>
      <c r="AB973" s="3">
        <v>-2298962241.2367868</v>
      </c>
      <c r="AC973" s="3">
        <v>-3051751261.0770888</v>
      </c>
      <c r="AD973" s="3">
        <v>-3473433385.7368593</v>
      </c>
      <c r="AE973" t="s">
        <v>6059</v>
      </c>
      <c r="AF973" t="s">
        <v>718</v>
      </c>
    </row>
    <row r="974" spans="1:32" x14ac:dyDescent="0.3">
      <c r="A974" t="s">
        <v>1826</v>
      </c>
      <c r="B974" s="1" t="s">
        <v>1205</v>
      </c>
      <c r="C974" s="5" t="s">
        <v>3040</v>
      </c>
      <c r="D974" s="2" t="s">
        <v>4557</v>
      </c>
      <c r="E974" s="1" t="s">
        <v>485</v>
      </c>
      <c r="F974" s="3"/>
      <c r="G974" s="3"/>
      <c r="H974" s="3"/>
      <c r="I974" s="3"/>
      <c r="J974" s="3"/>
      <c r="K974" s="3">
        <v>-462553118.69195801</v>
      </c>
      <c r="L974" s="3">
        <v>-531771388.61774302</v>
      </c>
      <c r="M974" s="3">
        <v>-343782716.612194</v>
      </c>
      <c r="N974" s="3">
        <v>-333807187.68229699</v>
      </c>
      <c r="O974" s="3">
        <v>-99128594.542896003</v>
      </c>
      <c r="P974" s="3">
        <v>-439749638.96148801</v>
      </c>
      <c r="Q974" s="3">
        <v>-533852001.13382602</v>
      </c>
      <c r="R974" s="3">
        <v>-520666901.16328698</v>
      </c>
      <c r="S974" s="3">
        <v>-439536378.75236398</v>
      </c>
      <c r="T974" s="3">
        <v>-294556153.80277503</v>
      </c>
      <c r="U974" s="3">
        <v>-344589832.53405201</v>
      </c>
      <c r="V974" s="3">
        <v>-415251144.68216801</v>
      </c>
      <c r="W974" s="3">
        <v>-516867977.87682301</v>
      </c>
      <c r="X974" s="3">
        <v>-556769527.65495896</v>
      </c>
      <c r="Y974" s="3">
        <v>-576465437.82720006</v>
      </c>
      <c r="Z974" s="3">
        <v>-699493427.12701797</v>
      </c>
      <c r="AA974" s="3">
        <v>-676452534.48022795</v>
      </c>
      <c r="AB974" s="3">
        <v>-357247774.73706198</v>
      </c>
      <c r="AC974" s="3"/>
      <c r="AD974" s="3"/>
      <c r="AE974" t="s">
        <v>6062</v>
      </c>
      <c r="AF974" t="s">
        <v>613</v>
      </c>
    </row>
    <row r="975" spans="1:32" x14ac:dyDescent="0.3">
      <c r="A975" t="s">
        <v>1826</v>
      </c>
      <c r="B975" s="1" t="s">
        <v>1205</v>
      </c>
      <c r="C975" s="5" t="s">
        <v>3041</v>
      </c>
      <c r="D975" s="2" t="s">
        <v>4558</v>
      </c>
      <c r="E975" s="1" t="s">
        <v>1786</v>
      </c>
      <c r="F975" s="3">
        <v>-205926642436.664</v>
      </c>
      <c r="G975" s="3">
        <v>-166283064105.94</v>
      </c>
      <c r="H975" s="3">
        <v>-219481268549.371</v>
      </c>
      <c r="I975" s="3">
        <v>-190365823947.18301</v>
      </c>
      <c r="J975" s="3">
        <v>-155665478374.319</v>
      </c>
      <c r="K975" s="3">
        <v>-148440936003.67999</v>
      </c>
      <c r="L975" s="3">
        <v>-170441753285.392</v>
      </c>
      <c r="M975" s="3">
        <v>-124124528069.308</v>
      </c>
      <c r="N975" s="3">
        <v>-73075724522.708694</v>
      </c>
      <c r="O975" s="3"/>
      <c r="P975" s="3"/>
      <c r="Q975" s="3"/>
      <c r="R975" s="3"/>
      <c r="S975" s="3"/>
      <c r="T975" s="3"/>
      <c r="U975" s="3"/>
      <c r="V975" s="3"/>
      <c r="W975" s="3"/>
      <c r="X975" s="3"/>
      <c r="Y975" s="3"/>
      <c r="Z975" s="3"/>
      <c r="AA975" s="3"/>
      <c r="AB975" s="3"/>
      <c r="AC975" s="3"/>
      <c r="AD975" s="3"/>
      <c r="AE975" t="s">
        <v>6063</v>
      </c>
      <c r="AF975" t="s">
        <v>718</v>
      </c>
    </row>
    <row r="976" spans="1:32" x14ac:dyDescent="0.3">
      <c r="A976" t="s">
        <v>1826</v>
      </c>
      <c r="B976" s="1" t="s">
        <v>1205</v>
      </c>
      <c r="C976" s="5" t="s">
        <v>3042</v>
      </c>
      <c r="D976" s="2" t="s">
        <v>4559</v>
      </c>
      <c r="E976" s="1" t="s">
        <v>1627</v>
      </c>
      <c r="F976" s="3">
        <v>-235000000000</v>
      </c>
      <c r="G976" s="3">
        <v>-227500000000</v>
      </c>
      <c r="H976" s="3">
        <v>-322011864900</v>
      </c>
      <c r="I976" s="3">
        <v>-282800000000</v>
      </c>
      <c r="J976" s="3">
        <v>-245900000000</v>
      </c>
      <c r="K976" s="3">
        <v>-243462225300</v>
      </c>
      <c r="L976" s="3">
        <v>-277553256700</v>
      </c>
      <c r="M976" s="3">
        <v>-164309756900</v>
      </c>
      <c r="N976" s="3">
        <v>-148181227400</v>
      </c>
      <c r="O976" s="3">
        <v>-46498817000</v>
      </c>
      <c r="P976" s="3">
        <v>-217585598200</v>
      </c>
      <c r="Q976" s="3">
        <v>-251577021900</v>
      </c>
      <c r="R976" s="3">
        <v>-265829786600</v>
      </c>
      <c r="S976" s="3">
        <v>-217086852100</v>
      </c>
      <c r="T976" s="3">
        <v>-145439260000</v>
      </c>
      <c r="U976" s="3">
        <v>-145439301800</v>
      </c>
      <c r="V976" s="3">
        <v>-203725545700</v>
      </c>
      <c r="W976" s="3">
        <v>-246080158900</v>
      </c>
      <c r="X976" s="3">
        <v>-300123000000</v>
      </c>
      <c r="Y976" s="3">
        <v>-309255662300</v>
      </c>
      <c r="Z976" s="3">
        <v>-337757000000</v>
      </c>
      <c r="AA976" s="3">
        <v>-375100000000</v>
      </c>
      <c r="AB976" s="3">
        <v>-222800000000</v>
      </c>
      <c r="AC976" s="3">
        <v>-153100000000</v>
      </c>
      <c r="AD976" s="3">
        <v>-145000000000</v>
      </c>
      <c r="AE976" t="s">
        <v>6064</v>
      </c>
      <c r="AF976" t="s">
        <v>718</v>
      </c>
    </row>
    <row r="977" spans="1:32" x14ac:dyDescent="0.3">
      <c r="A977" t="s">
        <v>1826</v>
      </c>
      <c r="B977" s="1" t="s">
        <v>1205</v>
      </c>
      <c r="C977" s="5" t="s">
        <v>3043</v>
      </c>
      <c r="D977" s="2" t="s">
        <v>4560</v>
      </c>
      <c r="E977" s="1" t="s">
        <v>1724</v>
      </c>
      <c r="F977" s="3">
        <v>-330888989.71913403</v>
      </c>
      <c r="G977" s="3">
        <v>-310623589.03416151</v>
      </c>
      <c r="H977" s="3">
        <v>-464185851.39648783</v>
      </c>
      <c r="I977" s="3">
        <v>-487672452.61061049</v>
      </c>
      <c r="J977" s="3">
        <v>-466304315.40731353</v>
      </c>
      <c r="K977" s="3">
        <v>-461751282.45429081</v>
      </c>
      <c r="L977" s="3">
        <v>-531278029.67168772</v>
      </c>
      <c r="M977" s="3">
        <v>-343289138.89848441</v>
      </c>
      <c r="N977" s="3">
        <v>-332244873.94161475</v>
      </c>
      <c r="O977" s="3">
        <v>-98871927.026714981</v>
      </c>
      <c r="P977" s="3">
        <v>-439749639.21469241</v>
      </c>
      <c r="Q977" s="3">
        <v>-533852000.8756482</v>
      </c>
      <c r="R977" s="3">
        <v>-520666901.60254169</v>
      </c>
      <c r="S977" s="3">
        <v>-439536378.54966253</v>
      </c>
      <c r="T977" s="3">
        <v>-294556153.72839123</v>
      </c>
      <c r="U977" s="3">
        <v>-246002070.48000598</v>
      </c>
      <c r="V977" s="3">
        <v>-343779303.71111995</v>
      </c>
      <c r="W977" s="3">
        <v>-423796259.83853626</v>
      </c>
      <c r="X977" s="3">
        <v>-540327507.13841081</v>
      </c>
      <c r="Y977" s="3">
        <v>-527820190.16256309</v>
      </c>
      <c r="Z977" s="3">
        <v>-586805441.87310457</v>
      </c>
      <c r="AA977" s="3">
        <v>-676427863.93667078</v>
      </c>
      <c r="AB977" s="3">
        <v>-357188833.57570159</v>
      </c>
      <c r="AC977" s="3">
        <v>-252402959.35978732</v>
      </c>
      <c r="AD977" s="3">
        <v>-239137667.21990627</v>
      </c>
      <c r="AE977" t="s">
        <v>6062</v>
      </c>
      <c r="AF977" t="s">
        <v>718</v>
      </c>
    </row>
    <row r="978" spans="1:32" x14ac:dyDescent="0.3">
      <c r="A978" t="s">
        <v>1826</v>
      </c>
      <c r="B978" s="1" t="s">
        <v>1205</v>
      </c>
      <c r="C978" s="5" t="s">
        <v>3044</v>
      </c>
      <c r="D978" s="2" t="s">
        <v>4561</v>
      </c>
      <c r="E978" s="1" t="s">
        <v>157</v>
      </c>
      <c r="F978" s="3"/>
      <c r="G978" s="3"/>
      <c r="H978" s="3"/>
      <c r="I978" s="3"/>
      <c r="J978" s="3"/>
      <c r="K978" s="3">
        <v>2493187577.7066598</v>
      </c>
      <c r="L978" s="3">
        <v>3155408007.2752199</v>
      </c>
      <c r="M978" s="3">
        <v>2614477656.7693701</v>
      </c>
      <c r="N978" s="3">
        <v>3382826559.4207301</v>
      </c>
      <c r="O978" s="3">
        <v>4273884037.7171001</v>
      </c>
      <c r="P978" s="3">
        <v>3625123239.7939401</v>
      </c>
      <c r="Q978" s="3">
        <v>5976343536.6136198</v>
      </c>
      <c r="R978" s="3">
        <v>3066533815.8635602</v>
      </c>
      <c r="S978" s="3">
        <v>2994983236.0340199</v>
      </c>
      <c r="T978" s="3">
        <v>3878084413.2509398</v>
      </c>
      <c r="U978" s="3">
        <v>3169812031.4053998</v>
      </c>
      <c r="V978" s="3">
        <v>3067507603.36059</v>
      </c>
      <c r="W978" s="3">
        <v>3374301119.1908002</v>
      </c>
      <c r="X978" s="3">
        <v>2202675811.0615201</v>
      </c>
      <c r="Y978" s="3">
        <v>3151326457.3197899</v>
      </c>
      <c r="Z978" s="3">
        <v>2982160383.8485398</v>
      </c>
      <c r="AA978" s="3">
        <v>3053241707.0668402</v>
      </c>
      <c r="AB978" s="3">
        <v>1074599520.9770701</v>
      </c>
      <c r="AC978" s="3"/>
      <c r="AD978" s="3"/>
      <c r="AE978" t="s">
        <v>6065</v>
      </c>
      <c r="AF978" t="s">
        <v>613</v>
      </c>
    </row>
    <row r="979" spans="1:32" x14ac:dyDescent="0.3">
      <c r="A979" t="s">
        <v>1826</v>
      </c>
      <c r="B979" s="1" t="s">
        <v>1205</v>
      </c>
      <c r="C979" s="5" t="s">
        <v>3045</v>
      </c>
      <c r="D979" s="2" t="s">
        <v>4562</v>
      </c>
      <c r="E979" s="1" t="s">
        <v>584</v>
      </c>
      <c r="F979" s="3"/>
      <c r="G979" s="3"/>
      <c r="H979" s="3"/>
      <c r="I979" s="3"/>
      <c r="J979" s="3"/>
      <c r="K979" s="3">
        <v>1155710678.41921</v>
      </c>
      <c r="L979" s="3">
        <v>1722065222.5482099</v>
      </c>
      <c r="M979" s="3">
        <v>1015050790.4115601</v>
      </c>
      <c r="N979" s="3">
        <v>1692905339.96575</v>
      </c>
      <c r="O979" s="3">
        <v>2664128022.97646</v>
      </c>
      <c r="P979" s="3">
        <v>1819629955.6521499</v>
      </c>
      <c r="Q979" s="3">
        <v>4189664129.0233898</v>
      </c>
      <c r="R979" s="3">
        <v>1120544664.9302599</v>
      </c>
      <c r="S979" s="3">
        <v>707897344.17518401</v>
      </c>
      <c r="T979" s="3">
        <v>1715287927.9526401</v>
      </c>
      <c r="U979" s="3">
        <v>1150470393.1549301</v>
      </c>
      <c r="V979" s="3">
        <v>1077209216.0012901</v>
      </c>
      <c r="W979" s="3">
        <v>1006914481.60207</v>
      </c>
      <c r="X979" s="3">
        <v>-98663780.321815506</v>
      </c>
      <c r="Y979" s="3">
        <v>910074933.64127004</v>
      </c>
      <c r="Z979" s="3">
        <v>571594163.03773606</v>
      </c>
      <c r="AA979" s="3">
        <v>39662854.479864098</v>
      </c>
      <c r="AB979" s="3">
        <v>-2737601348.3292298</v>
      </c>
      <c r="AC979" s="3"/>
      <c r="AD979" s="3"/>
      <c r="AE979" t="s">
        <v>5648</v>
      </c>
      <c r="AF979" t="s">
        <v>613</v>
      </c>
    </row>
    <row r="980" spans="1:32" ht="28.8" x14ac:dyDescent="0.3">
      <c r="A980" t="s">
        <v>1826</v>
      </c>
      <c r="B980" s="1" t="s">
        <v>1205</v>
      </c>
      <c r="C980" s="5" t="s">
        <v>3046</v>
      </c>
      <c r="D980" s="2" t="s">
        <v>4563</v>
      </c>
      <c r="E980" s="1" t="s">
        <v>814</v>
      </c>
      <c r="F980" s="3"/>
      <c r="G980" s="3"/>
      <c r="H980" s="3"/>
      <c r="I980" s="3"/>
      <c r="J980" s="3"/>
      <c r="K980" s="3"/>
      <c r="L980" s="3"/>
      <c r="M980" s="3"/>
      <c r="N980" s="3"/>
      <c r="O980" s="3"/>
      <c r="P980" s="3"/>
      <c r="Q980" s="3"/>
      <c r="R980" s="3"/>
      <c r="S980" s="3">
        <v>0.117201215035802</v>
      </c>
      <c r="T980" s="3">
        <v>0.31256974834856599</v>
      </c>
      <c r="U980" s="3">
        <v>0.474781192575019</v>
      </c>
      <c r="V980" s="3">
        <v>0.62626625490725496</v>
      </c>
      <c r="W980" s="3">
        <v>0.61450587929661804</v>
      </c>
      <c r="X980" s="3">
        <v>0.75136476717810996</v>
      </c>
      <c r="Y980" s="3">
        <v>0.80264667489211405</v>
      </c>
      <c r="Z980" s="3">
        <v>0.74962720315172804</v>
      </c>
      <c r="AA980" s="3">
        <v>0.71853516136191797</v>
      </c>
      <c r="AB980" s="3">
        <v>1.2047329898686501</v>
      </c>
      <c r="AC980" s="3"/>
      <c r="AD980" s="3"/>
      <c r="AE980" t="s">
        <v>6066</v>
      </c>
      <c r="AF980" t="s">
        <v>462</v>
      </c>
    </row>
    <row r="981" spans="1:32" x14ac:dyDescent="0.3">
      <c r="A981" t="s">
        <v>1826</v>
      </c>
      <c r="B981" s="1" t="s">
        <v>1205</v>
      </c>
      <c r="C981" s="5" t="s">
        <v>3047</v>
      </c>
      <c r="D981" s="2" t="s">
        <v>4564</v>
      </c>
      <c r="E981" s="1" t="s">
        <v>1267</v>
      </c>
      <c r="F981" s="3"/>
      <c r="G981" s="3"/>
      <c r="H981" s="3"/>
      <c r="I981" s="3"/>
      <c r="J981" s="3"/>
      <c r="K981" s="3"/>
      <c r="L981" s="3"/>
      <c r="M981" s="3"/>
      <c r="N981" s="3"/>
      <c r="O981" s="3"/>
      <c r="P981" s="3"/>
      <c r="Q981" s="3"/>
      <c r="R981" s="3"/>
      <c r="S981" s="3">
        <v>1410</v>
      </c>
      <c r="T981" s="3">
        <v>3861</v>
      </c>
      <c r="U981" s="3">
        <v>6050</v>
      </c>
      <c r="V981" s="3">
        <v>8232</v>
      </c>
      <c r="W981" s="3">
        <v>8331</v>
      </c>
      <c r="X981" s="3">
        <v>10507</v>
      </c>
      <c r="Y981" s="3">
        <v>11577</v>
      </c>
      <c r="Z981" s="3">
        <v>11151</v>
      </c>
      <c r="AA981" s="3">
        <v>11017</v>
      </c>
      <c r="AB981" s="3">
        <v>19042</v>
      </c>
      <c r="AC981" s="3"/>
      <c r="AD981" s="3"/>
      <c r="AE981" t="s">
        <v>6067</v>
      </c>
      <c r="AF981" t="s">
        <v>462</v>
      </c>
    </row>
    <row r="982" spans="1:32" x14ac:dyDescent="0.3">
      <c r="A982" t="s">
        <v>1826</v>
      </c>
      <c r="B982" s="1" t="s">
        <v>1205</v>
      </c>
      <c r="C982" s="5" t="s">
        <v>3048</v>
      </c>
      <c r="D982" s="2" t="s">
        <v>4565</v>
      </c>
      <c r="E982" s="1" t="s">
        <v>1942</v>
      </c>
      <c r="F982" s="3">
        <v>76</v>
      </c>
      <c r="G982" s="3">
        <v>76</v>
      </c>
      <c r="H982" s="3">
        <v>76</v>
      </c>
      <c r="I982" s="3">
        <v>76</v>
      </c>
      <c r="J982" s="3">
        <v>76</v>
      </c>
      <c r="K982" s="3">
        <v>75</v>
      </c>
      <c r="L982" s="3">
        <v>75</v>
      </c>
      <c r="M982" s="3">
        <v>74</v>
      </c>
      <c r="N982" s="3">
        <v>92</v>
      </c>
      <c r="O982" s="3">
        <v>92</v>
      </c>
      <c r="P982" s="3">
        <v>82</v>
      </c>
      <c r="Q982" s="3">
        <v>82</v>
      </c>
      <c r="R982" s="3">
        <v>82</v>
      </c>
      <c r="S982" s="3">
        <v>82</v>
      </c>
      <c r="T982" s="3">
        <v>82</v>
      </c>
      <c r="U982" s="3">
        <v>85</v>
      </c>
      <c r="V982" s="3">
        <v>85</v>
      </c>
      <c r="W982" s="3">
        <v>85</v>
      </c>
      <c r="X982" s="3">
        <v>85</v>
      </c>
      <c r="Y982" s="3">
        <v>85</v>
      </c>
      <c r="Z982" s="3">
        <v>86</v>
      </c>
      <c r="AA982" s="3">
        <v>86</v>
      </c>
      <c r="AB982" s="3">
        <v>83</v>
      </c>
      <c r="AC982" s="3">
        <v>84</v>
      </c>
      <c r="AD982" s="3"/>
      <c r="AE982" t="s">
        <v>6068</v>
      </c>
      <c r="AF982" t="s">
        <v>192</v>
      </c>
    </row>
    <row r="983" spans="1:32" ht="28.8" x14ac:dyDescent="0.3">
      <c r="A983" t="s">
        <v>1826</v>
      </c>
      <c r="B983" s="1" t="s">
        <v>1205</v>
      </c>
      <c r="C983" s="5" t="s">
        <v>3049</v>
      </c>
      <c r="D983" s="2" t="s">
        <v>4566</v>
      </c>
      <c r="E983" s="1" t="s">
        <v>196</v>
      </c>
      <c r="F983" s="3">
        <v>24.389574759945141</v>
      </c>
      <c r="G983" s="3">
        <v>25.157750342935525</v>
      </c>
      <c r="H983" s="3">
        <v>32.914951989026051</v>
      </c>
      <c r="I983" s="3">
        <v>25.356652949245561</v>
      </c>
      <c r="J983" s="3">
        <v>26.35802469135804</v>
      </c>
      <c r="K983" s="3">
        <v>36.172839506172849</v>
      </c>
      <c r="L983" s="3">
        <v>35.212620027434838</v>
      </c>
      <c r="M983" s="3">
        <v>38.100137174211255</v>
      </c>
      <c r="N983" s="3">
        <v>38.120713305898477</v>
      </c>
      <c r="O983" s="3">
        <v>37.647462277091904</v>
      </c>
      <c r="P983" s="3">
        <v>36.652949245541834</v>
      </c>
      <c r="Q983" s="3">
        <v>42.112482853223597</v>
      </c>
      <c r="R983" s="3">
        <v>49.986282578875162</v>
      </c>
      <c r="S983" s="3">
        <v>56.714677640603561</v>
      </c>
      <c r="T983" s="3">
        <v>59.533607681755839</v>
      </c>
      <c r="U983" s="3">
        <v>57.009602194787391</v>
      </c>
      <c r="V983" s="3">
        <v>68.888888888888914</v>
      </c>
      <c r="W983" s="3">
        <v>64.842249657064471</v>
      </c>
      <c r="X983" s="3">
        <v>65.349794238683145</v>
      </c>
      <c r="Y983" s="3">
        <v>82.524005486968449</v>
      </c>
      <c r="Z983" s="3">
        <v>80.486968449931425</v>
      </c>
      <c r="AA983" s="3">
        <v>93.806584362139915</v>
      </c>
      <c r="AB983" s="3">
        <v>96.831275720164626</v>
      </c>
      <c r="AC983" s="3">
        <v>101.08367626886148</v>
      </c>
      <c r="AD983" s="3"/>
      <c r="AE983" t="s">
        <v>6069</v>
      </c>
      <c r="AF983" t="s">
        <v>691</v>
      </c>
    </row>
    <row r="984" spans="1:32" x14ac:dyDescent="0.3">
      <c r="A984" t="s">
        <v>1826</v>
      </c>
      <c r="B984" s="1" t="s">
        <v>1205</v>
      </c>
      <c r="C984" s="5" t="s">
        <v>3050</v>
      </c>
      <c r="D984" s="2" t="s">
        <v>4567</v>
      </c>
      <c r="E984" s="1" t="s">
        <v>929</v>
      </c>
      <c r="F984" s="3">
        <v>1.8136000000000001</v>
      </c>
      <c r="G984" s="3">
        <v>1.8248</v>
      </c>
      <c r="H984" s="3">
        <v>1.9379</v>
      </c>
      <c r="I984" s="3">
        <v>1.8277000000000001</v>
      </c>
      <c r="J984" s="3">
        <v>1.8423</v>
      </c>
      <c r="K984" s="3">
        <v>1.9854000000000001</v>
      </c>
      <c r="L984" s="3">
        <v>1.9714</v>
      </c>
      <c r="M984" s="3">
        <v>2.0135000000000001</v>
      </c>
      <c r="N984" s="3">
        <v>2.0137999999999998</v>
      </c>
      <c r="O984" s="3">
        <v>2.0068999999999999</v>
      </c>
      <c r="P984" s="3">
        <v>1.9923999999999999</v>
      </c>
      <c r="Q984" s="3">
        <v>2.0720000000000001</v>
      </c>
      <c r="R984" s="3">
        <v>2.1867999999999999</v>
      </c>
      <c r="S984" s="3">
        <v>2.2848999999999999</v>
      </c>
      <c r="T984" s="3">
        <v>2.3260000000000001</v>
      </c>
      <c r="U984" s="3">
        <v>2.2892000000000001</v>
      </c>
      <c r="V984" s="3">
        <v>2.4624000000000001</v>
      </c>
      <c r="W984" s="3">
        <v>2.4034</v>
      </c>
      <c r="X984" s="3">
        <v>2.4108000000000001</v>
      </c>
      <c r="Y984" s="3">
        <v>2.6612</v>
      </c>
      <c r="Z984" s="3">
        <v>2.6315</v>
      </c>
      <c r="AA984" s="3">
        <v>2.8256999999999999</v>
      </c>
      <c r="AB984" s="3">
        <v>2.8698000000000001</v>
      </c>
      <c r="AC984" s="3">
        <v>2.9318</v>
      </c>
      <c r="AD984" s="3"/>
      <c r="AE984" t="s">
        <v>6070</v>
      </c>
      <c r="AF984" t="s">
        <v>691</v>
      </c>
    </row>
    <row r="985" spans="1:32" x14ac:dyDescent="0.3">
      <c r="A985" t="s">
        <v>1826</v>
      </c>
      <c r="B985" s="1" t="s">
        <v>1205</v>
      </c>
      <c r="C985" s="5" t="s">
        <v>3051</v>
      </c>
      <c r="D985" s="2" t="s">
        <v>4568</v>
      </c>
      <c r="E985" s="1" t="s">
        <v>253</v>
      </c>
      <c r="F985" s="3">
        <v>1.1791</v>
      </c>
      <c r="G985" s="3">
        <v>1.1338999999999999</v>
      </c>
      <c r="H985" s="3">
        <v>1.2790999999999999</v>
      </c>
      <c r="I985" s="3">
        <v>1.1943999999999999</v>
      </c>
      <c r="J985" s="3">
        <v>1.1982999999999999</v>
      </c>
      <c r="K985" s="3">
        <v>1.2135</v>
      </c>
      <c r="L985" s="3">
        <v>1.2304999999999999</v>
      </c>
      <c r="M985" s="3">
        <v>1.2443</v>
      </c>
      <c r="N985" s="3">
        <v>1.2673000000000001</v>
      </c>
      <c r="O985" s="3">
        <v>1.2981</v>
      </c>
      <c r="P985" s="3">
        <v>1.2593000000000001</v>
      </c>
      <c r="Q985" s="3">
        <v>1.248</v>
      </c>
      <c r="R985" s="3">
        <v>1.3253999999999999</v>
      </c>
      <c r="S985" s="3">
        <v>1.3725000000000001</v>
      </c>
      <c r="T985" s="3">
        <v>1.4558</v>
      </c>
      <c r="U985" s="3">
        <v>1.4400999999999999</v>
      </c>
      <c r="V985" s="3">
        <v>1.5198</v>
      </c>
      <c r="W985" s="3">
        <v>1.5172000000000001</v>
      </c>
      <c r="X985" s="3">
        <v>1.5784</v>
      </c>
      <c r="Y985" s="3">
        <v>1.7986</v>
      </c>
      <c r="Z985" s="3">
        <v>1.7284999999999999</v>
      </c>
      <c r="AA985" s="3">
        <v>1.8958999999999999</v>
      </c>
      <c r="AB985" s="3">
        <v>1.9121999999999999</v>
      </c>
      <c r="AC985" s="3">
        <v>1.9782</v>
      </c>
      <c r="AD985" s="3"/>
      <c r="AE985" t="s">
        <v>6071</v>
      </c>
      <c r="AF985" t="s">
        <v>691</v>
      </c>
    </row>
    <row r="986" spans="1:32" x14ac:dyDescent="0.3">
      <c r="A986" t="s">
        <v>1826</v>
      </c>
      <c r="B986" s="1" t="s">
        <v>1205</v>
      </c>
      <c r="C986" s="5" t="s">
        <v>3052</v>
      </c>
      <c r="D986" s="2" t="s">
        <v>4569</v>
      </c>
      <c r="E986" s="1" t="s">
        <v>185</v>
      </c>
      <c r="F986" s="3">
        <v>0.1225</v>
      </c>
      <c r="G986" s="3">
        <v>0.12239999999999999</v>
      </c>
      <c r="H986" s="3">
        <v>0.1231</v>
      </c>
      <c r="I986" s="3">
        <v>0.12230000000000001</v>
      </c>
      <c r="J986" s="3">
        <v>0.16059999999999999</v>
      </c>
      <c r="K986" s="3">
        <v>0.1636</v>
      </c>
      <c r="L986" s="3">
        <v>0.16639999999999999</v>
      </c>
      <c r="M986" s="3">
        <v>0.17730000000000001</v>
      </c>
      <c r="N986" s="3">
        <v>0.1714</v>
      </c>
      <c r="O986" s="3">
        <v>0.1633</v>
      </c>
      <c r="P986" s="3">
        <v>0.18099999999999999</v>
      </c>
      <c r="Q986" s="3">
        <v>0.2082</v>
      </c>
      <c r="R986" s="3">
        <v>0.2218</v>
      </c>
      <c r="S986" s="3">
        <v>0.22919999999999999</v>
      </c>
      <c r="T986" s="3">
        <v>0.23469999999999999</v>
      </c>
      <c r="U986" s="3">
        <v>0.189</v>
      </c>
      <c r="V986" s="3">
        <v>0.1837</v>
      </c>
      <c r="W986" s="3">
        <v>0.19719999999999999</v>
      </c>
      <c r="X986" s="3">
        <v>0.16520000000000001</v>
      </c>
      <c r="Y986" s="3">
        <v>0.17660000000000001</v>
      </c>
      <c r="Z986" s="3">
        <v>0.1825</v>
      </c>
      <c r="AA986" s="3">
        <v>0.1898</v>
      </c>
      <c r="AB986" s="3">
        <v>0.1915</v>
      </c>
      <c r="AC986" s="3">
        <v>0.19059999999999999</v>
      </c>
      <c r="AD986" s="3"/>
      <c r="AE986" t="s">
        <v>6072</v>
      </c>
      <c r="AF986" t="s">
        <v>691</v>
      </c>
    </row>
    <row r="987" spans="1:32" ht="28.8" x14ac:dyDescent="0.3">
      <c r="A987" t="s">
        <v>1826</v>
      </c>
      <c r="B987" s="1" t="s">
        <v>1205</v>
      </c>
      <c r="C987" s="5" t="s">
        <v>3053</v>
      </c>
      <c r="D987" s="2" t="s">
        <v>4570</v>
      </c>
      <c r="E987" s="1" t="s">
        <v>5</v>
      </c>
      <c r="F987" s="3">
        <v>2.6200000000000001E-2</v>
      </c>
      <c r="G987" s="3">
        <v>2.7E-2</v>
      </c>
      <c r="H987" s="3">
        <v>2.8199999999999999E-2</v>
      </c>
      <c r="I987" s="3">
        <v>2.7099999999999999E-2</v>
      </c>
      <c r="J987" s="3">
        <v>3.4000000000000002E-2</v>
      </c>
      <c r="K987" s="3">
        <v>3.5700000000000003E-2</v>
      </c>
      <c r="L987" s="3">
        <v>3.6200000000000003E-2</v>
      </c>
      <c r="M987" s="3">
        <v>3.7600000000000001E-2</v>
      </c>
      <c r="N987" s="3">
        <v>3.8199999999999998E-2</v>
      </c>
      <c r="O987" s="3">
        <v>3.5299999999999998E-2</v>
      </c>
      <c r="P987" s="3">
        <v>3.7199999999999997E-2</v>
      </c>
      <c r="Q987" s="3">
        <v>4.4600000000000001E-2</v>
      </c>
      <c r="R987" s="3">
        <v>4.6199999999999998E-2</v>
      </c>
      <c r="S987" s="3">
        <v>4.8899999999999999E-2</v>
      </c>
      <c r="T987" s="3">
        <v>5.0099999999999999E-2</v>
      </c>
      <c r="U987" s="3">
        <v>5.3900000000000003E-2</v>
      </c>
      <c r="V987" s="3">
        <v>5.8599999999999999E-2</v>
      </c>
      <c r="W987" s="3">
        <v>5.21E-2</v>
      </c>
      <c r="X987" s="3">
        <v>4.4400000000000002E-2</v>
      </c>
      <c r="Y987" s="3">
        <v>4.8800000000000003E-2</v>
      </c>
      <c r="Z987" s="3">
        <v>0.05</v>
      </c>
      <c r="AA987" s="3">
        <v>5.0500000000000003E-2</v>
      </c>
      <c r="AB987" s="3">
        <v>5.1299999999999998E-2</v>
      </c>
      <c r="AC987" s="3">
        <v>5.1299999999999998E-2</v>
      </c>
      <c r="AD987" s="3"/>
      <c r="AE987" t="s">
        <v>6073</v>
      </c>
      <c r="AF987" t="s">
        <v>691</v>
      </c>
    </row>
    <row r="988" spans="1:32" ht="28.8" x14ac:dyDescent="0.3">
      <c r="A988" t="s">
        <v>1826</v>
      </c>
      <c r="B988" s="1" t="s">
        <v>1205</v>
      </c>
      <c r="C988" s="5" t="s">
        <v>3054</v>
      </c>
      <c r="D988" s="2" t="s">
        <v>4571</v>
      </c>
      <c r="E988" s="1" t="s">
        <v>1285</v>
      </c>
      <c r="F988" s="3">
        <v>1.5E-3</v>
      </c>
      <c r="G988" s="3">
        <v>1.5E-3</v>
      </c>
      <c r="H988" s="3">
        <v>1.4E-3</v>
      </c>
      <c r="I988" s="3">
        <v>1E-3</v>
      </c>
      <c r="J988" s="3">
        <v>1.1000000000000001E-3</v>
      </c>
      <c r="K988" s="3">
        <v>8.0000000000000004E-4</v>
      </c>
      <c r="L988" s="3">
        <v>1.1000000000000001E-3</v>
      </c>
      <c r="M988" s="3">
        <v>8.0000000000000004E-4</v>
      </c>
      <c r="N988" s="3">
        <v>1.1000000000000001E-3</v>
      </c>
      <c r="O988" s="3">
        <v>1.2999999999999999E-3</v>
      </c>
      <c r="P988" s="3">
        <v>1.1999999999999999E-3</v>
      </c>
      <c r="Q988" s="3">
        <v>1.1999999999999999E-3</v>
      </c>
      <c r="R988" s="3">
        <v>1.6000000000000001E-3</v>
      </c>
      <c r="S988" s="3">
        <v>1.6000000000000001E-3</v>
      </c>
      <c r="T988" s="3">
        <v>1.6999999999999999E-3</v>
      </c>
      <c r="U988" s="3">
        <v>1.9E-3</v>
      </c>
      <c r="V988" s="3">
        <v>1.5E-3</v>
      </c>
      <c r="W988" s="3">
        <v>1.9E-3</v>
      </c>
      <c r="X988" s="3">
        <v>1.8E-3</v>
      </c>
      <c r="Y988" s="3">
        <v>2.3E-3</v>
      </c>
      <c r="Z988" s="3">
        <v>2.3E-3</v>
      </c>
      <c r="AA988" s="3">
        <v>2.5999999999999999E-3</v>
      </c>
      <c r="AB988" s="3">
        <v>2.7000000000000001E-3</v>
      </c>
      <c r="AC988" s="3">
        <v>2.5999999999999999E-3</v>
      </c>
      <c r="AD988" s="3"/>
      <c r="AE988" t="s">
        <v>6074</v>
      </c>
      <c r="AF988" t="s">
        <v>691</v>
      </c>
    </row>
    <row r="989" spans="1:32" x14ac:dyDescent="0.3">
      <c r="A989" t="s">
        <v>1826</v>
      </c>
      <c r="B989" s="1" t="s">
        <v>1205</v>
      </c>
      <c r="C989" s="5" t="s">
        <v>3055</v>
      </c>
      <c r="D989" s="2" t="s">
        <v>4572</v>
      </c>
      <c r="E989" s="1" t="s">
        <v>2015</v>
      </c>
      <c r="F989" s="3">
        <v>0.32229999999999998</v>
      </c>
      <c r="G989" s="3">
        <v>0.3755</v>
      </c>
      <c r="H989" s="3">
        <v>0.3352</v>
      </c>
      <c r="I989" s="3">
        <v>0.31040000000000001</v>
      </c>
      <c r="J989" s="3">
        <v>0.26979999999999998</v>
      </c>
      <c r="K989" s="3">
        <v>0.38679999999999998</v>
      </c>
      <c r="L989" s="3">
        <v>0.35039999999999999</v>
      </c>
      <c r="M989" s="3">
        <v>0.3609</v>
      </c>
      <c r="N989" s="3">
        <v>0.33200000000000002</v>
      </c>
      <c r="O989" s="3">
        <v>0.3014</v>
      </c>
      <c r="P989" s="3">
        <v>0.29920000000000002</v>
      </c>
      <c r="Q989" s="3">
        <v>0.35020000000000001</v>
      </c>
      <c r="R989" s="3">
        <v>0.35930000000000001</v>
      </c>
      <c r="S989" s="3">
        <v>0.39479999999999998</v>
      </c>
      <c r="T989" s="3">
        <v>0.33479999999999999</v>
      </c>
      <c r="U989" s="3">
        <v>0.34050000000000002</v>
      </c>
      <c r="V989" s="3">
        <v>0.41299999999999998</v>
      </c>
      <c r="W989" s="3">
        <v>0.34200000000000003</v>
      </c>
      <c r="X989" s="3">
        <v>0.3115</v>
      </c>
      <c r="Y989" s="3">
        <v>0.31330000000000002</v>
      </c>
      <c r="Z989" s="3">
        <v>0.33760000000000001</v>
      </c>
      <c r="AA989" s="3">
        <v>0.3362</v>
      </c>
      <c r="AB989" s="3">
        <v>0.34920000000000001</v>
      </c>
      <c r="AC989" s="3">
        <v>0.33839999999999998</v>
      </c>
      <c r="AD989" s="3"/>
      <c r="AE989" t="s">
        <v>6075</v>
      </c>
      <c r="AF989" t="s">
        <v>691</v>
      </c>
    </row>
    <row r="990" spans="1:32" x14ac:dyDescent="0.3">
      <c r="A990" t="s">
        <v>1826</v>
      </c>
      <c r="B990" s="1" t="s">
        <v>1205</v>
      </c>
      <c r="C990" s="5" t="s">
        <v>3056</v>
      </c>
      <c r="D990" s="2" t="s">
        <v>4573</v>
      </c>
      <c r="E990" s="1" t="s">
        <v>846</v>
      </c>
      <c r="F990" s="3">
        <v>8.9999999999999998E-4</v>
      </c>
      <c r="G990" s="3">
        <v>8.9999999999999998E-4</v>
      </c>
      <c r="H990" s="3">
        <v>1E-3</v>
      </c>
      <c r="I990" s="3">
        <v>8.9999999999999998E-4</v>
      </c>
      <c r="J990" s="3">
        <v>2.5999999999999999E-3</v>
      </c>
      <c r="K990" s="3">
        <v>2.8999999999999998E-3</v>
      </c>
      <c r="L990" s="3">
        <v>2.8E-3</v>
      </c>
      <c r="M990" s="3">
        <v>2.8999999999999998E-3</v>
      </c>
      <c r="N990" s="3">
        <v>3.0999999999999999E-3</v>
      </c>
      <c r="O990" s="3">
        <v>2.7000000000000001E-3</v>
      </c>
      <c r="P990" s="3">
        <v>2.8999999999999998E-3</v>
      </c>
      <c r="Q990" s="3">
        <v>2.7000000000000001E-3</v>
      </c>
      <c r="R990" s="3">
        <v>3.3999999999999998E-3</v>
      </c>
      <c r="S990" s="3">
        <v>3.3E-3</v>
      </c>
      <c r="T990" s="3">
        <v>3.5999999999999999E-3</v>
      </c>
      <c r="U990" s="3">
        <v>4.0000000000000001E-3</v>
      </c>
      <c r="V990" s="3">
        <v>3.7000000000000002E-3</v>
      </c>
      <c r="W990" s="3">
        <v>3.8999999999999998E-3</v>
      </c>
      <c r="X990" s="3">
        <v>6.7000000000000002E-3</v>
      </c>
      <c r="Y990" s="3">
        <v>5.3E-3</v>
      </c>
      <c r="Z990" s="3">
        <v>6.1000000000000004E-3</v>
      </c>
      <c r="AA990" s="3">
        <v>6.4999999999999997E-3</v>
      </c>
      <c r="AB990" s="3">
        <v>6.4999999999999997E-3</v>
      </c>
      <c r="AC990" s="3">
        <v>6.4000000000000003E-3</v>
      </c>
      <c r="AD990" s="3"/>
      <c r="AE990" t="s">
        <v>6076</v>
      </c>
      <c r="AF990" t="s">
        <v>691</v>
      </c>
    </row>
    <row r="991" spans="1:32" x14ac:dyDescent="0.3">
      <c r="A991" t="s">
        <v>1826</v>
      </c>
      <c r="B991" s="1" t="s">
        <v>1205</v>
      </c>
      <c r="C991" s="5" t="s">
        <v>3057</v>
      </c>
      <c r="D991" s="2" t="s">
        <v>4574</v>
      </c>
      <c r="E991" s="1" t="s">
        <v>407</v>
      </c>
      <c r="F991" s="3">
        <v>1.89E-2</v>
      </c>
      <c r="G991" s="3">
        <v>1.8200000000000001E-2</v>
      </c>
      <c r="H991" s="3">
        <v>1.89E-2</v>
      </c>
      <c r="I991" s="3">
        <v>1.49E-2</v>
      </c>
      <c r="J991" s="3">
        <v>1.34E-2</v>
      </c>
      <c r="K991" s="3">
        <v>1.44E-2</v>
      </c>
      <c r="L991" s="3">
        <v>1.21E-2</v>
      </c>
      <c r="M991" s="3">
        <v>1.3100000000000001E-2</v>
      </c>
      <c r="N991" s="3">
        <v>1.8100000000000002E-2</v>
      </c>
      <c r="O991" s="3">
        <v>1.5699999999999999E-2</v>
      </c>
      <c r="P991" s="3">
        <v>1.7100000000000001E-2</v>
      </c>
      <c r="Q991" s="3">
        <v>1.89E-2</v>
      </c>
      <c r="R991" s="3">
        <v>2.7400000000000001E-2</v>
      </c>
      <c r="S991" s="3">
        <v>2.7699999999999999E-2</v>
      </c>
      <c r="T991" s="3">
        <v>2.9000000000000001E-2</v>
      </c>
      <c r="U991" s="3">
        <v>3.4200000000000001E-2</v>
      </c>
      <c r="V991" s="3">
        <v>4.5400000000000003E-2</v>
      </c>
      <c r="W991" s="3">
        <v>4.3799999999999999E-2</v>
      </c>
      <c r="X991" s="3">
        <v>4.7399999999999998E-2</v>
      </c>
      <c r="Y991" s="3">
        <v>5.0200000000000002E-2</v>
      </c>
      <c r="Z991" s="3">
        <v>0.05</v>
      </c>
      <c r="AA991" s="3">
        <v>6.0400000000000002E-2</v>
      </c>
      <c r="AB991" s="3">
        <v>6.3500000000000001E-2</v>
      </c>
      <c r="AC991" s="3">
        <v>6.1600000000000002E-2</v>
      </c>
      <c r="AD991" s="3"/>
      <c r="AE991" t="s">
        <v>6077</v>
      </c>
      <c r="AF991" t="s">
        <v>691</v>
      </c>
    </row>
    <row r="992" spans="1:32" x14ac:dyDescent="0.3">
      <c r="A992" t="s">
        <v>1826</v>
      </c>
      <c r="B992" s="1" t="s">
        <v>1205</v>
      </c>
      <c r="C992" s="5" t="s">
        <v>3058</v>
      </c>
      <c r="D992" s="2" t="s">
        <v>4575</v>
      </c>
      <c r="E992" s="1" t="s">
        <v>1568</v>
      </c>
      <c r="F992" s="3">
        <v>0.14230000000000001</v>
      </c>
      <c r="G992" s="3">
        <v>0.1454</v>
      </c>
      <c r="H992" s="3">
        <v>0.151</v>
      </c>
      <c r="I992" s="3">
        <v>0.15670000000000001</v>
      </c>
      <c r="J992" s="3">
        <v>0.16259999999999999</v>
      </c>
      <c r="K992" s="3">
        <v>0.1678</v>
      </c>
      <c r="L992" s="3">
        <v>0.17199999999999999</v>
      </c>
      <c r="M992" s="3">
        <v>0.17649999999999999</v>
      </c>
      <c r="N992" s="3">
        <v>0.18260000000000001</v>
      </c>
      <c r="O992" s="3">
        <v>0.18909999999999999</v>
      </c>
      <c r="P992" s="3">
        <v>0.19450000000000001</v>
      </c>
      <c r="Q992" s="3">
        <v>0.19819999999999999</v>
      </c>
      <c r="R992" s="3">
        <v>0.20169999999999999</v>
      </c>
      <c r="S992" s="3">
        <v>0.20680000000000001</v>
      </c>
      <c r="T992" s="3">
        <v>0.21629999999999999</v>
      </c>
      <c r="U992" s="3">
        <v>0.22570000000000001</v>
      </c>
      <c r="V992" s="3">
        <v>0.2366</v>
      </c>
      <c r="W992" s="3">
        <v>0.24540000000000001</v>
      </c>
      <c r="X992" s="3">
        <v>0.25540000000000002</v>
      </c>
      <c r="Y992" s="3">
        <v>0.26600000000000001</v>
      </c>
      <c r="Z992" s="3">
        <v>0.27450000000000002</v>
      </c>
      <c r="AA992" s="3">
        <v>0.28360000000000002</v>
      </c>
      <c r="AB992" s="3">
        <v>0.29299999999999998</v>
      </c>
      <c r="AC992" s="3">
        <v>0.30270000000000002</v>
      </c>
      <c r="AD992" s="3"/>
      <c r="AE992" t="s">
        <v>6078</v>
      </c>
      <c r="AF992" t="s">
        <v>691</v>
      </c>
    </row>
    <row r="993" spans="1:32" x14ac:dyDescent="0.3">
      <c r="A993" t="s">
        <v>1826</v>
      </c>
      <c r="B993" s="1" t="s">
        <v>1205</v>
      </c>
      <c r="C993" s="5" t="s">
        <v>3059</v>
      </c>
      <c r="D993" s="2" t="s">
        <v>4576</v>
      </c>
      <c r="E993" s="1" t="s">
        <v>1250</v>
      </c>
      <c r="F993" s="3">
        <v>4310</v>
      </c>
      <c r="G993" s="3">
        <v>4385</v>
      </c>
      <c r="H993" s="3">
        <v>4458</v>
      </c>
      <c r="I993" s="3">
        <v>4528</v>
      </c>
      <c r="J993" s="3">
        <v>4596</v>
      </c>
      <c r="K993" s="3">
        <v>4668</v>
      </c>
      <c r="L993" s="3">
        <v>4751</v>
      </c>
      <c r="M993" s="3">
        <v>4849</v>
      </c>
      <c r="N993" s="3">
        <v>4897</v>
      </c>
      <c r="O993" s="3">
        <v>4877</v>
      </c>
      <c r="P993" s="3">
        <v>4838</v>
      </c>
      <c r="Q993" s="3">
        <v>4783</v>
      </c>
      <c r="R993" s="3">
        <v>4714</v>
      </c>
      <c r="S993" s="3">
        <v>4644</v>
      </c>
      <c r="T993" s="3">
        <v>4633</v>
      </c>
      <c r="U993" s="3">
        <v>4693</v>
      </c>
      <c r="V993" s="3">
        <v>4784</v>
      </c>
      <c r="W993" s="3">
        <v>4898</v>
      </c>
      <c r="X993" s="3">
        <v>5015</v>
      </c>
      <c r="Y993" s="3">
        <v>5138</v>
      </c>
      <c r="Z993" s="3">
        <v>5257</v>
      </c>
      <c r="AA993" s="3">
        <v>5335</v>
      </c>
      <c r="AB993" s="3">
        <v>5350</v>
      </c>
      <c r="AC993" s="3">
        <v>5335</v>
      </c>
      <c r="AD993" s="3"/>
      <c r="AE993" t="s">
        <v>6079</v>
      </c>
      <c r="AF993" t="s">
        <v>1390</v>
      </c>
    </row>
    <row r="994" spans="1:32" x14ac:dyDescent="0.3">
      <c r="A994" t="s">
        <v>1826</v>
      </c>
      <c r="B994" s="1" t="s">
        <v>1205</v>
      </c>
      <c r="C994" s="5" t="s">
        <v>3060</v>
      </c>
      <c r="D994" s="2" t="s">
        <v>4577</v>
      </c>
      <c r="E994" s="1" t="s">
        <v>1026</v>
      </c>
      <c r="F994" s="3">
        <v>5119</v>
      </c>
      <c r="G994" s="3">
        <v>5187</v>
      </c>
      <c r="H994" s="3">
        <v>5255</v>
      </c>
      <c r="I994" s="3">
        <v>5319</v>
      </c>
      <c r="J994" s="3">
        <v>5375</v>
      </c>
      <c r="K994" s="3">
        <v>5426</v>
      </c>
      <c r="L994" s="3">
        <v>5464</v>
      </c>
      <c r="M994" s="3">
        <v>5484</v>
      </c>
      <c r="N994" s="3">
        <v>5463</v>
      </c>
      <c r="O994" s="3">
        <v>5393</v>
      </c>
      <c r="P994" s="3">
        <v>5247</v>
      </c>
      <c r="Q994" s="3">
        <v>5044</v>
      </c>
      <c r="R994" s="3">
        <v>4806</v>
      </c>
      <c r="S994" s="3">
        <v>4569</v>
      </c>
      <c r="T994" s="3">
        <v>4430</v>
      </c>
      <c r="U994" s="3">
        <v>4406</v>
      </c>
      <c r="V994" s="3">
        <v>4392</v>
      </c>
      <c r="W994" s="3">
        <v>4390</v>
      </c>
      <c r="X994" s="3">
        <v>4377</v>
      </c>
      <c r="Y994" s="3">
        <v>4333</v>
      </c>
      <c r="Z994" s="3">
        <v>4294</v>
      </c>
      <c r="AA994" s="3">
        <v>4285</v>
      </c>
      <c r="AB994" s="3">
        <v>4309</v>
      </c>
      <c r="AC994" s="3">
        <v>4358</v>
      </c>
      <c r="AD994" s="3"/>
      <c r="AE994" t="s">
        <v>6080</v>
      </c>
      <c r="AF994" t="s">
        <v>1390</v>
      </c>
    </row>
    <row r="995" spans="1:32" x14ac:dyDescent="0.3">
      <c r="A995" t="s">
        <v>1826</v>
      </c>
      <c r="B995" s="1" t="s">
        <v>1205</v>
      </c>
      <c r="C995" s="5" t="s">
        <v>3061</v>
      </c>
      <c r="D995" s="2" t="s">
        <v>4578</v>
      </c>
      <c r="E995" s="1" t="s">
        <v>625</v>
      </c>
      <c r="F995" s="3">
        <v>6942</v>
      </c>
      <c r="G995" s="3">
        <v>6878</v>
      </c>
      <c r="H995" s="3">
        <v>6780</v>
      </c>
      <c r="I995" s="3">
        <v>6673</v>
      </c>
      <c r="J995" s="3">
        <v>6569</v>
      </c>
      <c r="K995" s="3">
        <v>6476</v>
      </c>
      <c r="L995" s="3">
        <v>6395</v>
      </c>
      <c r="M995" s="3">
        <v>6316</v>
      </c>
      <c r="N995" s="3">
        <v>6326</v>
      </c>
      <c r="O995" s="3">
        <v>6382</v>
      </c>
      <c r="P995" s="3">
        <v>6360</v>
      </c>
      <c r="Q995" s="3">
        <v>6256</v>
      </c>
      <c r="R995" s="3">
        <v>6087</v>
      </c>
      <c r="S995" s="3">
        <v>5846</v>
      </c>
      <c r="T995" s="3">
        <v>5580</v>
      </c>
      <c r="U995" s="3">
        <v>5341</v>
      </c>
      <c r="V995" s="3">
        <v>5122</v>
      </c>
      <c r="W995" s="3">
        <v>4904</v>
      </c>
      <c r="X995" s="3">
        <v>4724</v>
      </c>
      <c r="Y995" s="3">
        <v>4597</v>
      </c>
      <c r="Z995" s="3">
        <v>4523</v>
      </c>
      <c r="AA995" s="3">
        <v>4468</v>
      </c>
      <c r="AB995" s="3">
        <v>4494</v>
      </c>
      <c r="AC995" s="3">
        <v>4563</v>
      </c>
      <c r="AD995" s="3"/>
      <c r="AE995" t="s">
        <v>6081</v>
      </c>
      <c r="AF995" t="s">
        <v>1390</v>
      </c>
    </row>
    <row r="996" spans="1:32" x14ac:dyDescent="0.3">
      <c r="A996" t="s">
        <v>1826</v>
      </c>
      <c r="B996" s="1" t="s">
        <v>1205</v>
      </c>
      <c r="C996" s="5" t="s">
        <v>3062</v>
      </c>
      <c r="D996" s="2" t="s">
        <v>4579</v>
      </c>
      <c r="E996" s="1" t="s">
        <v>1668</v>
      </c>
      <c r="F996" s="3">
        <v>7911</v>
      </c>
      <c r="G996" s="3">
        <v>7967</v>
      </c>
      <c r="H996" s="3">
        <v>8048</v>
      </c>
      <c r="I996" s="3">
        <v>8163</v>
      </c>
      <c r="J996" s="3">
        <v>8307</v>
      </c>
      <c r="K996" s="3">
        <v>8468</v>
      </c>
      <c r="L996" s="3">
        <v>8614</v>
      </c>
      <c r="M996" s="3">
        <v>8764</v>
      </c>
      <c r="N996" s="3">
        <v>8737</v>
      </c>
      <c r="O996" s="3">
        <v>8541</v>
      </c>
      <c r="P996" s="3">
        <v>8348</v>
      </c>
      <c r="Q996" s="3">
        <v>8172</v>
      </c>
      <c r="R996" s="3">
        <v>8049</v>
      </c>
      <c r="S996" s="3">
        <v>7981</v>
      </c>
      <c r="T996" s="3">
        <v>8017</v>
      </c>
      <c r="U996" s="3">
        <v>8127</v>
      </c>
      <c r="V996" s="3">
        <v>8148</v>
      </c>
      <c r="W996" s="3">
        <v>8092</v>
      </c>
      <c r="X996" s="3">
        <v>8006</v>
      </c>
      <c r="Y996" s="3">
        <v>7972</v>
      </c>
      <c r="Z996" s="3">
        <v>7984</v>
      </c>
      <c r="AA996" s="3">
        <v>7988</v>
      </c>
      <c r="AB996" s="3">
        <v>7964</v>
      </c>
      <c r="AC996" s="3">
        <v>7889</v>
      </c>
      <c r="AD996" s="3"/>
      <c r="AE996" t="s">
        <v>6082</v>
      </c>
      <c r="AF996" t="s">
        <v>1390</v>
      </c>
    </row>
    <row r="997" spans="1:32" x14ac:dyDescent="0.3">
      <c r="A997" t="s">
        <v>1826</v>
      </c>
      <c r="B997" s="1" t="s">
        <v>1205</v>
      </c>
      <c r="C997" s="5" t="s">
        <v>3063</v>
      </c>
      <c r="D997" s="2" t="s">
        <v>4580</v>
      </c>
      <c r="E997" s="1" t="s">
        <v>914</v>
      </c>
      <c r="F997" s="3">
        <v>69532</v>
      </c>
      <c r="G997" s="3">
        <v>69634</v>
      </c>
      <c r="H997" s="3">
        <v>69122</v>
      </c>
      <c r="I997" s="3">
        <v>68278</v>
      </c>
      <c r="J997" s="3">
        <v>67225</v>
      </c>
      <c r="K997" s="3">
        <v>66071</v>
      </c>
      <c r="L997" s="3">
        <v>65222</v>
      </c>
      <c r="M997" s="3">
        <v>63898</v>
      </c>
      <c r="N997" s="3">
        <v>62425</v>
      </c>
      <c r="O997" s="3">
        <v>61895</v>
      </c>
      <c r="P997" s="3">
        <v>61797</v>
      </c>
      <c r="Q997" s="3">
        <v>61586</v>
      </c>
      <c r="R997" s="3">
        <v>60810</v>
      </c>
      <c r="S997" s="3">
        <v>59788</v>
      </c>
      <c r="T997" s="3">
        <v>58537</v>
      </c>
      <c r="U997" s="3">
        <v>57096</v>
      </c>
      <c r="V997" s="3">
        <v>55719</v>
      </c>
      <c r="W997" s="3">
        <v>54099</v>
      </c>
      <c r="X997" s="3">
        <v>52038</v>
      </c>
      <c r="Y997" s="3">
        <v>50056</v>
      </c>
      <c r="Z997" s="3">
        <v>48909</v>
      </c>
      <c r="AA997" s="3">
        <v>47673</v>
      </c>
      <c r="AB997" s="3">
        <v>46732</v>
      </c>
      <c r="AC997" s="3">
        <v>45897</v>
      </c>
      <c r="AD997" s="3"/>
      <c r="AE997" t="s">
        <v>6083</v>
      </c>
      <c r="AF997" t="s">
        <v>1390</v>
      </c>
    </row>
    <row r="998" spans="1:32" x14ac:dyDescent="0.3">
      <c r="A998" t="s">
        <v>1826</v>
      </c>
      <c r="B998" s="1" t="s">
        <v>1205</v>
      </c>
      <c r="C998" s="5" t="s">
        <v>3064</v>
      </c>
      <c r="D998" s="2" t="s">
        <v>4581</v>
      </c>
      <c r="E998" s="1" t="s">
        <v>1391</v>
      </c>
      <c r="F998" s="3">
        <v>3000</v>
      </c>
      <c r="G998" s="3">
        <v>3200</v>
      </c>
      <c r="H998" s="3">
        <v>3500</v>
      </c>
      <c r="I998" s="3">
        <v>3700</v>
      </c>
      <c r="J998" s="3">
        <v>3800</v>
      </c>
      <c r="K998" s="3">
        <v>4100</v>
      </c>
      <c r="L998" s="3">
        <v>4600</v>
      </c>
      <c r="M998" s="3">
        <v>4900</v>
      </c>
      <c r="N998" s="3">
        <v>4900</v>
      </c>
      <c r="O998" s="3">
        <v>5300</v>
      </c>
      <c r="P998" s="3">
        <v>5400</v>
      </c>
      <c r="Q998" s="3">
        <v>5300</v>
      </c>
      <c r="R998" s="3">
        <v>5400</v>
      </c>
      <c r="S998" s="3">
        <v>5300</v>
      </c>
      <c r="T998" s="3">
        <v>5100</v>
      </c>
      <c r="U998" s="3">
        <v>4900</v>
      </c>
      <c r="V998" s="3">
        <v>4800</v>
      </c>
      <c r="W998" s="3">
        <v>4500</v>
      </c>
      <c r="X998" s="3">
        <v>4300</v>
      </c>
      <c r="Y998" s="3">
        <v>4200</v>
      </c>
      <c r="Z998" s="3">
        <v>4400</v>
      </c>
      <c r="AA998" s="3">
        <v>4500</v>
      </c>
      <c r="AB998" s="3">
        <v>4000</v>
      </c>
      <c r="AC998" s="3">
        <v>3600</v>
      </c>
      <c r="AD998" s="3"/>
      <c r="AE998" t="s">
        <v>6084</v>
      </c>
      <c r="AF998" t="s">
        <v>1832</v>
      </c>
    </row>
    <row r="999" spans="1:32" x14ac:dyDescent="0.3">
      <c r="A999" t="s">
        <v>1826</v>
      </c>
      <c r="B999" s="1" t="s">
        <v>1205</v>
      </c>
      <c r="C999" s="5" t="s">
        <v>3065</v>
      </c>
      <c r="D999" s="2" t="s">
        <v>4582</v>
      </c>
      <c r="E999" s="1" t="s">
        <v>694</v>
      </c>
      <c r="F999" s="3">
        <v>31943</v>
      </c>
      <c r="G999" s="3">
        <v>32161</v>
      </c>
      <c r="H999" s="3">
        <v>32253</v>
      </c>
      <c r="I999" s="3">
        <v>32221</v>
      </c>
      <c r="J999" s="3">
        <v>32190</v>
      </c>
      <c r="K999" s="3">
        <v>32279</v>
      </c>
      <c r="L999" s="3">
        <v>32244</v>
      </c>
      <c r="M999" s="3">
        <v>32136</v>
      </c>
      <c r="N999" s="3">
        <v>32011</v>
      </c>
      <c r="O999" s="3">
        <v>32392</v>
      </c>
      <c r="P999" s="3">
        <v>32686</v>
      </c>
      <c r="Q999" s="3">
        <v>32725</v>
      </c>
      <c r="R999" s="3">
        <v>32693</v>
      </c>
      <c r="S999" s="3">
        <v>32545</v>
      </c>
      <c r="T999" s="3">
        <v>32281</v>
      </c>
      <c r="U999" s="3">
        <v>31790</v>
      </c>
      <c r="V999" s="3">
        <v>31356</v>
      </c>
      <c r="W999" s="3">
        <v>30706</v>
      </c>
      <c r="X999" s="3">
        <v>29727</v>
      </c>
      <c r="Y999" s="3">
        <v>29293</v>
      </c>
      <c r="Z999" s="3">
        <v>28923</v>
      </c>
      <c r="AA999" s="3">
        <v>28628</v>
      </c>
      <c r="AB999" s="3">
        <v>28348</v>
      </c>
      <c r="AC999" s="3">
        <v>28104</v>
      </c>
      <c r="AD999" s="3"/>
      <c r="AE999" t="s">
        <v>6085</v>
      </c>
      <c r="AF999" t="s">
        <v>1390</v>
      </c>
    </row>
    <row r="1000" spans="1:32" x14ac:dyDescent="0.3">
      <c r="A1000" t="s">
        <v>1826</v>
      </c>
      <c r="B1000" s="1" t="s">
        <v>1205</v>
      </c>
      <c r="C1000" s="5" t="s">
        <v>3066</v>
      </c>
      <c r="D1000" s="2" t="s">
        <v>4583</v>
      </c>
      <c r="E1000" s="1" t="s">
        <v>87</v>
      </c>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t="s">
        <v>6086</v>
      </c>
      <c r="AF1000" t="s">
        <v>125</v>
      </c>
    </row>
    <row r="1001" spans="1:32" x14ac:dyDescent="0.3">
      <c r="A1001" t="s">
        <v>1826</v>
      </c>
      <c r="B1001" s="1" t="s">
        <v>1205</v>
      </c>
      <c r="C1001" s="5" t="s">
        <v>3067</v>
      </c>
      <c r="D1001" s="2" t="s">
        <v>4584</v>
      </c>
      <c r="E1001" s="1" t="s">
        <v>379</v>
      </c>
      <c r="F1001" s="3">
        <v>104141</v>
      </c>
      <c r="G1001" s="3">
        <v>104463</v>
      </c>
      <c r="H1001" s="3">
        <v>103935</v>
      </c>
      <c r="I1001" s="3">
        <v>102747</v>
      </c>
      <c r="J1001" s="3">
        <v>101140</v>
      </c>
      <c r="K1001" s="3">
        <v>99267</v>
      </c>
      <c r="L1001" s="3">
        <v>97516</v>
      </c>
      <c r="M1001" s="3">
        <v>95465</v>
      </c>
      <c r="N1001" s="3">
        <v>92864</v>
      </c>
      <c r="O1001" s="3">
        <v>91406</v>
      </c>
      <c r="P1001" s="3">
        <v>90369</v>
      </c>
      <c r="Q1001" s="3">
        <v>89594</v>
      </c>
      <c r="R1001" s="3">
        <v>88500</v>
      </c>
      <c r="S1001" s="3">
        <v>86962</v>
      </c>
      <c r="T1001" s="3">
        <v>85001</v>
      </c>
      <c r="U1001" s="3">
        <v>82818</v>
      </c>
      <c r="V1001" s="3">
        <v>80812</v>
      </c>
      <c r="W1001" s="3">
        <v>78649</v>
      </c>
      <c r="X1001" s="3">
        <v>75767</v>
      </c>
      <c r="Y1001" s="3">
        <v>72974</v>
      </c>
      <c r="Z1001" s="3">
        <v>71051</v>
      </c>
      <c r="AA1001" s="3">
        <v>69083</v>
      </c>
      <c r="AB1001" s="3">
        <v>67321</v>
      </c>
      <c r="AC1001" s="3">
        <v>65790</v>
      </c>
      <c r="AD1001" s="3"/>
      <c r="AE1001" t="s">
        <v>6087</v>
      </c>
      <c r="AF1001" t="s">
        <v>1390</v>
      </c>
    </row>
    <row r="1002" spans="1:32" ht="28.8" x14ac:dyDescent="0.3">
      <c r="A1002" t="s">
        <v>1826</v>
      </c>
      <c r="B1002" s="1" t="s">
        <v>1205</v>
      </c>
      <c r="C1002" s="5" t="s">
        <v>3068</v>
      </c>
      <c r="D1002" s="2" t="s">
        <v>4585</v>
      </c>
      <c r="E1002" s="1" t="s">
        <v>984</v>
      </c>
      <c r="F1002" s="3"/>
      <c r="G1002" s="3"/>
      <c r="H1002" s="3"/>
      <c r="I1002" s="3"/>
      <c r="J1002" s="3"/>
      <c r="K1002" s="3"/>
      <c r="L1002" s="3"/>
      <c r="M1002" s="3"/>
      <c r="N1002" s="3"/>
      <c r="O1002" s="3">
        <v>7.2129483219999999</v>
      </c>
      <c r="P1002" s="3"/>
      <c r="Q1002" s="3"/>
      <c r="R1002" s="3"/>
      <c r="S1002" s="3"/>
      <c r="T1002" s="3"/>
      <c r="U1002" s="3"/>
      <c r="V1002" s="3">
        <v>3.6187326909999999</v>
      </c>
      <c r="W1002" s="3"/>
      <c r="X1002" s="3"/>
      <c r="Y1002" s="3"/>
      <c r="Z1002" s="3"/>
      <c r="AA1002" s="3"/>
      <c r="AB1002" s="3"/>
      <c r="AC1002" s="3">
        <v>1.724869013</v>
      </c>
      <c r="AD1002" s="3"/>
      <c r="AE1002" t="s">
        <v>6088</v>
      </c>
      <c r="AF1002" t="s">
        <v>567</v>
      </c>
    </row>
    <row r="1003" spans="1:32" x14ac:dyDescent="0.3">
      <c r="A1003" t="s">
        <v>1826</v>
      </c>
      <c r="B1003" s="1" t="s">
        <v>1205</v>
      </c>
      <c r="C1003" s="5" t="s">
        <v>3069</v>
      </c>
      <c r="D1003" s="2" t="s">
        <v>4586</v>
      </c>
      <c r="E1003" s="1" t="s">
        <v>1885</v>
      </c>
      <c r="F1003" s="3"/>
      <c r="G1003" s="3"/>
      <c r="H1003" s="3"/>
      <c r="I1003" s="3"/>
      <c r="J1003" s="3">
        <v>0.54900000000000004</v>
      </c>
      <c r="K1003" s="3">
        <v>0.47399999999999998</v>
      </c>
      <c r="L1003" s="3"/>
      <c r="M1003" s="3"/>
      <c r="N1003" s="3">
        <v>0.45600000000000002</v>
      </c>
      <c r="O1003" s="3"/>
      <c r="P1003" s="3"/>
      <c r="Q1003" s="3">
        <v>0.45100000000000001</v>
      </c>
      <c r="R1003" s="3"/>
      <c r="S1003" s="3">
        <v>0.56200000000000006</v>
      </c>
      <c r="T1003" s="3">
        <v>0.61599999999999999</v>
      </c>
      <c r="U1003" s="3">
        <v>0.46200000000000002</v>
      </c>
      <c r="V1003" s="3">
        <v>0.501</v>
      </c>
      <c r="W1003" s="3">
        <v>0.54700000000000004</v>
      </c>
      <c r="X1003" s="3">
        <v>0.59499999999999997</v>
      </c>
      <c r="Y1003" s="3">
        <v>0.64500000000000002</v>
      </c>
      <c r="Z1003" s="3">
        <v>0.73599999999999999</v>
      </c>
      <c r="AA1003" s="3">
        <v>0.72599999999999998</v>
      </c>
      <c r="AB1003" s="3">
        <v>0.79600000000000004</v>
      </c>
      <c r="AC1003" s="3"/>
      <c r="AD1003" s="3"/>
      <c r="AE1003" t="s">
        <v>6089</v>
      </c>
      <c r="AF1003" t="s">
        <v>643</v>
      </c>
    </row>
    <row r="1004" spans="1:32" x14ac:dyDescent="0.3">
      <c r="A1004" t="s">
        <v>1826</v>
      </c>
      <c r="B1004" s="1" t="s">
        <v>1205</v>
      </c>
      <c r="C1004" s="5" t="s">
        <v>3070</v>
      </c>
      <c r="D1004" s="2" t="s">
        <v>4587</v>
      </c>
      <c r="E1004" s="1" t="s">
        <v>540</v>
      </c>
      <c r="F1004" s="3">
        <v>710.20797703136702</v>
      </c>
      <c r="G1004" s="3">
        <v>732.39769326022804</v>
      </c>
      <c r="H1004" s="3">
        <v>693.71322649637398</v>
      </c>
      <c r="I1004" s="3">
        <v>579.897426172466</v>
      </c>
      <c r="J1004" s="3">
        <v>527.33803229157604</v>
      </c>
      <c r="K1004" s="3">
        <v>527.25836264962595</v>
      </c>
      <c r="L1004" s="3">
        <v>522.42562489517604</v>
      </c>
      <c r="M1004" s="3">
        <v>478.63371847636301</v>
      </c>
      <c r="N1004" s="3">
        <v>446.00004143278801</v>
      </c>
      <c r="O1004" s="3">
        <v>470.29342334139801</v>
      </c>
      <c r="P1004" s="3">
        <v>494.794262222947</v>
      </c>
      <c r="Q1004" s="3">
        <v>471.24862571893698</v>
      </c>
      <c r="R1004" s="3">
        <v>510.55633845425098</v>
      </c>
      <c r="S1004" s="3">
        <v>493.89962385223703</v>
      </c>
      <c r="T1004" s="3">
        <v>493.757329875312</v>
      </c>
      <c r="U1004" s="3">
        <v>591.21169798260996</v>
      </c>
      <c r="V1004" s="3">
        <v>592.60561506302201</v>
      </c>
      <c r="W1004" s="3">
        <v>580.65674958785803</v>
      </c>
      <c r="X1004" s="3">
        <v>555.44645839822601</v>
      </c>
      <c r="Y1004" s="3">
        <v>585.91101318036897</v>
      </c>
      <c r="Z1004" s="3">
        <v>575.58600451094503</v>
      </c>
      <c r="AA1004" s="3">
        <v>554.53067503310399</v>
      </c>
      <c r="AB1004" s="3">
        <v>623.75970091118199</v>
      </c>
      <c r="AC1004" s="3">
        <v>606.56975016591696</v>
      </c>
      <c r="AD1004" s="3">
        <v>606.34529760906298</v>
      </c>
      <c r="AE1004" t="s">
        <v>6090</v>
      </c>
      <c r="AF1004" t="s">
        <v>1082</v>
      </c>
    </row>
    <row r="1005" spans="1:32" x14ac:dyDescent="0.3">
      <c r="A1005" t="s">
        <v>1826</v>
      </c>
      <c r="B1005" s="1" t="s">
        <v>1205</v>
      </c>
      <c r="C1005" s="5" t="s">
        <v>3071</v>
      </c>
      <c r="D1005" s="2" t="s">
        <v>4588</v>
      </c>
      <c r="E1005" s="1" t="s">
        <v>1432</v>
      </c>
      <c r="F1005" s="3">
        <v>0.30801312143931198</v>
      </c>
      <c r="G1005" s="3">
        <v>0.184450908626382</v>
      </c>
      <c r="H1005" s="3">
        <v>0.44987178839248398</v>
      </c>
      <c r="I1005" s="3">
        <v>0.54753615769011399</v>
      </c>
      <c r="J1005" s="3">
        <v>0.86835824283274299</v>
      </c>
      <c r="K1005" s="3">
        <v>2.1271916254033099</v>
      </c>
      <c r="L1005" s="3">
        <v>3.7062734752789201</v>
      </c>
      <c r="M1005" s="3">
        <v>2.9298475003269702</v>
      </c>
      <c r="N1005" s="3">
        <v>3.2368519844942698</v>
      </c>
      <c r="O1005" s="3">
        <v>1.5532360872676301</v>
      </c>
      <c r="P1005" s="3">
        <v>1.9760751684520601</v>
      </c>
      <c r="Q1005" s="3">
        <v>2.3856876651041898</v>
      </c>
      <c r="R1005" s="3">
        <v>2.0161071388430098</v>
      </c>
      <c r="S1005" s="3">
        <v>1.32089224861062</v>
      </c>
      <c r="T1005" s="3">
        <v>0.69178950052394195</v>
      </c>
      <c r="U1005" s="3">
        <v>0.366602851194199</v>
      </c>
      <c r="V1005" s="3">
        <v>0.38437072825208701</v>
      </c>
      <c r="W1005" s="3">
        <v>0.81141280770289403</v>
      </c>
      <c r="X1005" s="3">
        <v>0.93049705297061702</v>
      </c>
      <c r="Y1005" s="3">
        <v>0.85746500354930599</v>
      </c>
      <c r="Z1005" s="3">
        <v>0.37121718136016602</v>
      </c>
      <c r="AA1005" s="3">
        <v>0.70017290136454002</v>
      </c>
      <c r="AB1005" s="3"/>
      <c r="AC1005" s="3"/>
      <c r="AD1005" s="3"/>
      <c r="AE1005" t="s">
        <v>6091</v>
      </c>
      <c r="AF1005" t="s">
        <v>937</v>
      </c>
    </row>
    <row r="1006" spans="1:32" x14ac:dyDescent="0.3">
      <c r="A1006" t="s">
        <v>1826</v>
      </c>
      <c r="B1006" s="1" t="s">
        <v>1205</v>
      </c>
      <c r="C1006" s="5" t="s">
        <v>3072</v>
      </c>
      <c r="D1006" s="2" t="s">
        <v>4589</v>
      </c>
      <c r="E1006" s="1" t="s">
        <v>959</v>
      </c>
      <c r="F1006" s="3">
        <v>0.16860031328914424</v>
      </c>
      <c r="G1006" s="3">
        <v>0.21389362360440123</v>
      </c>
      <c r="H1006" s="3">
        <v>0.16340361811784618</v>
      </c>
      <c r="I1006" s="3">
        <v>0.15732647316404169</v>
      </c>
      <c r="J1006" s="3">
        <v>0.23320550501006346</v>
      </c>
      <c r="K1006" s="3">
        <v>0.21241847570905628</v>
      </c>
      <c r="L1006" s="3">
        <v>0.16024181102938273</v>
      </c>
      <c r="M1006" s="3">
        <v>0.38022686254470556</v>
      </c>
      <c r="N1006" s="3">
        <v>0.64227845768463399</v>
      </c>
      <c r="O1006" s="3">
        <v>0.403566085971238</v>
      </c>
      <c r="P1006" s="3">
        <v>0.31315255167900813</v>
      </c>
      <c r="Q1006" s="3">
        <v>0.18914996543968474</v>
      </c>
      <c r="R1006" s="3">
        <v>0.2356808589640447</v>
      </c>
      <c r="S1006" s="3">
        <v>0.34095028019244772</v>
      </c>
      <c r="T1006" s="3">
        <v>0.43425455618348424</v>
      </c>
      <c r="U1006" s="3">
        <v>0.22593189920696319</v>
      </c>
      <c r="V1006" s="3">
        <v>0.18294994252902905</v>
      </c>
      <c r="W1006" s="3">
        <v>0.53384733785210459</v>
      </c>
      <c r="X1006" s="3">
        <v>1.1244485063687526</v>
      </c>
      <c r="Y1006" s="3">
        <v>1.4108705574286629</v>
      </c>
      <c r="Z1006" s="3">
        <v>1.43286910395292</v>
      </c>
      <c r="AA1006" s="3">
        <v>1.0184426439240413</v>
      </c>
      <c r="AB1006" s="3">
        <v>1.1072600780124511</v>
      </c>
      <c r="AC1006" s="3">
        <v>0.93291289148002854</v>
      </c>
      <c r="AD1006" s="3"/>
      <c r="AE1006" t="s">
        <v>6092</v>
      </c>
      <c r="AF1006" t="s">
        <v>1098</v>
      </c>
    </row>
    <row r="1007" spans="1:32" x14ac:dyDescent="0.3">
      <c r="A1007" t="s">
        <v>1826</v>
      </c>
      <c r="B1007" s="1" t="s">
        <v>1205</v>
      </c>
      <c r="C1007" s="5" t="s">
        <v>3073</v>
      </c>
      <c r="D1007" s="2" t="s">
        <v>4590</v>
      </c>
      <c r="E1007" s="1" t="s">
        <v>1967</v>
      </c>
      <c r="F1007" s="3">
        <v>1.4298615333243776</v>
      </c>
      <c r="G1007" s="3">
        <v>1.6417640093649866</v>
      </c>
      <c r="H1007" s="3">
        <v>1.6165375285876507</v>
      </c>
      <c r="I1007" s="3">
        <v>1.2890917253721199</v>
      </c>
      <c r="J1007" s="3">
        <v>1.1291655854697895</v>
      </c>
      <c r="K1007" s="3">
        <v>0.98154640076705757</v>
      </c>
      <c r="L1007" s="3">
        <v>1.1305747834767854</v>
      </c>
      <c r="M1007" s="3">
        <v>1.449833869202825</v>
      </c>
      <c r="N1007" s="3">
        <v>1.4635666948230133</v>
      </c>
      <c r="O1007" s="3">
        <v>1.2227599342393907</v>
      </c>
      <c r="P1007" s="3">
        <v>1.1594947112917739</v>
      </c>
      <c r="Q1007" s="3">
        <v>1.2064038181742427</v>
      </c>
      <c r="R1007" s="3">
        <v>0.96262709433545379</v>
      </c>
      <c r="S1007" s="3">
        <v>0.85188605697490294</v>
      </c>
      <c r="T1007" s="3">
        <v>0.94922754210526683</v>
      </c>
      <c r="U1007" s="3">
        <v>0.99312533672370229</v>
      </c>
      <c r="V1007" s="3">
        <v>0.98944196655507255</v>
      </c>
      <c r="W1007" s="3">
        <v>1.2055248533083633</v>
      </c>
      <c r="X1007" s="3">
        <v>1.1765783737494091</v>
      </c>
      <c r="Y1007" s="3">
        <v>1.1541621666604649</v>
      </c>
      <c r="Z1007" s="3">
        <v>1.2605031990940228</v>
      </c>
      <c r="AA1007" s="3">
        <v>1.2419776537175826</v>
      </c>
      <c r="AB1007" s="3">
        <v>0.95238178095059423</v>
      </c>
      <c r="AC1007" s="3">
        <v>0.8448576266458232</v>
      </c>
      <c r="AD1007" s="3"/>
      <c r="AE1007" t="s">
        <v>6093</v>
      </c>
      <c r="AF1007" t="s">
        <v>1098</v>
      </c>
    </row>
    <row r="1008" spans="1:32" x14ac:dyDescent="0.3">
      <c r="A1008" t="s">
        <v>1826</v>
      </c>
      <c r="B1008" s="1" t="s">
        <v>1205</v>
      </c>
      <c r="C1008" s="5" t="s">
        <v>3074</v>
      </c>
      <c r="D1008" s="2" t="s">
        <v>4591</v>
      </c>
      <c r="E1008" s="1" t="s">
        <v>112</v>
      </c>
      <c r="F1008" s="3"/>
      <c r="G1008" s="3">
        <v>0.36771474345164185</v>
      </c>
      <c r="H1008" s="3">
        <v>0.63486872757257218</v>
      </c>
      <c r="I1008" s="3"/>
      <c r="J1008" s="3"/>
      <c r="K1008" s="3">
        <v>5.733343326088586</v>
      </c>
      <c r="L1008" s="3">
        <v>6.5057060787205963</v>
      </c>
      <c r="M1008" s="3">
        <v>6.8751703461433635</v>
      </c>
      <c r="N1008" s="3">
        <v>8.0004776404561468</v>
      </c>
      <c r="O1008" s="3">
        <v>15.634146925674866</v>
      </c>
      <c r="P1008" s="3">
        <v>15.012604058343451</v>
      </c>
      <c r="Q1008" s="3">
        <v>10.679296150976098</v>
      </c>
      <c r="R1008" s="3">
        <v>10.756583650244474</v>
      </c>
      <c r="S1008" s="3">
        <v>10.427317417404531</v>
      </c>
      <c r="T1008" s="3">
        <v>9.1797766321469165</v>
      </c>
      <c r="U1008" s="3">
        <v>3.255390745591733</v>
      </c>
      <c r="V1008" s="3">
        <v>5.1179009200279753</v>
      </c>
      <c r="W1008" s="3">
        <v>10.409956365323774</v>
      </c>
      <c r="X1008" s="3">
        <v>8.3385574705307022</v>
      </c>
      <c r="Y1008" s="3">
        <v>7.5048570146029432</v>
      </c>
      <c r="Z1008" s="3">
        <v>8.209530692996541</v>
      </c>
      <c r="AA1008" s="3">
        <v>8.8210358395136073</v>
      </c>
      <c r="AB1008" s="3">
        <v>5.174651993496469</v>
      </c>
      <c r="AC1008" s="3">
        <v>2.7473655226743556</v>
      </c>
      <c r="AD1008" s="3"/>
      <c r="AE1008" t="s">
        <v>6094</v>
      </c>
      <c r="AF1008" t="s">
        <v>115</v>
      </c>
    </row>
    <row r="1009" spans="1:32" x14ac:dyDescent="0.3">
      <c r="A1009" t="s">
        <v>1826</v>
      </c>
      <c r="B1009" s="1" t="s">
        <v>1205</v>
      </c>
      <c r="C1009" s="5" t="s">
        <v>3075</v>
      </c>
      <c r="D1009" s="2" t="s">
        <v>4592</v>
      </c>
      <c r="E1009" s="1" t="s">
        <v>919</v>
      </c>
      <c r="F1009" s="3"/>
      <c r="G1009" s="3">
        <v>3755000000</v>
      </c>
      <c r="H1009" s="3">
        <v>7222000000</v>
      </c>
      <c r="I1009" s="3"/>
      <c r="J1009" s="3"/>
      <c r="K1009" s="3">
        <v>76500000000</v>
      </c>
      <c r="L1009" s="3">
        <v>83800000000</v>
      </c>
      <c r="M1009" s="3">
        <v>100900000000</v>
      </c>
      <c r="N1009" s="3">
        <v>134000000000</v>
      </c>
      <c r="O1009" s="3">
        <v>261084000000</v>
      </c>
      <c r="P1009" s="3">
        <v>275738000000</v>
      </c>
      <c r="Q1009" s="3">
        <v>177460000000</v>
      </c>
      <c r="R1009" s="3">
        <v>225714000000</v>
      </c>
      <c r="S1009" s="3">
        <v>218689000000</v>
      </c>
      <c r="T1009" s="3">
        <v>204035600000</v>
      </c>
      <c r="U1009" s="3">
        <v>118638156712</v>
      </c>
      <c r="V1009" s="3">
        <v>196735935796</v>
      </c>
      <c r="W1009" s="3">
        <v>474449301991</v>
      </c>
      <c r="X1009" s="3">
        <v>399453424164</v>
      </c>
      <c r="Y1009" s="3">
        <v>361819301713.19501</v>
      </c>
      <c r="Z1009" s="3">
        <v>477474984952</v>
      </c>
      <c r="AA1009" s="3">
        <v>583160854479</v>
      </c>
      <c r="AB1009" s="3">
        <v>421525150736</v>
      </c>
      <c r="AC1009" s="3">
        <v>240713317889.64801</v>
      </c>
      <c r="AD1009" s="3"/>
      <c r="AE1009" t="s">
        <v>6095</v>
      </c>
      <c r="AF1009" t="s">
        <v>115</v>
      </c>
    </row>
    <row r="1010" spans="1:32" x14ac:dyDescent="0.3">
      <c r="A1010" t="s">
        <v>1826</v>
      </c>
      <c r="B1010" s="1" t="s">
        <v>1205</v>
      </c>
      <c r="C1010" s="5" t="s">
        <v>3076</v>
      </c>
      <c r="D1010" s="2" t="s">
        <v>4593</v>
      </c>
      <c r="E1010" s="1" t="s">
        <v>1998</v>
      </c>
      <c r="F1010" s="3"/>
      <c r="G1010" s="3"/>
      <c r="H1010" s="3"/>
      <c r="I1010" s="3"/>
      <c r="J1010" s="3"/>
      <c r="K1010" s="3"/>
      <c r="L1010" s="3"/>
      <c r="M1010" s="3"/>
      <c r="N1010" s="3"/>
      <c r="O1010" s="3"/>
      <c r="P1010" s="3"/>
      <c r="Q1010" s="3"/>
      <c r="R1010" s="3"/>
      <c r="S1010" s="3"/>
      <c r="T1010" s="3"/>
      <c r="U1010" s="3">
        <v>48.11715481171548</v>
      </c>
      <c r="V1010" s="3">
        <v>13.836477987421384</v>
      </c>
      <c r="W1010" s="3">
        <v>34.082397003745321</v>
      </c>
      <c r="X1010" s="3">
        <v>20.59496567505721</v>
      </c>
      <c r="Y1010" s="3">
        <v>-9.9630996309963091</v>
      </c>
      <c r="Z1010" s="3">
        <v>-2.0703933747412009</v>
      </c>
      <c r="AA1010" s="3">
        <v>-61.431064572425832</v>
      </c>
      <c r="AB1010" s="3">
        <v>-471.44659897005204</v>
      </c>
      <c r="AC1010" s="3">
        <v>-19.069767441860467</v>
      </c>
      <c r="AD1010" s="3"/>
      <c r="AE1010" t="s">
        <v>6096</v>
      </c>
      <c r="AF1010" t="s">
        <v>718</v>
      </c>
    </row>
    <row r="1011" spans="1:32" x14ac:dyDescent="0.3">
      <c r="A1011" t="s">
        <v>1826</v>
      </c>
      <c r="B1011" s="1" t="s">
        <v>1205</v>
      </c>
      <c r="C1011" s="5" t="s">
        <v>3077</v>
      </c>
      <c r="D1011" s="2" t="s">
        <v>4594</v>
      </c>
      <c r="E1011" s="1" t="s">
        <v>1602</v>
      </c>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t="s">
        <v>6097</v>
      </c>
      <c r="AF1011" t="s">
        <v>394</v>
      </c>
    </row>
    <row r="1012" spans="1:32" x14ac:dyDescent="0.3">
      <c r="A1012" t="s">
        <v>1826</v>
      </c>
      <c r="B1012" s="1" t="s">
        <v>1205</v>
      </c>
      <c r="C1012" s="5" t="s">
        <v>3078</v>
      </c>
      <c r="D1012" s="2" t="s">
        <v>4595</v>
      </c>
      <c r="E1012" s="1" t="s">
        <v>1197</v>
      </c>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t="s">
        <v>6097</v>
      </c>
      <c r="AF1012" t="s">
        <v>394</v>
      </c>
    </row>
    <row r="1013" spans="1:32" x14ac:dyDescent="0.3">
      <c r="A1013" t="s">
        <v>1826</v>
      </c>
      <c r="B1013" s="1" t="s">
        <v>1205</v>
      </c>
      <c r="C1013" s="5" t="s">
        <v>3079</v>
      </c>
      <c r="D1013" s="2" t="s">
        <v>4596</v>
      </c>
      <c r="E1013" s="1" t="s">
        <v>1718</v>
      </c>
      <c r="F1013" s="3"/>
      <c r="G1013" s="3">
        <v>14.733416648428122</v>
      </c>
      <c r="H1013" s="3">
        <v>14.469148029535891</v>
      </c>
      <c r="I1013" s="3">
        <v>3.4586815227483756</v>
      </c>
      <c r="J1013" s="3">
        <v>3.0127793246234025</v>
      </c>
      <c r="K1013" s="3">
        <v>0.42092188793817276</v>
      </c>
      <c r="L1013" s="3">
        <v>0.29460208631841128</v>
      </c>
      <c r="M1013" s="3">
        <v>1.9031544639739262</v>
      </c>
      <c r="N1013" s="3">
        <v>1.5050425143414381</v>
      </c>
      <c r="O1013" s="3">
        <v>0.35225466158060376</v>
      </c>
      <c r="P1013" s="3">
        <v>0.36677844676472826</v>
      </c>
      <c r="Q1013" s="3">
        <v>0.38551508736163931</v>
      </c>
      <c r="R1013" s="3">
        <v>0.40414289460899178</v>
      </c>
      <c r="S1013" s="3">
        <v>0.4584322175496045</v>
      </c>
      <c r="T1013" s="3">
        <v>0.44769277955166215</v>
      </c>
      <c r="U1013" s="3">
        <v>4.044924330111666</v>
      </c>
      <c r="V1013" s="3">
        <v>4.3682085500784913</v>
      </c>
      <c r="W1013" s="3">
        <v>4.2319513805365112</v>
      </c>
      <c r="X1013" s="3">
        <v>4.578770091259714</v>
      </c>
      <c r="Y1013" s="3">
        <v>5.3624489166143698</v>
      </c>
      <c r="Z1013" s="3">
        <v>5.172079307824605</v>
      </c>
      <c r="AA1013" s="3">
        <v>5.554665202246504</v>
      </c>
      <c r="AB1013" s="3">
        <v>5.5146531489037915</v>
      </c>
      <c r="AC1013" s="3">
        <v>5.1334754832993044</v>
      </c>
      <c r="AD1013" s="3"/>
      <c r="AE1013" t="s">
        <v>6098</v>
      </c>
      <c r="AF1013" t="s">
        <v>115</v>
      </c>
    </row>
    <row r="1014" spans="1:32" x14ac:dyDescent="0.3">
      <c r="A1014" t="s">
        <v>1826</v>
      </c>
      <c r="B1014" s="1" t="s">
        <v>1205</v>
      </c>
      <c r="C1014" s="5" t="s">
        <v>3080</v>
      </c>
      <c r="D1014" s="2" t="s">
        <v>4597</v>
      </c>
      <c r="E1014" s="1" t="s">
        <v>373</v>
      </c>
      <c r="F1014" s="3"/>
      <c r="G1014" s="3">
        <v>186000000000</v>
      </c>
      <c r="H1014" s="3">
        <v>194425700000</v>
      </c>
      <c r="I1014" s="3">
        <v>44700000000</v>
      </c>
      <c r="J1014" s="3">
        <v>42200000000</v>
      </c>
      <c r="K1014" s="3">
        <v>6100000000</v>
      </c>
      <c r="L1014" s="3">
        <v>4400000000</v>
      </c>
      <c r="M1014" s="3">
        <v>32700000000</v>
      </c>
      <c r="N1014" s="3">
        <v>30250000000</v>
      </c>
      <c r="O1014" s="3">
        <v>7600000000</v>
      </c>
      <c r="P1014" s="3">
        <v>7700000000</v>
      </c>
      <c r="Q1014" s="3">
        <v>5900000000</v>
      </c>
      <c r="R1014" s="3">
        <v>9400000000</v>
      </c>
      <c r="S1014" s="3">
        <v>12263795311</v>
      </c>
      <c r="T1014" s="3">
        <v>12900000000</v>
      </c>
      <c r="U1014" s="3">
        <v>144687637432.97</v>
      </c>
      <c r="V1014" s="3">
        <v>159776960250</v>
      </c>
      <c r="W1014" s="3">
        <v>165521210677.48459</v>
      </c>
      <c r="X1014" s="3">
        <v>189381380869.9686</v>
      </c>
      <c r="Y1014" s="3">
        <v>241699172633.87869</v>
      </c>
      <c r="Z1014" s="3">
        <v>237256596787</v>
      </c>
      <c r="AA1014" s="3">
        <v>294218928824.06671</v>
      </c>
      <c r="AB1014" s="3">
        <v>306751208248.90802</v>
      </c>
      <c r="AC1014" s="3">
        <v>352516069836.40002</v>
      </c>
      <c r="AD1014" s="3"/>
      <c r="AE1014" t="s">
        <v>6099</v>
      </c>
      <c r="AF1014" t="s">
        <v>115</v>
      </c>
    </row>
    <row r="1015" spans="1:32" x14ac:dyDescent="0.3">
      <c r="A1015" t="s">
        <v>1826</v>
      </c>
      <c r="B1015" s="1" t="s">
        <v>1205</v>
      </c>
      <c r="C1015" s="5" t="s">
        <v>3081</v>
      </c>
      <c r="D1015" s="2" t="s">
        <v>4598</v>
      </c>
      <c r="E1015" s="1" t="s">
        <v>923</v>
      </c>
      <c r="F1015" s="3">
        <v>77.687194820000002</v>
      </c>
      <c r="G1015" s="3">
        <v>79.476585389999997</v>
      </c>
      <c r="H1015" s="3">
        <v>78.186218260000004</v>
      </c>
      <c r="I1015" s="3">
        <v>76.076644900000005</v>
      </c>
      <c r="J1015" s="3">
        <v>77.014801030000001</v>
      </c>
      <c r="K1015" s="3">
        <v>76.735656739999996</v>
      </c>
      <c r="L1015" s="3">
        <v>75.945388789999996</v>
      </c>
      <c r="M1015" s="3">
        <v>68.75501251</v>
      </c>
      <c r="N1015" s="3">
        <v>65.549598689999996</v>
      </c>
      <c r="O1015" s="3">
        <v>57.42655182</v>
      </c>
      <c r="P1015" s="3">
        <v>56.479343409999998</v>
      </c>
      <c r="Q1015" s="3">
        <v>59.20729446</v>
      </c>
      <c r="R1015" s="3">
        <v>52.798114779999999</v>
      </c>
      <c r="S1015" s="3">
        <v>56.159320829999999</v>
      </c>
      <c r="T1015" s="3">
        <v>51.143421170000003</v>
      </c>
      <c r="U1015" s="3">
        <v>42.58926392</v>
      </c>
      <c r="V1015" s="3">
        <v>40.012493130000003</v>
      </c>
      <c r="W1015" s="3">
        <v>39.215240479999999</v>
      </c>
      <c r="X1015" s="3">
        <v>39.285324099999997</v>
      </c>
      <c r="Y1015" s="3">
        <v>37.260463710000003</v>
      </c>
      <c r="Z1015" s="3">
        <v>31.992067339999998</v>
      </c>
      <c r="AA1015" s="3">
        <v>28.367086409999999</v>
      </c>
      <c r="AB1015" s="3">
        <v>28.808750150000002</v>
      </c>
      <c r="AC1015" s="3"/>
      <c r="AD1015" s="3"/>
      <c r="AE1015" t="s">
        <v>6100</v>
      </c>
      <c r="AF1015" t="s">
        <v>1897</v>
      </c>
    </row>
    <row r="1016" spans="1:32" x14ac:dyDescent="0.3">
      <c r="A1016" t="s">
        <v>1826</v>
      </c>
      <c r="B1016" s="1" t="s">
        <v>1205</v>
      </c>
      <c r="C1016" s="5" t="s">
        <v>3082</v>
      </c>
      <c r="D1016" s="2" t="s">
        <v>4599</v>
      </c>
      <c r="E1016" s="1" t="s">
        <v>1107</v>
      </c>
      <c r="F1016" s="3">
        <v>26.08864621</v>
      </c>
      <c r="G1016" s="3">
        <v>26.97874805</v>
      </c>
      <c r="H1016" s="3">
        <v>28.199545579999999</v>
      </c>
      <c r="I1016" s="3">
        <v>33.330940550000001</v>
      </c>
      <c r="J1016" s="3">
        <v>36.23315831</v>
      </c>
      <c r="K1016" s="3">
        <v>35.831226610000002</v>
      </c>
      <c r="L1016" s="3">
        <v>35.761955800000003</v>
      </c>
      <c r="M1016" s="3">
        <v>38.60651593</v>
      </c>
      <c r="N1016" s="3">
        <v>42.395373910000004</v>
      </c>
      <c r="O1016" s="3">
        <v>40.81006816</v>
      </c>
      <c r="P1016" s="3">
        <v>39.561550590000003</v>
      </c>
      <c r="Q1016" s="3">
        <v>40.246861920000001</v>
      </c>
      <c r="R1016" s="3">
        <v>36.885836730000001</v>
      </c>
      <c r="S1016" s="3">
        <v>37.700592149999999</v>
      </c>
      <c r="T1016" s="3">
        <v>38.029305790000002</v>
      </c>
      <c r="U1016" s="3">
        <v>24.885680480000001</v>
      </c>
      <c r="V1016" s="3">
        <v>24.75054913</v>
      </c>
      <c r="W1016" s="3">
        <v>25.011257860000001</v>
      </c>
      <c r="X1016" s="3">
        <v>25.880981200000001</v>
      </c>
      <c r="Y1016" s="3">
        <v>25.450651059999998</v>
      </c>
      <c r="Z1016" s="3">
        <v>25.26659012</v>
      </c>
      <c r="AA1016" s="3">
        <v>26.210023979999999</v>
      </c>
      <c r="AB1016" s="3">
        <v>24.819353490000001</v>
      </c>
      <c r="AC1016" s="3"/>
      <c r="AD1016" s="3"/>
      <c r="AE1016" t="s">
        <v>6101</v>
      </c>
      <c r="AF1016" t="s">
        <v>560</v>
      </c>
    </row>
    <row r="1017" spans="1:32" x14ac:dyDescent="0.3">
      <c r="A1017" t="s">
        <v>1826</v>
      </c>
      <c r="B1017" s="1" t="s">
        <v>1205</v>
      </c>
      <c r="C1017" s="5" t="s">
        <v>3083</v>
      </c>
      <c r="D1017" s="2" t="s">
        <v>4600</v>
      </c>
      <c r="E1017" s="1" t="s">
        <v>1555</v>
      </c>
      <c r="F1017" s="3">
        <v>84.752466864243104</v>
      </c>
      <c r="G1017" s="3">
        <v>86.472857527153494</v>
      </c>
      <c r="H1017" s="3">
        <v>83.136556871118401</v>
      </c>
      <c r="I1017" s="3">
        <v>81.105092031168397</v>
      </c>
      <c r="J1017" s="3">
        <v>84.442192458083895</v>
      </c>
      <c r="K1017" s="3">
        <v>85.004882039529093</v>
      </c>
      <c r="L1017" s="3">
        <v>85.494417421925107</v>
      </c>
      <c r="M1017" s="3">
        <v>84.241603307401405</v>
      </c>
      <c r="N1017" s="3">
        <v>83.375342089041496</v>
      </c>
      <c r="O1017" s="3">
        <v>84.155273920673807</v>
      </c>
      <c r="P1017" s="3">
        <v>85.564938782266296</v>
      </c>
      <c r="Q1017" s="3">
        <v>80.056695184725996</v>
      </c>
      <c r="R1017" s="3">
        <v>77.911045260402403</v>
      </c>
      <c r="S1017" s="3">
        <v>75.3121954552131</v>
      </c>
      <c r="T1017" s="3">
        <v>76.169476304922995</v>
      </c>
      <c r="U1017" s="3">
        <v>58.7009593702468</v>
      </c>
      <c r="V1017" s="3">
        <v>58.108895440721099</v>
      </c>
      <c r="W1017" s="3">
        <v>57.234314135071003</v>
      </c>
      <c r="X1017" s="3">
        <v>57.055511061408303</v>
      </c>
      <c r="Y1017" s="3">
        <v>59.438620329204497</v>
      </c>
      <c r="Z1017" s="3">
        <v>57.839242010833097</v>
      </c>
      <c r="AA1017" s="3">
        <v>58.836089503926303</v>
      </c>
      <c r="AB1017" s="3">
        <v>65.286860958415005</v>
      </c>
      <c r="AC1017" s="3"/>
      <c r="AD1017" s="3"/>
      <c r="AE1017" t="s">
        <v>6102</v>
      </c>
      <c r="AF1017" t="s">
        <v>1734</v>
      </c>
    </row>
    <row r="1018" spans="1:32" x14ac:dyDescent="0.3">
      <c r="A1018" t="s">
        <v>1826</v>
      </c>
      <c r="B1018" s="1" t="s">
        <v>1205</v>
      </c>
      <c r="C1018" s="5" t="s">
        <v>3084</v>
      </c>
      <c r="D1018" s="2" t="s">
        <v>4601</v>
      </c>
      <c r="E1018" s="1" t="s">
        <v>993</v>
      </c>
      <c r="F1018" s="3">
        <v>8.0482200000000006</v>
      </c>
      <c r="G1018" s="3">
        <v>5.0196399999999999</v>
      </c>
      <c r="H1018" s="3">
        <v>4.9959300000000004</v>
      </c>
      <c r="I1018" s="3">
        <v>9.0260599999999993</v>
      </c>
      <c r="J1018" s="3"/>
      <c r="K1018" s="3"/>
      <c r="L1018" s="3"/>
      <c r="M1018" s="3"/>
      <c r="N1018" s="3"/>
      <c r="O1018" s="3">
        <v>18.77439</v>
      </c>
      <c r="P1018" s="3"/>
      <c r="Q1018" s="3"/>
      <c r="R1018" s="3"/>
      <c r="S1018" s="3">
        <v>17.18187</v>
      </c>
      <c r="T1018" s="3">
        <v>13.31161</v>
      </c>
      <c r="U1018" s="3"/>
      <c r="V1018" s="3">
        <v>10.54454</v>
      </c>
      <c r="W1018" s="3">
        <v>10.381169999999999</v>
      </c>
      <c r="X1018" s="3">
        <v>7.9790299999999998</v>
      </c>
      <c r="Y1018" s="3"/>
      <c r="Z1018" s="3"/>
      <c r="AA1018" s="3"/>
      <c r="AB1018" s="3"/>
      <c r="AC1018" s="3"/>
      <c r="AD1018" s="3"/>
      <c r="AE1018" t="s">
        <v>6103</v>
      </c>
      <c r="AF1018" t="s">
        <v>386</v>
      </c>
    </row>
    <row r="1019" spans="1:32" ht="28.8" x14ac:dyDescent="0.3">
      <c r="A1019" t="s">
        <v>1826</v>
      </c>
      <c r="B1019" s="1" t="s">
        <v>1205</v>
      </c>
      <c r="C1019" s="5" t="s">
        <v>3085</v>
      </c>
      <c r="D1019" s="2" t="s">
        <v>4602</v>
      </c>
      <c r="E1019" s="1" t="s">
        <v>983</v>
      </c>
      <c r="F1019" s="3">
        <v>7.2604800000000003</v>
      </c>
      <c r="G1019" s="3">
        <v>4.43825</v>
      </c>
      <c r="H1019" s="3">
        <v>4.4383100000000004</v>
      </c>
      <c r="I1019" s="3">
        <v>8.0940700000000003</v>
      </c>
      <c r="J1019" s="3"/>
      <c r="K1019" s="3"/>
      <c r="L1019" s="3"/>
      <c r="M1019" s="3"/>
      <c r="N1019" s="3"/>
      <c r="O1019" s="3">
        <v>17.712140000000002</v>
      </c>
      <c r="P1019" s="3"/>
      <c r="Q1019" s="3"/>
      <c r="R1019" s="3"/>
      <c r="S1019" s="3">
        <v>13.86515</v>
      </c>
      <c r="T1019" s="3">
        <v>12.54243</v>
      </c>
      <c r="U1019" s="3"/>
      <c r="V1019" s="3">
        <v>9.8910499999999999</v>
      </c>
      <c r="W1019" s="3">
        <v>9.8704099999999997</v>
      </c>
      <c r="X1019" s="3">
        <v>8.2862299999999998</v>
      </c>
      <c r="Y1019" s="3"/>
      <c r="Z1019" s="3"/>
      <c r="AA1019" s="3"/>
      <c r="AB1019" s="3"/>
      <c r="AC1019" s="3"/>
      <c r="AD1019" s="3"/>
      <c r="AE1019" t="s">
        <v>6103</v>
      </c>
      <c r="AF1019" t="s">
        <v>1938</v>
      </c>
    </row>
    <row r="1020" spans="1:32" x14ac:dyDescent="0.3">
      <c r="A1020" t="s">
        <v>1826</v>
      </c>
      <c r="B1020" s="1" t="s">
        <v>1205</v>
      </c>
      <c r="C1020" s="5" t="s">
        <v>3086</v>
      </c>
      <c r="D1020" s="2" t="s">
        <v>4603</v>
      </c>
      <c r="E1020" s="1" t="s">
        <v>1750</v>
      </c>
      <c r="F1020" s="3">
        <v>8.6353799999999996</v>
      </c>
      <c r="G1020" s="3">
        <v>5.4621000000000004</v>
      </c>
      <c r="H1020" s="3">
        <v>5.40543</v>
      </c>
      <c r="I1020" s="3">
        <v>9.7642900000000008</v>
      </c>
      <c r="J1020" s="3"/>
      <c r="K1020" s="3"/>
      <c r="L1020" s="3"/>
      <c r="M1020" s="3"/>
      <c r="N1020" s="3"/>
      <c r="O1020" s="3">
        <v>19.633030000000002</v>
      </c>
      <c r="P1020" s="3"/>
      <c r="Q1020" s="3"/>
      <c r="R1020" s="3"/>
      <c r="S1020" s="3">
        <v>20.022500000000001</v>
      </c>
      <c r="T1020" s="3">
        <v>13.976559999999999</v>
      </c>
      <c r="U1020" s="3"/>
      <c r="V1020" s="3">
        <v>11.127219999999999</v>
      </c>
      <c r="W1020" s="3">
        <v>10.84394</v>
      </c>
      <c r="X1020" s="3">
        <v>7.6965399999999997</v>
      </c>
      <c r="Y1020" s="3"/>
      <c r="Z1020" s="3"/>
      <c r="AA1020" s="3"/>
      <c r="AB1020" s="3"/>
      <c r="AC1020" s="3"/>
      <c r="AD1020" s="3"/>
      <c r="AE1020" t="s">
        <v>6103</v>
      </c>
      <c r="AF1020" t="s">
        <v>1938</v>
      </c>
    </row>
    <row r="1021" spans="1:32" x14ac:dyDescent="0.3">
      <c r="A1021" t="s">
        <v>1826</v>
      </c>
      <c r="B1021" s="1" t="s">
        <v>1205</v>
      </c>
      <c r="C1021" s="5" t="s">
        <v>3087</v>
      </c>
      <c r="D1021" s="2" t="s">
        <v>4604</v>
      </c>
      <c r="E1021" s="1" t="s">
        <v>633</v>
      </c>
      <c r="F1021" s="3"/>
      <c r="G1021" s="3"/>
      <c r="H1021" s="3"/>
      <c r="I1021" s="3"/>
      <c r="J1021" s="3"/>
      <c r="K1021" s="3"/>
      <c r="L1021" s="3"/>
      <c r="M1021" s="3"/>
      <c r="N1021" s="3"/>
      <c r="O1021" s="3"/>
      <c r="P1021" s="3"/>
      <c r="Q1021" s="3"/>
      <c r="R1021" s="3">
        <v>24.73</v>
      </c>
      <c r="S1021" s="3">
        <v>40.340000000000003</v>
      </c>
      <c r="T1021" s="3"/>
      <c r="U1021" s="3"/>
      <c r="V1021" s="3">
        <v>47.18</v>
      </c>
      <c r="W1021" s="3">
        <v>32.69</v>
      </c>
      <c r="X1021" s="3"/>
      <c r="Y1021" s="3">
        <v>38.409999999999997</v>
      </c>
      <c r="Z1021" s="3"/>
      <c r="AA1021" s="3"/>
      <c r="AB1021" s="3"/>
      <c r="AC1021" s="3"/>
      <c r="AD1021" s="3"/>
      <c r="AE1021" t="s">
        <v>6104</v>
      </c>
      <c r="AF1021" t="s">
        <v>74</v>
      </c>
    </row>
    <row r="1022" spans="1:32" x14ac:dyDescent="0.3">
      <c r="A1022" t="s">
        <v>1826</v>
      </c>
      <c r="B1022" s="1" t="s">
        <v>1205</v>
      </c>
      <c r="C1022" s="5" t="s">
        <v>3088</v>
      </c>
      <c r="D1022" s="2" t="s">
        <v>4605</v>
      </c>
      <c r="E1022" s="1" t="s">
        <v>1395</v>
      </c>
      <c r="F1022" s="3"/>
      <c r="G1022" s="3"/>
      <c r="H1022" s="3"/>
      <c r="I1022" s="3"/>
      <c r="J1022" s="3"/>
      <c r="K1022" s="3"/>
      <c r="L1022" s="3"/>
      <c r="M1022" s="3"/>
      <c r="N1022" s="3"/>
      <c r="O1022" s="3"/>
      <c r="P1022" s="3"/>
      <c r="Q1022" s="3"/>
      <c r="R1022" s="3">
        <v>22.65</v>
      </c>
      <c r="S1022" s="3">
        <v>29.06</v>
      </c>
      <c r="T1022" s="3"/>
      <c r="U1022" s="3"/>
      <c r="V1022" s="3">
        <v>26.12</v>
      </c>
      <c r="W1022" s="3">
        <v>19.079999999999998</v>
      </c>
      <c r="X1022" s="3"/>
      <c r="Y1022" s="3">
        <v>24.73</v>
      </c>
      <c r="Z1022" s="3"/>
      <c r="AA1022" s="3"/>
      <c r="AB1022" s="3"/>
      <c r="AC1022" s="3"/>
      <c r="AD1022" s="3"/>
      <c r="AE1022" t="s">
        <v>6104</v>
      </c>
      <c r="AF1022" t="s">
        <v>74</v>
      </c>
    </row>
    <row r="1023" spans="1:32" x14ac:dyDescent="0.3">
      <c r="A1023" t="s">
        <v>1826</v>
      </c>
      <c r="B1023" s="1" t="s">
        <v>1205</v>
      </c>
      <c r="C1023" s="5" t="s">
        <v>3089</v>
      </c>
      <c r="D1023" s="2" t="s">
        <v>4606</v>
      </c>
      <c r="E1023" s="1" t="s">
        <v>1710</v>
      </c>
      <c r="F1023" s="3"/>
      <c r="G1023" s="3"/>
      <c r="H1023" s="3"/>
      <c r="I1023" s="3"/>
      <c r="J1023" s="3"/>
      <c r="K1023" s="3"/>
      <c r="L1023" s="3"/>
      <c r="M1023" s="3"/>
      <c r="N1023" s="3"/>
      <c r="O1023" s="3"/>
      <c r="P1023" s="3"/>
      <c r="Q1023" s="3"/>
      <c r="R1023" s="3">
        <v>23.61</v>
      </c>
      <c r="S1023" s="3">
        <v>34.119999999999997</v>
      </c>
      <c r="T1023" s="3"/>
      <c r="U1023" s="3"/>
      <c r="V1023" s="3">
        <v>35.17</v>
      </c>
      <c r="W1023" s="3">
        <v>24.56</v>
      </c>
      <c r="X1023" s="3"/>
      <c r="Y1023" s="3">
        <v>30.53</v>
      </c>
      <c r="Z1023" s="3"/>
      <c r="AA1023" s="3"/>
      <c r="AB1023" s="3"/>
      <c r="AC1023" s="3"/>
      <c r="AD1023" s="3"/>
      <c r="AE1023" t="s">
        <v>6104</v>
      </c>
      <c r="AF1023" t="s">
        <v>74</v>
      </c>
    </row>
    <row r="1024" spans="1:32" x14ac:dyDescent="0.3">
      <c r="A1024" t="s">
        <v>1826</v>
      </c>
      <c r="B1024" s="1" t="s">
        <v>1205</v>
      </c>
      <c r="C1024" s="5" t="s">
        <v>3090</v>
      </c>
      <c r="D1024" s="2" t="s">
        <v>4607</v>
      </c>
      <c r="E1024" s="1" t="s">
        <v>862</v>
      </c>
      <c r="F1024" s="3"/>
      <c r="G1024" s="3"/>
      <c r="H1024" s="3"/>
      <c r="I1024" s="3"/>
      <c r="J1024" s="3"/>
      <c r="K1024" s="3"/>
      <c r="L1024" s="3"/>
      <c r="M1024" s="3"/>
      <c r="N1024" s="3"/>
      <c r="O1024" s="3"/>
      <c r="P1024" s="3"/>
      <c r="Q1024" s="3"/>
      <c r="R1024" s="3">
        <v>1</v>
      </c>
      <c r="S1024" s="3"/>
      <c r="T1024" s="3"/>
      <c r="U1024" s="3"/>
      <c r="V1024" s="3"/>
      <c r="W1024" s="3"/>
      <c r="X1024" s="3"/>
      <c r="Y1024" s="3"/>
      <c r="Z1024" s="3"/>
      <c r="AA1024" s="3"/>
      <c r="AB1024" s="3"/>
      <c r="AC1024" s="3"/>
      <c r="AD1024" s="3"/>
      <c r="AE1024" t="s">
        <v>6105</v>
      </c>
      <c r="AF1024" t="s">
        <v>896</v>
      </c>
    </row>
    <row r="1025" spans="1:32" x14ac:dyDescent="0.3">
      <c r="A1025" t="s">
        <v>1826</v>
      </c>
      <c r="B1025" s="1" t="s">
        <v>1205</v>
      </c>
      <c r="C1025" s="5" t="s">
        <v>3091</v>
      </c>
      <c r="D1025" s="2" t="s">
        <v>4608</v>
      </c>
      <c r="E1025" s="1" t="s">
        <v>1533</v>
      </c>
      <c r="F1025" s="3"/>
      <c r="G1025" s="3"/>
      <c r="H1025" s="3"/>
      <c r="I1025" s="3"/>
      <c r="J1025" s="3"/>
      <c r="K1025" s="3"/>
      <c r="L1025" s="3"/>
      <c r="M1025" s="3"/>
      <c r="N1025" s="3"/>
      <c r="O1025" s="3"/>
      <c r="P1025" s="3"/>
      <c r="Q1025" s="3"/>
      <c r="R1025" s="3">
        <v>26</v>
      </c>
      <c r="S1025" s="3"/>
      <c r="T1025" s="3"/>
      <c r="U1025" s="3"/>
      <c r="V1025" s="3"/>
      <c r="W1025" s="3"/>
      <c r="X1025" s="3"/>
      <c r="Y1025" s="3"/>
      <c r="Z1025" s="3"/>
      <c r="AA1025" s="3"/>
      <c r="AB1025" s="3"/>
      <c r="AC1025" s="3"/>
      <c r="AD1025" s="3"/>
      <c r="AE1025" t="s">
        <v>6105</v>
      </c>
      <c r="AF1025" t="s">
        <v>1060</v>
      </c>
    </row>
    <row r="1026" spans="1:32" x14ac:dyDescent="0.3">
      <c r="A1026" t="s">
        <v>1826</v>
      </c>
      <c r="B1026" s="1" t="s">
        <v>1205</v>
      </c>
      <c r="C1026" s="5" t="s">
        <v>3092</v>
      </c>
      <c r="D1026" s="2" t="s">
        <v>4609</v>
      </c>
      <c r="E1026" s="1" t="s">
        <v>1154</v>
      </c>
      <c r="F1026" s="3">
        <v>36.687422854320097</v>
      </c>
      <c r="G1026" s="3">
        <v>35.899742660457598</v>
      </c>
      <c r="H1026" s="3">
        <v>35.119576886485902</v>
      </c>
      <c r="I1026" s="3">
        <v>34.347500884011502</v>
      </c>
      <c r="J1026" s="3">
        <v>33.583046563357897</v>
      </c>
      <c r="K1026" s="3">
        <v>32.827734146650698</v>
      </c>
      <c r="L1026" s="3">
        <v>32.080583960996798</v>
      </c>
      <c r="M1026" s="3">
        <v>31.341622616291001</v>
      </c>
      <c r="N1026" s="3">
        <v>30.6108853112598</v>
      </c>
      <c r="O1026" s="3">
        <v>29.889290544382899</v>
      </c>
      <c r="P1026" s="3">
        <v>29.175936504903401</v>
      </c>
      <c r="Q1026" s="3">
        <v>28.470859201547601</v>
      </c>
      <c r="R1026" s="3">
        <v>27.7744992250609</v>
      </c>
      <c r="S1026" s="3">
        <v>27.086858028248901</v>
      </c>
      <c r="T1026" s="3">
        <v>26.407937032755701</v>
      </c>
      <c r="U1026" s="3">
        <v>25.734286014008699</v>
      </c>
      <c r="V1026" s="3">
        <v>25.066930138426599</v>
      </c>
      <c r="W1026" s="3">
        <v>24.405724573312899</v>
      </c>
      <c r="X1026" s="3">
        <v>23.750919169820101</v>
      </c>
      <c r="Y1026" s="3">
        <v>23.1031020488252</v>
      </c>
      <c r="Z1026" s="3">
        <v>22.462493914492001</v>
      </c>
      <c r="AA1026" s="3">
        <v>21.829309034600499</v>
      </c>
      <c r="AB1026" s="3">
        <v>21.203764254018498</v>
      </c>
      <c r="AC1026" s="3"/>
      <c r="AD1026" s="3"/>
      <c r="AE1026" t="s">
        <v>6106</v>
      </c>
      <c r="AF1026" t="s">
        <v>555</v>
      </c>
    </row>
    <row r="1027" spans="1:32" x14ac:dyDescent="0.3">
      <c r="A1027" t="s">
        <v>1826</v>
      </c>
      <c r="B1027" s="1" t="s">
        <v>1205</v>
      </c>
      <c r="C1027" s="5" t="s">
        <v>3093</v>
      </c>
      <c r="D1027" s="2" t="s">
        <v>4610</v>
      </c>
      <c r="E1027" s="1" t="s">
        <v>1537</v>
      </c>
      <c r="F1027" s="3">
        <v>59.927249856965297</v>
      </c>
      <c r="G1027" s="3">
        <v>58.910823357566599</v>
      </c>
      <c r="H1027" s="3">
        <v>57.894396858167703</v>
      </c>
      <c r="I1027" s="3">
        <v>56.877970358769097</v>
      </c>
      <c r="J1027" s="3">
        <v>55.861543859370201</v>
      </c>
      <c r="K1027" s="3">
        <v>54.845117359971503</v>
      </c>
      <c r="L1027" s="3">
        <v>53.8286908605726</v>
      </c>
      <c r="M1027" s="3">
        <v>52.812264361173902</v>
      </c>
      <c r="N1027" s="3">
        <v>51.795837861774999</v>
      </c>
      <c r="O1027" s="3">
        <v>50.779411362376301</v>
      </c>
      <c r="P1027" s="3">
        <v>49.762984862977397</v>
      </c>
      <c r="Q1027" s="3">
        <v>48.7465583635787</v>
      </c>
      <c r="R1027" s="3">
        <v>47.730131864180102</v>
      </c>
      <c r="S1027" s="3">
        <v>46.713705364781198</v>
      </c>
      <c r="T1027" s="3">
        <v>45.697278865382501</v>
      </c>
      <c r="U1027" s="3">
        <v>44.680852365983803</v>
      </c>
      <c r="V1027" s="3">
        <v>43.6644258665847</v>
      </c>
      <c r="W1027" s="3">
        <v>42.647999367186003</v>
      </c>
      <c r="X1027" s="3">
        <v>41.631572867787298</v>
      </c>
      <c r="Y1027" s="3">
        <v>40.6151463683887</v>
      </c>
      <c r="Z1027" s="3">
        <v>39.598719868989498</v>
      </c>
      <c r="AA1027" s="3">
        <v>38.582293369590801</v>
      </c>
      <c r="AB1027" s="3">
        <v>37.565866870192202</v>
      </c>
      <c r="AC1027" s="3"/>
      <c r="AD1027" s="3"/>
      <c r="AE1027" t="s">
        <v>6106</v>
      </c>
      <c r="AF1027" t="s">
        <v>555</v>
      </c>
    </row>
    <row r="1028" spans="1:32" x14ac:dyDescent="0.3">
      <c r="A1028" t="s">
        <v>1826</v>
      </c>
      <c r="B1028" s="1" t="s">
        <v>1205</v>
      </c>
      <c r="C1028" s="5" t="s">
        <v>3094</v>
      </c>
      <c r="D1028" s="2" t="s">
        <v>4611</v>
      </c>
      <c r="E1028" s="1" t="s">
        <v>902</v>
      </c>
      <c r="F1028" s="3">
        <v>6.0752578911057196</v>
      </c>
      <c r="G1028" s="3">
        <v>6.0943480074317797</v>
      </c>
      <c r="H1028" s="3">
        <v>6.1134381237578497</v>
      </c>
      <c r="I1028" s="3">
        <v>6.1325282400839098</v>
      </c>
      <c r="J1028" s="3">
        <v>6.1516183564099798</v>
      </c>
      <c r="K1028" s="3">
        <v>6.17070847273604</v>
      </c>
      <c r="L1028" s="3">
        <v>6.1897985890621099</v>
      </c>
      <c r="M1028" s="3">
        <v>6.2088887053881701</v>
      </c>
      <c r="N1028" s="3">
        <v>6.2279788217142302</v>
      </c>
      <c r="O1028" s="3">
        <v>6.2470689380402904</v>
      </c>
      <c r="P1028" s="3">
        <v>6.2661590543663603</v>
      </c>
      <c r="Q1028" s="3">
        <v>6.2852491706924196</v>
      </c>
      <c r="R1028" s="3">
        <v>6.3043392870184896</v>
      </c>
      <c r="S1028" s="3">
        <v>6.3234294033445497</v>
      </c>
      <c r="T1028" s="3">
        <v>6.3425195196706099</v>
      </c>
      <c r="U1028" s="3">
        <v>6.3616096359966701</v>
      </c>
      <c r="V1028" s="3">
        <v>6.38069975232274</v>
      </c>
      <c r="W1028" s="3">
        <v>6.3997898686488002</v>
      </c>
      <c r="X1028" s="3">
        <v>6.4188799849748603</v>
      </c>
      <c r="Y1028" s="3">
        <v>6.4379701013009303</v>
      </c>
      <c r="Z1028" s="3">
        <v>6.4570602176269896</v>
      </c>
      <c r="AA1028" s="3">
        <v>6.4761503339530604</v>
      </c>
      <c r="AB1028" s="3">
        <v>6.4952404502791197</v>
      </c>
      <c r="AC1028" s="3"/>
      <c r="AD1028" s="3"/>
      <c r="AE1028" t="s">
        <v>6106</v>
      </c>
      <c r="AF1028" t="s">
        <v>555</v>
      </c>
    </row>
    <row r="1029" spans="1:32" x14ac:dyDescent="0.3">
      <c r="A1029" t="s">
        <v>1826</v>
      </c>
      <c r="B1029" s="1" t="s">
        <v>1205</v>
      </c>
      <c r="C1029" s="5" t="s">
        <v>3095</v>
      </c>
      <c r="D1029" s="2" t="s">
        <v>4612</v>
      </c>
      <c r="E1029" s="1" t="s">
        <v>1368</v>
      </c>
      <c r="F1029" s="3">
        <v>70.632865411971196</v>
      </c>
      <c r="G1029" s="3">
        <v>70.754229968621502</v>
      </c>
      <c r="H1029" s="3">
        <v>70.873553118873204</v>
      </c>
      <c r="I1029" s="3">
        <v>70.990469974877499</v>
      </c>
      <c r="J1029" s="3">
        <v>71.105319961077299</v>
      </c>
      <c r="K1029" s="3">
        <v>71.217059799243003</v>
      </c>
      <c r="L1029" s="3">
        <v>71.326376049963002</v>
      </c>
      <c r="M1029" s="3">
        <v>71.433260866632196</v>
      </c>
      <c r="N1029" s="3">
        <v>71.5377104551999</v>
      </c>
      <c r="O1029" s="3">
        <v>71.639060666356301</v>
      </c>
      <c r="P1029" s="3">
        <v>71.737963623592407</v>
      </c>
      <c r="Q1029" s="3">
        <v>71.834415972276901</v>
      </c>
      <c r="R1029" s="3">
        <v>71.928094480601004</v>
      </c>
      <c r="S1029" s="3">
        <v>72.019000309884504</v>
      </c>
      <c r="T1029" s="3">
        <v>72.107137005807601</v>
      </c>
      <c r="U1029" s="3">
        <v>72.195237243882502</v>
      </c>
      <c r="V1029" s="3">
        <v>72.282604770181706</v>
      </c>
      <c r="W1029" s="3">
        <v>72.369465894998797</v>
      </c>
      <c r="X1029" s="3">
        <v>72.455742874871405</v>
      </c>
      <c r="Y1029" s="3">
        <v>72.541058171011002</v>
      </c>
      <c r="Z1029" s="3">
        <v>72.625344736734505</v>
      </c>
      <c r="AA1029" s="3">
        <v>72.738267015564006</v>
      </c>
      <c r="AB1029" s="3">
        <v>72.850925650598299</v>
      </c>
      <c r="AC1029" s="3"/>
      <c r="AD1029" s="3"/>
      <c r="AE1029" t="s">
        <v>6107</v>
      </c>
      <c r="AF1029" t="s">
        <v>1127</v>
      </c>
    </row>
    <row r="1030" spans="1:32" ht="28.8" x14ac:dyDescent="0.3">
      <c r="A1030" t="s">
        <v>1826</v>
      </c>
      <c r="B1030" s="1" t="s">
        <v>1205</v>
      </c>
      <c r="C1030" s="5" t="s">
        <v>3096</v>
      </c>
      <c r="D1030" s="2" t="s">
        <v>4613</v>
      </c>
      <c r="E1030" s="1" t="s">
        <v>312</v>
      </c>
      <c r="F1030" s="3">
        <v>55.269305050550997</v>
      </c>
      <c r="G1030" s="3">
        <v>55.397203336850197</v>
      </c>
      <c r="H1030" s="3">
        <v>55.525204153032199</v>
      </c>
      <c r="I1030" s="3">
        <v>55.653307499097103</v>
      </c>
      <c r="J1030" s="3">
        <v>55.781513375044902</v>
      </c>
      <c r="K1030" s="3">
        <v>55.909821780875603</v>
      </c>
      <c r="L1030" s="3">
        <v>56.038232716589199</v>
      </c>
      <c r="M1030" s="3">
        <v>56.166746182185598</v>
      </c>
      <c r="N1030" s="3">
        <v>56.295362177664899</v>
      </c>
      <c r="O1030" s="3">
        <v>56.424080703027201</v>
      </c>
      <c r="P1030" s="3">
        <v>56.552901758272299</v>
      </c>
      <c r="Q1030" s="3">
        <v>56.681825343400298</v>
      </c>
      <c r="R1030" s="3">
        <v>56.8108514584112</v>
      </c>
      <c r="S1030" s="3">
        <v>56.939980103304897</v>
      </c>
      <c r="T1030" s="3">
        <v>57.069211278081603</v>
      </c>
      <c r="U1030" s="3">
        <v>57.198544982741097</v>
      </c>
      <c r="V1030" s="3">
        <v>57.327981217283501</v>
      </c>
      <c r="W1030" s="3">
        <v>57.457519981708799</v>
      </c>
      <c r="X1030" s="3">
        <v>57.587161276017</v>
      </c>
      <c r="Y1030" s="3">
        <v>57.716905100208102</v>
      </c>
      <c r="Z1030" s="3">
        <v>57.846751454282099</v>
      </c>
      <c r="AA1030" s="3">
        <v>57.947095708842802</v>
      </c>
      <c r="AB1030" s="3">
        <v>58.047439963403498</v>
      </c>
      <c r="AC1030" s="3"/>
      <c r="AD1030" s="3"/>
      <c r="AE1030" t="s">
        <v>6107</v>
      </c>
      <c r="AF1030" t="s">
        <v>1127</v>
      </c>
    </row>
    <row r="1031" spans="1:32" ht="28.8" x14ac:dyDescent="0.3">
      <c r="A1031" t="s">
        <v>1826</v>
      </c>
      <c r="B1031" s="1" t="s">
        <v>1205</v>
      </c>
      <c r="C1031" s="5" t="s">
        <v>3097</v>
      </c>
      <c r="D1031" s="2" t="s">
        <v>4614</v>
      </c>
      <c r="E1031" s="1" t="s">
        <v>1745</v>
      </c>
      <c r="F1031" s="3">
        <v>90.870187656893094</v>
      </c>
      <c r="G1031" s="3">
        <v>90.645610541531596</v>
      </c>
      <c r="H1031" s="3">
        <v>90.421296987105194</v>
      </c>
      <c r="I1031" s="3">
        <v>90.197246993613803</v>
      </c>
      <c r="J1031" s="3">
        <v>89.973460561057493</v>
      </c>
      <c r="K1031" s="3">
        <v>89.749937689436294</v>
      </c>
      <c r="L1031" s="3">
        <v>89.526678378750105</v>
      </c>
      <c r="M1031" s="3">
        <v>89.303682628999098</v>
      </c>
      <c r="N1031" s="3">
        <v>89.080950440183202</v>
      </c>
      <c r="O1031" s="3">
        <v>88.858481812302301</v>
      </c>
      <c r="P1031" s="3">
        <v>88.636276745356497</v>
      </c>
      <c r="Q1031" s="3">
        <v>88.414335239345803</v>
      </c>
      <c r="R1031" s="3">
        <v>88.192657294270106</v>
      </c>
      <c r="S1031" s="3">
        <v>87.971242910129604</v>
      </c>
      <c r="T1031" s="3">
        <v>87.750092086924198</v>
      </c>
      <c r="U1031" s="3">
        <v>87.529204824653704</v>
      </c>
      <c r="V1031" s="3">
        <v>87.308581123318504</v>
      </c>
      <c r="W1031" s="3">
        <v>87.088220982918301</v>
      </c>
      <c r="X1031" s="3">
        <v>86.868124403453095</v>
      </c>
      <c r="Y1031" s="3">
        <v>86.648291384923098</v>
      </c>
      <c r="Z1031" s="3">
        <v>86.428721927328098</v>
      </c>
      <c r="AA1031" s="3">
        <v>86.293535341490596</v>
      </c>
      <c r="AB1031" s="3">
        <v>86.158348755653094</v>
      </c>
      <c r="AC1031" s="3"/>
      <c r="AD1031" s="3"/>
      <c r="AE1031" t="s">
        <v>6107</v>
      </c>
      <c r="AF1031" t="s">
        <v>1127</v>
      </c>
    </row>
    <row r="1032" spans="1:32" x14ac:dyDescent="0.3">
      <c r="A1032" t="s">
        <v>1826</v>
      </c>
      <c r="B1032" s="1" t="s">
        <v>1205</v>
      </c>
      <c r="C1032" s="5" t="s">
        <v>3098</v>
      </c>
      <c r="D1032" s="2" t="s">
        <v>4615</v>
      </c>
      <c r="E1032" s="1" t="s">
        <v>1296</v>
      </c>
      <c r="F1032" s="3">
        <v>20.683503003502</v>
      </c>
      <c r="G1032" s="3">
        <v>21.285519067872201</v>
      </c>
      <c r="H1032" s="3">
        <v>21.887980359873701</v>
      </c>
      <c r="I1032" s="3">
        <v>22.4905747331287</v>
      </c>
      <c r="J1032" s="3">
        <v>23.093613780338899</v>
      </c>
      <c r="K1032" s="3">
        <v>23.818461396621</v>
      </c>
      <c r="L1032" s="3">
        <v>24.551418448204199</v>
      </c>
      <c r="M1032" s="3">
        <v>25.292360597326901</v>
      </c>
      <c r="N1032" s="3">
        <v>26.0411623083941</v>
      </c>
      <c r="O1032" s="3">
        <v>26.797081413026302</v>
      </c>
      <c r="P1032" s="3">
        <v>27.5606050351637</v>
      </c>
      <c r="Q1032" s="3">
        <v>28.3316063644831</v>
      </c>
      <c r="R1032" s="3">
        <v>29.1096545103652</v>
      </c>
      <c r="S1032" s="3">
        <v>29.894622861839</v>
      </c>
      <c r="T1032" s="3">
        <v>30.6863860760485</v>
      </c>
      <c r="U1032" s="3">
        <v>31.487518710836799</v>
      </c>
      <c r="V1032" s="3">
        <v>32.2972577718512</v>
      </c>
      <c r="W1032" s="3">
        <v>33.115740904563999</v>
      </c>
      <c r="X1032" s="3">
        <v>33.942800963857799</v>
      </c>
      <c r="Y1032" s="3">
        <v>34.777967457253602</v>
      </c>
      <c r="Z1032" s="3">
        <v>35.621068457315801</v>
      </c>
      <c r="AA1032" s="3">
        <v>36.291037964652297</v>
      </c>
      <c r="AB1032" s="3">
        <v>36.962083939006803</v>
      </c>
      <c r="AC1032" s="3"/>
      <c r="AD1032" s="3"/>
      <c r="AE1032" t="s">
        <v>6108</v>
      </c>
      <c r="AF1032" t="s">
        <v>1665</v>
      </c>
    </row>
    <row r="1033" spans="1:32" ht="28.8" x14ac:dyDescent="0.3">
      <c r="A1033" t="s">
        <v>1826</v>
      </c>
      <c r="B1033" s="1" t="s">
        <v>1205</v>
      </c>
      <c r="C1033" s="5" t="s">
        <v>3099</v>
      </c>
      <c r="D1033" s="2" t="s">
        <v>4616</v>
      </c>
      <c r="E1033" s="1" t="s">
        <v>695</v>
      </c>
      <c r="F1033" s="3">
        <v>7.3192003141784499</v>
      </c>
      <c r="G1033" s="3">
        <v>7.8024802766358903</v>
      </c>
      <c r="H1033" s="3">
        <v>8.2857602390933192</v>
      </c>
      <c r="I1033" s="3">
        <v>8.7690402015507605</v>
      </c>
      <c r="J1033" s="3">
        <v>9.2523201640079993</v>
      </c>
      <c r="K1033" s="3">
        <v>9.8625810487250707</v>
      </c>
      <c r="L1033" s="3">
        <v>10.4854487238907</v>
      </c>
      <c r="M1033" s="3">
        <v>11.120923189504699</v>
      </c>
      <c r="N1033" s="3">
        <v>11.7690044455672</v>
      </c>
      <c r="O1033" s="3">
        <v>12.429692492078299</v>
      </c>
      <c r="P1033" s="3">
        <v>13.102987329037999</v>
      </c>
      <c r="Q1033" s="3">
        <v>13.788888956446099</v>
      </c>
      <c r="R1033" s="3">
        <v>14.487397374302599</v>
      </c>
      <c r="S1033" s="3">
        <v>15.198512582607799</v>
      </c>
      <c r="T1033" s="3">
        <v>15.922234581361501</v>
      </c>
      <c r="U1033" s="3">
        <v>16.658563370563702</v>
      </c>
      <c r="V1033" s="3">
        <v>17.4074989502144</v>
      </c>
      <c r="W1033" s="3">
        <v>18.1690413203135</v>
      </c>
      <c r="X1033" s="3">
        <v>18.943190480861201</v>
      </c>
      <c r="Y1033" s="3">
        <v>19.729946431857499</v>
      </c>
      <c r="Z1033" s="3">
        <v>20.529309173302298</v>
      </c>
      <c r="AA1033" s="3">
        <v>21.1134434593476</v>
      </c>
      <c r="AB1033" s="3">
        <v>21.6975777453932</v>
      </c>
      <c r="AC1033" s="3"/>
      <c r="AD1033" s="3"/>
      <c r="AE1033" t="s">
        <v>6108</v>
      </c>
      <c r="AF1033" t="s">
        <v>1665</v>
      </c>
    </row>
    <row r="1034" spans="1:32" ht="28.8" x14ac:dyDescent="0.3">
      <c r="A1034" t="s">
        <v>1826</v>
      </c>
      <c r="B1034" s="1" t="s">
        <v>1205</v>
      </c>
      <c r="C1034" s="5" t="s">
        <v>3100</v>
      </c>
      <c r="D1034" s="2" t="s">
        <v>4617</v>
      </c>
      <c r="E1034" s="1" t="s">
        <v>84</v>
      </c>
      <c r="F1034" s="3">
        <v>38.287345276538701</v>
      </c>
      <c r="G1034" s="3">
        <v>38.749594904321398</v>
      </c>
      <c r="H1034" s="3">
        <v>39.211844532104102</v>
      </c>
      <c r="I1034" s="3">
        <v>39.6740941598867</v>
      </c>
      <c r="J1034" s="3">
        <v>40.136343787669396</v>
      </c>
      <c r="K1034" s="3">
        <v>40.715214068035998</v>
      </c>
      <c r="L1034" s="3">
        <v>41.296739999681002</v>
      </c>
      <c r="M1034" s="3">
        <v>41.880921582604103</v>
      </c>
      <c r="N1034" s="3">
        <v>42.467758816805301</v>
      </c>
      <c r="O1034" s="3">
        <v>43.057251702284901</v>
      </c>
      <c r="P1034" s="3">
        <v>43.6494002390425</v>
      </c>
      <c r="Q1034" s="3">
        <v>44.2442044270785</v>
      </c>
      <c r="R1034" s="3">
        <v>44.841664266392598</v>
      </c>
      <c r="S1034" s="3">
        <v>45.441779756984999</v>
      </c>
      <c r="T1034" s="3">
        <v>46.044550898855597</v>
      </c>
      <c r="U1034" s="3">
        <v>46.649977692004299</v>
      </c>
      <c r="V1034" s="3">
        <v>47.258060136431297</v>
      </c>
      <c r="W1034" s="3">
        <v>47.868798232136498</v>
      </c>
      <c r="X1034" s="3">
        <v>48.482191979120003</v>
      </c>
      <c r="Y1034" s="3">
        <v>49.098241377381598</v>
      </c>
      <c r="Z1034" s="3">
        <v>49.716946426921403</v>
      </c>
      <c r="AA1034" s="3">
        <v>50.2004412649299</v>
      </c>
      <c r="AB1034" s="3">
        <v>50.683936102938297</v>
      </c>
      <c r="AC1034" s="3"/>
      <c r="AD1034" s="3"/>
      <c r="AE1034" t="s">
        <v>6108</v>
      </c>
      <c r="AF1034" t="s">
        <v>1665</v>
      </c>
    </row>
    <row r="1035" spans="1:32" x14ac:dyDescent="0.3">
      <c r="A1035" t="s">
        <v>1826</v>
      </c>
      <c r="B1035" s="1" t="s">
        <v>1205</v>
      </c>
      <c r="C1035" s="5" t="s">
        <v>3101</v>
      </c>
      <c r="D1035" s="2" t="s">
        <v>4618</v>
      </c>
      <c r="E1035" s="1" t="s">
        <v>1863</v>
      </c>
      <c r="F1035" s="3">
        <v>23.086655423663</v>
      </c>
      <c r="G1035" s="3">
        <v>23.563048593215001</v>
      </c>
      <c r="H1035" s="3">
        <v>24.006742228394302</v>
      </c>
      <c r="I1035" s="3">
        <v>24.0859299166158</v>
      </c>
      <c r="J1035" s="3">
        <v>24.164870833197</v>
      </c>
      <c r="K1035" s="3">
        <v>24.2429225324484</v>
      </c>
      <c r="L1035" s="3">
        <v>24.320509754230098</v>
      </c>
      <c r="M1035" s="3">
        <v>24.397631026298502</v>
      </c>
      <c r="N1035" s="3">
        <v>24.474285223695102</v>
      </c>
      <c r="O1035" s="3">
        <v>24.550051216124199</v>
      </c>
      <c r="P1035" s="3">
        <v>24.625345451546799</v>
      </c>
      <c r="Q1035" s="3">
        <v>24.700166779063998</v>
      </c>
      <c r="R1035" s="3">
        <v>28.737570980337601</v>
      </c>
      <c r="S1035" s="3">
        <v>31.505681306732502</v>
      </c>
      <c r="T1035" s="3">
        <v>33.250779421157503</v>
      </c>
      <c r="U1035" s="3">
        <v>35.010747844388298</v>
      </c>
      <c r="V1035" s="3">
        <v>36.785475550563604</v>
      </c>
      <c r="W1035" s="3">
        <v>38.575464383032099</v>
      </c>
      <c r="X1035" s="3">
        <v>40.381013724980697</v>
      </c>
      <c r="Y1035" s="3">
        <v>42.151545075829603</v>
      </c>
      <c r="Z1035" s="3">
        <v>43.641640617376602</v>
      </c>
      <c r="AA1035" s="3">
        <v>43.766457896046397</v>
      </c>
      <c r="AB1035" s="3">
        <v>43.892155255539798</v>
      </c>
      <c r="AC1035" s="3"/>
      <c r="AD1035" s="3"/>
      <c r="AE1035" t="s">
        <v>6109</v>
      </c>
      <c r="AF1035" t="s">
        <v>1592</v>
      </c>
    </row>
    <row r="1036" spans="1:32" ht="28.8" x14ac:dyDescent="0.3">
      <c r="A1036" t="s">
        <v>1826</v>
      </c>
      <c r="B1036" s="1" t="s">
        <v>1205</v>
      </c>
      <c r="C1036" s="5" t="s">
        <v>3102</v>
      </c>
      <c r="D1036" s="2" t="s">
        <v>4619</v>
      </c>
      <c r="E1036" s="1" t="s">
        <v>464</v>
      </c>
      <c r="F1036" s="3">
        <v>13.2111358763095</v>
      </c>
      <c r="G1036" s="3">
        <v>13.9301143658678</v>
      </c>
      <c r="H1036" s="3">
        <v>14.601365767582701</v>
      </c>
      <c r="I1036" s="3">
        <v>14.6275104616682</v>
      </c>
      <c r="J1036" s="3">
        <v>14.6536551557538</v>
      </c>
      <c r="K1036" s="3">
        <v>14.6797998498393</v>
      </c>
      <c r="L1036" s="3">
        <v>14.705944543924801</v>
      </c>
      <c r="M1036" s="3">
        <v>14.7320892380103</v>
      </c>
      <c r="N1036" s="3">
        <v>14.7582339320958</v>
      </c>
      <c r="O1036" s="3">
        <v>14.7843786261814</v>
      </c>
      <c r="P1036" s="3">
        <v>14.810523320266901</v>
      </c>
      <c r="Q1036" s="3">
        <v>14.8366680143524</v>
      </c>
      <c r="R1036" s="3">
        <v>20.004457629341701</v>
      </c>
      <c r="S1036" s="3">
        <v>22.752404146508201</v>
      </c>
      <c r="T1036" s="3">
        <v>23.503807287056802</v>
      </c>
      <c r="U1036" s="3">
        <v>24.257704631527702</v>
      </c>
      <c r="V1036" s="3">
        <v>25.0140961799206</v>
      </c>
      <c r="W1036" s="3">
        <v>25.7729819322361</v>
      </c>
      <c r="X1036" s="3">
        <v>26.5343618884737</v>
      </c>
      <c r="Y1036" s="3">
        <v>27.1945136499459</v>
      </c>
      <c r="Z1036" s="3">
        <v>27.241768766457501</v>
      </c>
      <c r="AA1036" s="3">
        <v>27.289023882969001</v>
      </c>
      <c r="AB1036" s="3">
        <v>27.336278999480498</v>
      </c>
      <c r="AC1036" s="3"/>
      <c r="AD1036" s="3"/>
      <c r="AE1036" t="s">
        <v>6109</v>
      </c>
      <c r="AF1036" t="s">
        <v>1592</v>
      </c>
    </row>
    <row r="1037" spans="1:32" ht="28.8" x14ac:dyDescent="0.3">
      <c r="A1037" t="s">
        <v>1826</v>
      </c>
      <c r="B1037" s="1" t="s">
        <v>1205</v>
      </c>
      <c r="C1037" s="5" t="s">
        <v>3103</v>
      </c>
      <c r="D1037" s="2" t="s">
        <v>4620</v>
      </c>
      <c r="E1037" s="1" t="s">
        <v>1887</v>
      </c>
      <c r="F1037" s="3">
        <v>36.0949727029831</v>
      </c>
      <c r="G1037" s="3">
        <v>36.040227703534299</v>
      </c>
      <c r="H1037" s="3">
        <v>35.985482704085499</v>
      </c>
      <c r="I1037" s="3">
        <v>35.930737704636698</v>
      </c>
      <c r="J1037" s="3">
        <v>35.875992705187898</v>
      </c>
      <c r="K1037" s="3">
        <v>35.821247705739097</v>
      </c>
      <c r="L1037" s="3">
        <v>35.766502706290296</v>
      </c>
      <c r="M1037" s="3">
        <v>35.711757706841603</v>
      </c>
      <c r="N1037" s="3">
        <v>35.657012707392802</v>
      </c>
      <c r="O1037" s="3">
        <v>35.602267707944002</v>
      </c>
      <c r="P1037" s="3">
        <v>35.547522708495201</v>
      </c>
      <c r="Q1037" s="3">
        <v>35.492777709046401</v>
      </c>
      <c r="R1037" s="3">
        <v>38.133481919755603</v>
      </c>
      <c r="S1037" s="3">
        <v>40.765858220914403</v>
      </c>
      <c r="T1037" s="3">
        <v>43.3899066125229</v>
      </c>
      <c r="U1037" s="3">
        <v>46.005627094580902</v>
      </c>
      <c r="V1037" s="3">
        <v>48.613019667088601</v>
      </c>
      <c r="W1037" s="3">
        <v>51.212084330045997</v>
      </c>
      <c r="X1037" s="3">
        <v>53.802821083452898</v>
      </c>
      <c r="Y1037" s="3">
        <v>56.385229927309503</v>
      </c>
      <c r="Z1037" s="3">
        <v>58.959310861615798</v>
      </c>
      <c r="AA1037" s="3">
        <v>58.8670902691903</v>
      </c>
      <c r="AB1037" s="3">
        <v>58.774869676764801</v>
      </c>
      <c r="AC1037" s="3"/>
      <c r="AD1037" s="3"/>
      <c r="AE1037" t="s">
        <v>6109</v>
      </c>
      <c r="AF1037" t="s">
        <v>1592</v>
      </c>
    </row>
    <row r="1038" spans="1:32" x14ac:dyDescent="0.3">
      <c r="A1038" t="s">
        <v>1826</v>
      </c>
      <c r="B1038" s="1" t="s">
        <v>1205</v>
      </c>
      <c r="C1038" s="5" t="s">
        <v>3104</v>
      </c>
      <c r="D1038" s="2" t="s">
        <v>4621</v>
      </c>
      <c r="E1038" s="1" t="s">
        <v>1204</v>
      </c>
      <c r="F1038" s="3">
        <v>9.5776450572754701</v>
      </c>
      <c r="G1038" s="3">
        <v>9.9184805397675007</v>
      </c>
      <c r="H1038" s="3">
        <v>10.258641277738</v>
      </c>
      <c r="I1038" s="3">
        <v>10.598006324440499</v>
      </c>
      <c r="J1038" s="3">
        <v>10.9366864363534</v>
      </c>
      <c r="K1038" s="3">
        <v>11.2775051282803</v>
      </c>
      <c r="L1038" s="3">
        <v>11.6212834814289</v>
      </c>
      <c r="M1038" s="3">
        <v>11.9679176366147</v>
      </c>
      <c r="N1038" s="3">
        <v>12.3173033765807</v>
      </c>
      <c r="O1038" s="3">
        <v>12.669134422739999</v>
      </c>
      <c r="P1038" s="3">
        <v>13.023515542485599</v>
      </c>
      <c r="Q1038" s="3">
        <v>13.3803416810233</v>
      </c>
      <c r="R1038" s="3">
        <v>13.739415406234899</v>
      </c>
      <c r="S1038" s="3">
        <v>14.100638770660501</v>
      </c>
      <c r="T1038" s="3">
        <v>14.463914371489199</v>
      </c>
      <c r="U1038" s="3">
        <v>14.8298832613884</v>
      </c>
      <c r="V1038" s="3">
        <v>15.198201584021801</v>
      </c>
      <c r="W1038" s="3">
        <v>15.568775532434501</v>
      </c>
      <c r="X1038" s="3">
        <v>15.941422971176999</v>
      </c>
      <c r="Y1038" s="3">
        <v>16.315887164033299</v>
      </c>
      <c r="Z1038" s="3">
        <v>16.691989242715501</v>
      </c>
      <c r="AA1038" s="3">
        <v>16.970169601137201</v>
      </c>
      <c r="AB1038" s="3">
        <v>17.246206332874898</v>
      </c>
      <c r="AC1038" s="3"/>
      <c r="AD1038" s="3"/>
      <c r="AE1038" t="s">
        <v>6110</v>
      </c>
      <c r="AF1038" t="s">
        <v>1246</v>
      </c>
    </row>
    <row r="1039" spans="1:32" ht="28.8" x14ac:dyDescent="0.3">
      <c r="A1039" t="s">
        <v>1826</v>
      </c>
      <c r="B1039" s="1" t="s">
        <v>1205</v>
      </c>
      <c r="C1039" s="5" t="s">
        <v>3105</v>
      </c>
      <c r="D1039" s="2" t="s">
        <v>4622</v>
      </c>
      <c r="E1039" s="1" t="s">
        <v>1335</v>
      </c>
      <c r="F1039" s="3">
        <v>4.5264265339777596</v>
      </c>
      <c r="G1039" s="3">
        <v>4.8666318361557899</v>
      </c>
      <c r="H1039" s="3">
        <v>5.2068371383338201</v>
      </c>
      <c r="I1039" s="3">
        <v>5.5470424405118504</v>
      </c>
      <c r="J1039" s="3">
        <v>5.8872477426897403</v>
      </c>
      <c r="K1039" s="3">
        <v>6.2895130449299002</v>
      </c>
      <c r="L1039" s="3">
        <v>6.7001594244336502</v>
      </c>
      <c r="M1039" s="3">
        <v>7.1191868812010002</v>
      </c>
      <c r="N1039" s="3">
        <v>7.5465954152318</v>
      </c>
      <c r="O1039" s="3">
        <v>7.9823850265263898</v>
      </c>
      <c r="P1039" s="3">
        <v>8.4265557150845307</v>
      </c>
      <c r="Q1039" s="3">
        <v>8.8791074809062707</v>
      </c>
      <c r="R1039" s="3">
        <v>9.3400403239914596</v>
      </c>
      <c r="S1039" s="3">
        <v>9.8093542443403994</v>
      </c>
      <c r="T1039" s="3">
        <v>10.2870492419529</v>
      </c>
      <c r="U1039" s="3">
        <v>10.7731253168291</v>
      </c>
      <c r="V1039" s="3">
        <v>11.267582468968801</v>
      </c>
      <c r="W1039" s="3">
        <v>11.770420698372</v>
      </c>
      <c r="X1039" s="3">
        <v>12.2816400050389</v>
      </c>
      <c r="Y1039" s="3">
        <v>12.8012403889695</v>
      </c>
      <c r="Z1039" s="3">
        <v>13.3292218501636</v>
      </c>
      <c r="AA1039" s="3">
        <v>13.717558168091299</v>
      </c>
      <c r="AB1039" s="3">
        <v>14.105894486019199</v>
      </c>
      <c r="AC1039" s="3"/>
      <c r="AD1039" s="3"/>
      <c r="AE1039" t="s">
        <v>6110</v>
      </c>
      <c r="AF1039" t="s">
        <v>1246</v>
      </c>
    </row>
    <row r="1040" spans="1:32" ht="28.8" x14ac:dyDescent="0.3">
      <c r="A1040" t="s">
        <v>1826</v>
      </c>
      <c r="B1040" s="1" t="s">
        <v>1205</v>
      </c>
      <c r="C1040" s="5" t="s">
        <v>3106</v>
      </c>
      <c r="D1040" s="2" t="s">
        <v>4623</v>
      </c>
      <c r="E1040" s="1" t="s">
        <v>693</v>
      </c>
      <c r="F1040" s="3">
        <v>16.231254788464899</v>
      </c>
      <c r="G1040" s="3">
        <v>16.461951142170498</v>
      </c>
      <c r="H1040" s="3">
        <v>16.692647495875999</v>
      </c>
      <c r="I1040" s="3">
        <v>16.923343849581599</v>
      </c>
      <c r="J1040" s="3">
        <v>17.154040203287199</v>
      </c>
      <c r="K1040" s="3">
        <v>17.316598840815299</v>
      </c>
      <c r="L1040" s="3">
        <v>17.4798064325749</v>
      </c>
      <c r="M1040" s="3">
        <v>17.6436629785658</v>
      </c>
      <c r="N1040" s="3">
        <v>17.8081684787882</v>
      </c>
      <c r="O1040" s="3">
        <v>17.973322933241899</v>
      </c>
      <c r="P1040" s="3">
        <v>18.139126341927099</v>
      </c>
      <c r="Q1040" s="3">
        <v>18.305578704843601</v>
      </c>
      <c r="R1040" s="3">
        <v>18.4726800219916</v>
      </c>
      <c r="S1040" s="3">
        <v>18.640430293371001</v>
      </c>
      <c r="T1040" s="3">
        <v>18.808829518981799</v>
      </c>
      <c r="U1040" s="3">
        <v>18.9778776988239</v>
      </c>
      <c r="V1040" s="3">
        <v>19.1475748328976</v>
      </c>
      <c r="W1040" s="3">
        <v>19.3179209212025</v>
      </c>
      <c r="X1040" s="3">
        <v>19.488915963739</v>
      </c>
      <c r="Y1040" s="3">
        <v>19.660559960506799</v>
      </c>
      <c r="Z1040" s="3">
        <v>19.832852911505999</v>
      </c>
      <c r="AA1040" s="3">
        <v>19.951003221210801</v>
      </c>
      <c r="AB1040" s="3">
        <v>20.0691535309155</v>
      </c>
      <c r="AC1040" s="3"/>
      <c r="AD1040" s="3"/>
      <c r="AE1040" t="s">
        <v>6110</v>
      </c>
      <c r="AF1040" t="s">
        <v>1246</v>
      </c>
    </row>
    <row r="1041" spans="1:32" ht="28.8" x14ac:dyDescent="0.3">
      <c r="A1041" t="s">
        <v>1826</v>
      </c>
      <c r="B1041" s="1" t="s">
        <v>1205</v>
      </c>
      <c r="C1041" s="5" t="s">
        <v>3107</v>
      </c>
      <c r="D1041" s="2" t="s">
        <v>4624</v>
      </c>
      <c r="E1041" s="1" t="s">
        <v>1578</v>
      </c>
      <c r="F1041" s="3"/>
      <c r="G1041" s="3"/>
      <c r="H1041" s="3"/>
      <c r="I1041" s="3"/>
      <c r="J1041" s="3"/>
      <c r="K1041" s="3"/>
      <c r="L1041" s="3">
        <v>14.772064397306099</v>
      </c>
      <c r="M1041" s="3">
        <v>14.8442355231319</v>
      </c>
      <c r="N1041" s="3">
        <v>14.9165799997996</v>
      </c>
      <c r="O1041" s="3">
        <v>14.9887519198698</v>
      </c>
      <c r="P1041" s="3">
        <v>15.0610953389298</v>
      </c>
      <c r="Q1041" s="3">
        <v>15.702217588436501</v>
      </c>
      <c r="R1041" s="3">
        <v>16.3459048148957</v>
      </c>
      <c r="S1041" s="3">
        <v>16.992156491114802</v>
      </c>
      <c r="T1041" s="3">
        <v>17.6409727912114</v>
      </c>
      <c r="U1041" s="3">
        <v>18.294041626447498</v>
      </c>
      <c r="V1041" s="3">
        <v>18.951062848481801</v>
      </c>
      <c r="W1041" s="3">
        <v>19.6122943811278</v>
      </c>
      <c r="X1041" s="3">
        <v>20.277810450510302</v>
      </c>
      <c r="Y1041" s="3">
        <v>20.947482717856399</v>
      </c>
      <c r="Z1041" s="3">
        <v>21.621375766295301</v>
      </c>
      <c r="AA1041" s="3">
        <v>21.717457456384999</v>
      </c>
      <c r="AB1041" s="3">
        <v>21.814959117564499</v>
      </c>
      <c r="AC1041" s="3"/>
      <c r="AD1041" s="3"/>
      <c r="AE1041" t="s">
        <v>6111</v>
      </c>
      <c r="AF1041" t="s">
        <v>1518</v>
      </c>
    </row>
    <row r="1042" spans="1:32" ht="28.8" x14ac:dyDescent="0.3">
      <c r="A1042" t="s">
        <v>1826</v>
      </c>
      <c r="B1042" s="1" t="s">
        <v>1205</v>
      </c>
      <c r="C1042" s="5" t="s">
        <v>3108</v>
      </c>
      <c r="D1042" s="2" t="s">
        <v>4625</v>
      </c>
      <c r="E1042" s="1" t="s">
        <v>545</v>
      </c>
      <c r="F1042" s="3"/>
      <c r="G1042" s="3"/>
      <c r="H1042" s="3"/>
      <c r="I1042" s="3"/>
      <c r="J1042" s="3"/>
      <c r="K1042" s="3"/>
      <c r="L1042" s="3">
        <v>6.9086545431490496</v>
      </c>
      <c r="M1042" s="3">
        <v>6.9086545431490496</v>
      </c>
      <c r="N1042" s="3">
        <v>6.9086545431490496</v>
      </c>
      <c r="O1042" s="3">
        <v>6.9086545431490496</v>
      </c>
      <c r="P1042" s="3">
        <v>6.9086545431490496</v>
      </c>
      <c r="Q1042" s="3">
        <v>7.3318215457089799</v>
      </c>
      <c r="R1042" s="3">
        <v>7.7549885482688996</v>
      </c>
      <c r="S1042" s="3">
        <v>8.1781555508288193</v>
      </c>
      <c r="T1042" s="3">
        <v>8.6013225533887407</v>
      </c>
      <c r="U1042" s="3">
        <v>9.0244895559486604</v>
      </c>
      <c r="V1042" s="3">
        <v>9.4476565585085801</v>
      </c>
      <c r="W1042" s="3">
        <v>9.8708235610685104</v>
      </c>
      <c r="X1042" s="3">
        <v>10.2939905636284</v>
      </c>
      <c r="Y1042" s="3">
        <v>10.7171575661883</v>
      </c>
      <c r="Z1042" s="3">
        <v>11.1403245687483</v>
      </c>
      <c r="AA1042" s="3">
        <v>11.1403245687483</v>
      </c>
      <c r="AB1042" s="3">
        <v>11.1403245687483</v>
      </c>
      <c r="AC1042" s="3"/>
      <c r="AD1042" s="3"/>
      <c r="AE1042" t="s">
        <v>6111</v>
      </c>
      <c r="AF1042" t="s">
        <v>1518</v>
      </c>
    </row>
    <row r="1043" spans="1:32" ht="28.8" x14ac:dyDescent="0.3">
      <c r="A1043" t="s">
        <v>1826</v>
      </c>
      <c r="B1043" s="1" t="s">
        <v>1205</v>
      </c>
      <c r="C1043" s="5" t="s">
        <v>3109</v>
      </c>
      <c r="D1043" s="2" t="s">
        <v>4626</v>
      </c>
      <c r="E1043" s="1" t="s">
        <v>1965</v>
      </c>
      <c r="F1043" s="3"/>
      <c r="G1043" s="3"/>
      <c r="H1043" s="3"/>
      <c r="I1043" s="3"/>
      <c r="J1043" s="3"/>
      <c r="K1043" s="3"/>
      <c r="L1043" s="3">
        <v>24.133333451441601</v>
      </c>
      <c r="M1043" s="3">
        <v>24.133333451441601</v>
      </c>
      <c r="N1043" s="3">
        <v>24.133333451441601</v>
      </c>
      <c r="O1043" s="3">
        <v>24.133333451441601</v>
      </c>
      <c r="P1043" s="3">
        <v>24.133333451441601</v>
      </c>
      <c r="Q1043" s="3">
        <v>24.861080005197199</v>
      </c>
      <c r="R1043" s="3">
        <v>25.588826558952899</v>
      </c>
      <c r="S1043" s="3">
        <v>26.3165731127085</v>
      </c>
      <c r="T1043" s="3">
        <v>27.044319666464201</v>
      </c>
      <c r="U1043" s="3">
        <v>27.772066220219799</v>
      </c>
      <c r="V1043" s="3">
        <v>28.499812773975499</v>
      </c>
      <c r="W1043" s="3">
        <v>29.2275593277311</v>
      </c>
      <c r="X1043" s="3">
        <v>29.955305881486801</v>
      </c>
      <c r="Y1043" s="3">
        <v>30.6830524352422</v>
      </c>
      <c r="Z1043" s="3">
        <v>31.410798988997801</v>
      </c>
      <c r="AA1043" s="3">
        <v>31.410798988997801</v>
      </c>
      <c r="AB1043" s="3">
        <v>31.410798988997801</v>
      </c>
      <c r="AC1043" s="3"/>
      <c r="AD1043" s="3"/>
      <c r="AE1043" t="s">
        <v>6111</v>
      </c>
      <c r="AF1043" t="s">
        <v>1518</v>
      </c>
    </row>
    <row r="1044" spans="1:32" x14ac:dyDescent="0.3">
      <c r="A1044" t="s">
        <v>1826</v>
      </c>
      <c r="B1044" s="1" t="s">
        <v>1205</v>
      </c>
      <c r="C1044" s="5" t="s">
        <v>3110</v>
      </c>
      <c r="D1044" s="2" t="s">
        <v>4627</v>
      </c>
      <c r="E1044" s="1" t="s">
        <v>1971</v>
      </c>
      <c r="F1044" s="3">
        <v>12.439037735849057</v>
      </c>
      <c r="G1044" s="3">
        <v>10.898635220125787</v>
      </c>
      <c r="H1044" s="3">
        <v>11.274408805031447</v>
      </c>
      <c r="I1044" s="3">
        <v>11.399374213836477</v>
      </c>
      <c r="J1044" s="3">
        <v>13.089141509433963</v>
      </c>
      <c r="K1044" s="3">
        <v>13.851122641509434</v>
      </c>
      <c r="L1044" s="3">
        <v>14.72193710691824</v>
      </c>
      <c r="M1044" s="3">
        <v>15.431669811320756</v>
      </c>
      <c r="N1044" s="3">
        <v>15.16658176100629</v>
      </c>
      <c r="O1044" s="3">
        <v>15.069194968553459</v>
      </c>
      <c r="P1044" s="3">
        <v>15.106877358490568</v>
      </c>
      <c r="Q1044" s="3">
        <v>15.571248427672957</v>
      </c>
      <c r="R1044" s="3">
        <v>18.020462264150943</v>
      </c>
      <c r="S1044" s="3">
        <v>18.371157232704402</v>
      </c>
      <c r="T1044" s="3">
        <v>20.075996855345913</v>
      </c>
      <c r="U1044" s="3">
        <v>23.308672955974842</v>
      </c>
      <c r="V1044" s="3">
        <v>22.028544025157231</v>
      </c>
      <c r="W1044" s="3">
        <v>23.668600628930818</v>
      </c>
      <c r="X1044" s="3">
        <v>27.013267295597483</v>
      </c>
      <c r="Y1044" s="3">
        <v>26.975531446540877</v>
      </c>
      <c r="Z1044" s="3">
        <v>28.124493710691823</v>
      </c>
      <c r="AA1044" s="3">
        <v>29.528066037735851</v>
      </c>
      <c r="AB1044" s="3">
        <v>29.097581761006293</v>
      </c>
      <c r="AC1044" s="3"/>
      <c r="AD1044" s="3"/>
      <c r="AE1044" t="s">
        <v>6112</v>
      </c>
      <c r="AF1044" t="s">
        <v>1968</v>
      </c>
    </row>
    <row r="1045" spans="1:32" x14ac:dyDescent="0.3">
      <c r="A1045" t="s">
        <v>1826</v>
      </c>
      <c r="B1045" s="1" t="s">
        <v>1205</v>
      </c>
      <c r="C1045" s="5" t="s">
        <v>3111</v>
      </c>
      <c r="D1045" s="2" t="s">
        <v>4628</v>
      </c>
      <c r="E1045" s="1" t="s">
        <v>109</v>
      </c>
      <c r="F1045" s="3">
        <v>87.854942321777301</v>
      </c>
      <c r="G1045" s="3"/>
      <c r="H1045" s="3"/>
      <c r="I1045" s="3"/>
      <c r="J1045" s="3"/>
      <c r="K1045" s="3"/>
      <c r="L1045" s="3">
        <v>73.117828369140597</v>
      </c>
      <c r="M1045" s="3"/>
      <c r="N1045" s="3">
        <v>66.039962768554702</v>
      </c>
      <c r="O1045" s="3"/>
      <c r="P1045" s="3"/>
      <c r="Q1045" s="3">
        <v>85.331161499023395</v>
      </c>
      <c r="R1045" s="3">
        <v>77.631629943847699</v>
      </c>
      <c r="S1045" s="3">
        <v>74.118820190429702</v>
      </c>
      <c r="T1045" s="3">
        <v>82.463127136230497</v>
      </c>
      <c r="U1045" s="3">
        <v>84.06640625</v>
      </c>
      <c r="V1045" s="3"/>
      <c r="W1045" s="3"/>
      <c r="X1045" s="3"/>
      <c r="Y1045" s="3">
        <v>80.509979248046903</v>
      </c>
      <c r="Z1045" s="3">
        <v>78.836280822753906</v>
      </c>
      <c r="AA1045" s="3">
        <v>69.967117309570298</v>
      </c>
      <c r="AB1045" s="3"/>
      <c r="AC1045" s="3"/>
      <c r="AD1045" s="3"/>
      <c r="AE1045" t="s">
        <v>6113</v>
      </c>
      <c r="AF1045" t="s">
        <v>502</v>
      </c>
    </row>
    <row r="1046" spans="1:32" x14ac:dyDescent="0.3">
      <c r="A1046" t="s">
        <v>1826</v>
      </c>
      <c r="B1046" s="1" t="s">
        <v>1205</v>
      </c>
      <c r="C1046" s="5" t="s">
        <v>3112</v>
      </c>
      <c r="D1046" s="2" t="s">
        <v>4629</v>
      </c>
      <c r="E1046" s="1" t="s">
        <v>298</v>
      </c>
      <c r="F1046" s="3">
        <v>89.709327697753906</v>
      </c>
      <c r="G1046" s="3"/>
      <c r="H1046" s="3"/>
      <c r="I1046" s="3"/>
      <c r="J1046" s="3"/>
      <c r="K1046" s="3"/>
      <c r="L1046" s="3">
        <v>83.372238159179702</v>
      </c>
      <c r="M1046" s="3"/>
      <c r="N1046" s="3">
        <v>66.040809631347699</v>
      </c>
      <c r="O1046" s="3"/>
      <c r="P1046" s="3"/>
      <c r="Q1046" s="3">
        <v>84.347236633300795</v>
      </c>
      <c r="R1046" s="3">
        <v>78.948051452636705</v>
      </c>
      <c r="S1046" s="3">
        <v>78.208549499511705</v>
      </c>
      <c r="T1046" s="3">
        <v>85.122238159179702</v>
      </c>
      <c r="U1046" s="3">
        <v>83.047492980957003</v>
      </c>
      <c r="V1046" s="3"/>
      <c r="W1046" s="3"/>
      <c r="X1046" s="3"/>
      <c r="Y1046" s="3">
        <v>78.9803466796875</v>
      </c>
      <c r="Z1046" s="3">
        <v>73.579391479492202</v>
      </c>
      <c r="AA1046" s="3">
        <v>66.300727844238295</v>
      </c>
      <c r="AB1046" s="3"/>
      <c r="AC1046" s="3"/>
      <c r="AD1046" s="3"/>
      <c r="AE1046" t="s">
        <v>6113</v>
      </c>
      <c r="AF1046" t="s">
        <v>502</v>
      </c>
    </row>
    <row r="1047" spans="1:32" x14ac:dyDescent="0.3">
      <c r="A1047" t="s">
        <v>1826</v>
      </c>
      <c r="B1047" s="1" t="s">
        <v>1205</v>
      </c>
      <c r="C1047" s="5" t="s">
        <v>3113</v>
      </c>
      <c r="D1047" s="2" t="s">
        <v>4630</v>
      </c>
      <c r="E1047" s="1" t="s">
        <v>667</v>
      </c>
      <c r="F1047" s="3">
        <v>88.914543151855497</v>
      </c>
      <c r="G1047" s="3"/>
      <c r="H1047" s="3"/>
      <c r="I1047" s="3"/>
      <c r="J1047" s="3"/>
      <c r="K1047" s="3"/>
      <c r="L1047" s="3">
        <v>78.592910766601605</v>
      </c>
      <c r="M1047" s="3"/>
      <c r="N1047" s="3">
        <v>66.055023193359403</v>
      </c>
      <c r="O1047" s="3"/>
      <c r="P1047" s="3"/>
      <c r="Q1047" s="3">
        <v>84.814720153808594</v>
      </c>
      <c r="R1047" s="3">
        <v>78.356742858886705</v>
      </c>
      <c r="S1047" s="3">
        <v>76.274223327636705</v>
      </c>
      <c r="T1047" s="3">
        <v>83.860671997070298</v>
      </c>
      <c r="U1047" s="3">
        <v>83.543876647949205</v>
      </c>
      <c r="V1047" s="3">
        <v>75.113700866699205</v>
      </c>
      <c r="W1047" s="3">
        <v>60.0106010437012</v>
      </c>
      <c r="X1047" s="3"/>
      <c r="Y1047" s="3">
        <v>79.725128173828097</v>
      </c>
      <c r="Z1047" s="3">
        <v>76.096397399902301</v>
      </c>
      <c r="AA1047" s="3">
        <v>68.037658691406193</v>
      </c>
      <c r="AB1047" s="3"/>
      <c r="AC1047" s="3"/>
      <c r="AD1047" s="3"/>
      <c r="AE1047" t="s">
        <v>6113</v>
      </c>
      <c r="AF1047" t="s">
        <v>1102</v>
      </c>
    </row>
    <row r="1048" spans="1:32" x14ac:dyDescent="0.3">
      <c r="A1048" t="s">
        <v>1826</v>
      </c>
      <c r="B1048" s="1" t="s">
        <v>1205</v>
      </c>
      <c r="C1048" s="5" t="s">
        <v>3114</v>
      </c>
      <c r="D1048" s="2" t="s">
        <v>4631</v>
      </c>
      <c r="E1048" s="1" t="s">
        <v>600</v>
      </c>
      <c r="F1048" s="3">
        <v>83.969703674316406</v>
      </c>
      <c r="G1048" s="3"/>
      <c r="H1048" s="3"/>
      <c r="I1048" s="3"/>
      <c r="J1048" s="3"/>
      <c r="K1048" s="3"/>
      <c r="L1048" s="3">
        <v>66.525482177734403</v>
      </c>
      <c r="M1048" s="3"/>
      <c r="N1048" s="3">
        <v>59.3737182617188</v>
      </c>
      <c r="O1048" s="3"/>
      <c r="P1048" s="3"/>
      <c r="Q1048" s="3">
        <v>79.376602172851605</v>
      </c>
      <c r="R1048" s="3">
        <v>71.333518981933594</v>
      </c>
      <c r="S1048" s="3">
        <v>69.356201171875</v>
      </c>
      <c r="T1048" s="3">
        <v>80.457588195800795</v>
      </c>
      <c r="U1048" s="3">
        <v>80.900779724121094</v>
      </c>
      <c r="V1048" s="3"/>
      <c r="W1048" s="3"/>
      <c r="X1048" s="3"/>
      <c r="Y1048" s="3">
        <v>78.502632141113295</v>
      </c>
      <c r="Z1048" s="3">
        <v>72.4674072265625</v>
      </c>
      <c r="AA1048" s="3">
        <v>68.091270446777301</v>
      </c>
      <c r="AB1048" s="3"/>
      <c r="AC1048" s="3"/>
      <c r="AD1048" s="3"/>
      <c r="AE1048" t="s">
        <v>6114</v>
      </c>
      <c r="AF1048" t="s">
        <v>1367</v>
      </c>
    </row>
    <row r="1049" spans="1:32" x14ac:dyDescent="0.3">
      <c r="A1049" t="s">
        <v>1826</v>
      </c>
      <c r="B1049" s="1" t="s">
        <v>1205</v>
      </c>
      <c r="C1049" s="5" t="s">
        <v>3115</v>
      </c>
      <c r="D1049" s="2" t="s">
        <v>4632</v>
      </c>
      <c r="E1049" s="1" t="s">
        <v>774</v>
      </c>
      <c r="F1049" s="3">
        <v>89.709327697753906</v>
      </c>
      <c r="G1049" s="3"/>
      <c r="H1049" s="3"/>
      <c r="I1049" s="3"/>
      <c r="J1049" s="3"/>
      <c r="K1049" s="3"/>
      <c r="L1049" s="3">
        <v>83.372238159179702</v>
      </c>
      <c r="M1049" s="3"/>
      <c r="N1049" s="3">
        <v>61.783390045166001</v>
      </c>
      <c r="O1049" s="3"/>
      <c r="P1049" s="3"/>
      <c r="Q1049" s="3">
        <v>84.347236633300795</v>
      </c>
      <c r="R1049" s="3">
        <v>74.577522277832003</v>
      </c>
      <c r="S1049" s="3">
        <v>78.208549499511705</v>
      </c>
      <c r="T1049" s="3">
        <v>84.767471313476605</v>
      </c>
      <c r="U1049" s="3">
        <v>82.893898010253906</v>
      </c>
      <c r="V1049" s="3"/>
      <c r="W1049" s="3"/>
      <c r="X1049" s="3"/>
      <c r="Y1049" s="3">
        <v>77.569160461425795</v>
      </c>
      <c r="Z1049" s="3">
        <v>67.934883117675795</v>
      </c>
      <c r="AA1049" s="3">
        <v>63.7966499328613</v>
      </c>
      <c r="AB1049" s="3"/>
      <c r="AC1049" s="3"/>
      <c r="AD1049" s="3"/>
      <c r="AE1049" t="s">
        <v>6114</v>
      </c>
      <c r="AF1049" t="s">
        <v>1367</v>
      </c>
    </row>
    <row r="1050" spans="1:32" x14ac:dyDescent="0.3">
      <c r="A1050" t="s">
        <v>1826</v>
      </c>
      <c r="B1050" s="1" t="s">
        <v>1205</v>
      </c>
      <c r="C1050" s="5" t="s">
        <v>3116</v>
      </c>
      <c r="D1050" s="2" t="s">
        <v>4633</v>
      </c>
      <c r="E1050" s="1" t="s">
        <v>726</v>
      </c>
      <c r="F1050" s="3">
        <v>87.314521789550795</v>
      </c>
      <c r="G1050" s="3"/>
      <c r="H1050" s="3"/>
      <c r="I1050" s="3"/>
      <c r="J1050" s="3"/>
      <c r="K1050" s="3"/>
      <c r="L1050" s="3">
        <v>75.540008544921903</v>
      </c>
      <c r="M1050" s="3"/>
      <c r="N1050" s="3">
        <v>60.773719787597699</v>
      </c>
      <c r="O1050" s="3"/>
      <c r="P1050" s="3"/>
      <c r="Q1050" s="3">
        <v>82.177810668945298</v>
      </c>
      <c r="R1050" s="3">
        <v>73.118751525878906</v>
      </c>
      <c r="S1050" s="3">
        <v>74.038833618164105</v>
      </c>
      <c r="T1050" s="3">
        <v>82.743278503417997</v>
      </c>
      <c r="U1050" s="3">
        <v>82.002540588378906</v>
      </c>
      <c r="V1050" s="3">
        <v>73.264007568359403</v>
      </c>
      <c r="W1050" s="3"/>
      <c r="X1050" s="3"/>
      <c r="Y1050" s="3">
        <v>78.027481079101605</v>
      </c>
      <c r="Z1050" s="3">
        <v>70.107673645019503</v>
      </c>
      <c r="AA1050" s="3">
        <v>65.835021972656193</v>
      </c>
      <c r="AB1050" s="3"/>
      <c r="AC1050" s="3"/>
      <c r="AD1050" s="3"/>
      <c r="AE1050" t="s">
        <v>6114</v>
      </c>
      <c r="AF1050" t="s">
        <v>1356</v>
      </c>
    </row>
    <row r="1051" spans="1:32" x14ac:dyDescent="0.3">
      <c r="A1051" t="s">
        <v>1826</v>
      </c>
      <c r="B1051" s="1" t="s">
        <v>1205</v>
      </c>
      <c r="C1051" s="5" t="s">
        <v>3117</v>
      </c>
      <c r="D1051" s="2" t="s">
        <v>4634</v>
      </c>
      <c r="E1051" s="1" t="s">
        <v>1440</v>
      </c>
      <c r="F1051" s="3">
        <v>389722259.5</v>
      </c>
      <c r="G1051" s="3">
        <v>379542144.80000001</v>
      </c>
      <c r="H1051" s="3">
        <v>573897827.10000002</v>
      </c>
      <c r="I1051" s="3">
        <v>627857543.89999998</v>
      </c>
      <c r="J1051" s="3">
        <v>591410156.29999995</v>
      </c>
      <c r="K1051" s="3">
        <v>597208166.44352806</v>
      </c>
      <c r="L1051" s="3">
        <v>661035721.72458506</v>
      </c>
      <c r="M1051" s="3">
        <v>699271670.75783098</v>
      </c>
      <c r="N1051" s="3">
        <v>758687592.01742399</v>
      </c>
      <c r="O1051" s="3">
        <v>746399976.28533697</v>
      </c>
      <c r="P1051" s="3">
        <v>726293253.78063905</v>
      </c>
      <c r="Q1051" s="3">
        <v>728565816.81143296</v>
      </c>
      <c r="R1051" s="3">
        <v>694444945.50946605</v>
      </c>
      <c r="S1051" s="3">
        <v>736281654.17967498</v>
      </c>
      <c r="T1051" s="3">
        <v>746866785.94346201</v>
      </c>
      <c r="U1051" s="3">
        <v>649769213.48281503</v>
      </c>
      <c r="V1051" s="3">
        <v>715984964.05552495</v>
      </c>
      <c r="W1051" s="3">
        <v>847275830.94349301</v>
      </c>
      <c r="X1051" s="3">
        <v>919027300.72683096</v>
      </c>
      <c r="Y1051" s="3">
        <v>908280381.780388</v>
      </c>
      <c r="Z1051" s="3">
        <v>935869792.93559098</v>
      </c>
      <c r="AA1051" s="3">
        <v>1011590171.34568</v>
      </c>
      <c r="AB1051" s="3">
        <v>1428226344.25477</v>
      </c>
      <c r="AC1051" s="3"/>
      <c r="AD1051" s="3"/>
      <c r="AE1051" t="s">
        <v>6115</v>
      </c>
      <c r="AF1051" t="s">
        <v>370</v>
      </c>
    </row>
    <row r="1052" spans="1:32" x14ac:dyDescent="0.3">
      <c r="A1052" t="s">
        <v>1826</v>
      </c>
      <c r="B1052" s="1" t="s">
        <v>1205</v>
      </c>
      <c r="C1052" s="5" t="s">
        <v>3118</v>
      </c>
      <c r="D1052" s="2" t="s">
        <v>4635</v>
      </c>
      <c r="E1052" s="1" t="s">
        <v>2006</v>
      </c>
      <c r="F1052" s="3">
        <v>0.71975227182888968</v>
      </c>
      <c r="G1052" s="3">
        <v>0.69007207501739698</v>
      </c>
      <c r="H1052" s="3">
        <v>0.66517044844910056</v>
      </c>
      <c r="I1052" s="3">
        <v>0.66631440459767355</v>
      </c>
      <c r="J1052" s="3">
        <v>0.67713446857942883</v>
      </c>
      <c r="K1052" s="3">
        <v>0.67911681823703873</v>
      </c>
      <c r="L1052" s="3">
        <v>0.66020788236821415</v>
      </c>
      <c r="M1052" s="3">
        <v>0.64303282216151725</v>
      </c>
      <c r="N1052" s="3">
        <v>0.58606723949939032</v>
      </c>
      <c r="O1052" s="3">
        <v>0.93353813377286943</v>
      </c>
      <c r="P1052" s="3">
        <v>1.0700671617580797</v>
      </c>
      <c r="Q1052" s="3">
        <v>1.0822654084357686</v>
      </c>
      <c r="R1052" s="3">
        <v>1.0111925082314916</v>
      </c>
      <c r="S1052" s="3">
        <v>0.89985153697577114</v>
      </c>
      <c r="T1052" s="3">
        <v>0.79277328953960036</v>
      </c>
      <c r="U1052" s="3">
        <v>0.73421810317289704</v>
      </c>
      <c r="V1052" s="3">
        <v>0.70739702428214679</v>
      </c>
      <c r="W1052" s="3">
        <v>0.58585297188700047</v>
      </c>
      <c r="X1052" s="3">
        <v>0.56738323891907261</v>
      </c>
      <c r="Y1052" s="3">
        <v>0.54368114313675431</v>
      </c>
      <c r="Z1052" s="3">
        <v>0.52222568530187341</v>
      </c>
      <c r="AA1052" s="3">
        <v>0.60470687808530788</v>
      </c>
      <c r="AB1052" s="3">
        <v>1.4691031360164932</v>
      </c>
      <c r="AC1052" s="3">
        <v>1.3086597334202719</v>
      </c>
      <c r="AD1052" s="3"/>
      <c r="AE1052" t="s">
        <v>6116</v>
      </c>
      <c r="AF1052" t="s">
        <v>968</v>
      </c>
    </row>
    <row r="1053" spans="1:32" x14ac:dyDescent="0.3">
      <c r="A1053" t="s">
        <v>1826</v>
      </c>
      <c r="B1053" s="1" t="s">
        <v>1205</v>
      </c>
      <c r="C1053" s="5" t="s">
        <v>3119</v>
      </c>
      <c r="D1053" s="2" t="s">
        <v>4636</v>
      </c>
      <c r="E1053" s="1" t="s">
        <v>439</v>
      </c>
      <c r="F1053" s="3">
        <v>119317176.8</v>
      </c>
      <c r="G1053" s="3">
        <v>116004821.8</v>
      </c>
      <c r="H1053" s="3">
        <v>120092422.5</v>
      </c>
      <c r="I1053" s="3">
        <v>141603500.40000001</v>
      </c>
      <c r="J1053" s="3">
        <v>159198211.69999999</v>
      </c>
      <c r="K1053" s="3">
        <v>163238757.49922401</v>
      </c>
      <c r="L1053" s="3">
        <v>166909883.13885999</v>
      </c>
      <c r="M1053" s="3">
        <v>184936824.51327601</v>
      </c>
      <c r="N1053" s="3">
        <v>199721402.156654</v>
      </c>
      <c r="O1053" s="3">
        <v>316346324.01104802</v>
      </c>
      <c r="P1053" s="3">
        <v>373841959.22532201</v>
      </c>
      <c r="Q1053" s="3">
        <v>397123339.07498598</v>
      </c>
      <c r="R1053" s="3">
        <v>367086167.01073998</v>
      </c>
      <c r="S1053" s="3">
        <v>384778636.22271597</v>
      </c>
      <c r="T1053" s="3">
        <v>387214302.31381297</v>
      </c>
      <c r="U1053" s="3">
        <v>336382061.92234302</v>
      </c>
      <c r="V1053" s="3">
        <v>342435061.09610403</v>
      </c>
      <c r="W1053" s="3">
        <v>307645127.91213298</v>
      </c>
      <c r="X1053" s="3">
        <v>332046729.96180999</v>
      </c>
      <c r="Y1053" s="3">
        <v>328290412.14964598</v>
      </c>
      <c r="Z1053" s="3">
        <v>329147636.24416298</v>
      </c>
      <c r="AA1053" s="3">
        <v>440194174.69633698</v>
      </c>
      <c r="AB1053" s="3">
        <v>1041929443.64097</v>
      </c>
      <c r="AC1053" s="3">
        <v>1041929443.64097</v>
      </c>
      <c r="AD1053" s="3"/>
      <c r="AE1053" t="s">
        <v>6115</v>
      </c>
      <c r="AF1053" t="s">
        <v>151</v>
      </c>
    </row>
    <row r="1054" spans="1:32" x14ac:dyDescent="0.3">
      <c r="A1054" t="s">
        <v>1826</v>
      </c>
      <c r="B1054" s="1" t="s">
        <v>1205</v>
      </c>
      <c r="C1054" s="5" t="s">
        <v>3120</v>
      </c>
      <c r="D1054" s="2" t="s">
        <v>4637</v>
      </c>
      <c r="E1054" s="1" t="s">
        <v>1128</v>
      </c>
      <c r="F1054" s="3"/>
      <c r="G1054" s="3"/>
      <c r="H1054" s="3"/>
      <c r="I1054" s="3"/>
      <c r="J1054" s="3"/>
      <c r="K1054" s="3">
        <v>1889016.9802045701</v>
      </c>
      <c r="L1054" s="3">
        <v>2113219.4658742398</v>
      </c>
      <c r="M1054" s="3">
        <v>2365065.3021343802</v>
      </c>
      <c r="N1054" s="3">
        <v>2556471.9449646599</v>
      </c>
      <c r="O1054" s="3">
        <v>128188130.160136</v>
      </c>
      <c r="P1054" s="3">
        <v>191781696.82200399</v>
      </c>
      <c r="Q1054" s="3">
        <v>204628454.46904001</v>
      </c>
      <c r="R1054" s="3">
        <v>187178548.285763</v>
      </c>
      <c r="S1054" s="3">
        <v>196200001.55831701</v>
      </c>
      <c r="T1054" s="3">
        <v>197826734.08548</v>
      </c>
      <c r="U1054" s="3">
        <v>168984004.10699999</v>
      </c>
      <c r="V1054" s="3">
        <v>172073968.602467</v>
      </c>
      <c r="W1054" s="3">
        <v>180066554.077281</v>
      </c>
      <c r="X1054" s="3">
        <v>193743297.797474</v>
      </c>
      <c r="Y1054" s="3">
        <v>196275539.13993099</v>
      </c>
      <c r="Z1054" s="3">
        <v>191804524.66665301</v>
      </c>
      <c r="AA1054" s="3">
        <v>297069950.17032301</v>
      </c>
      <c r="AB1054" s="3">
        <v>910315553.79128301</v>
      </c>
      <c r="AC1054" s="3"/>
      <c r="AD1054" s="3"/>
      <c r="AE1054" t="s">
        <v>6117</v>
      </c>
      <c r="AF1054" t="s">
        <v>613</v>
      </c>
    </row>
    <row r="1055" spans="1:32" x14ac:dyDescent="0.3">
      <c r="A1055" t="s">
        <v>1826</v>
      </c>
      <c r="B1055" s="1" t="s">
        <v>1205</v>
      </c>
      <c r="C1055" s="5" t="s">
        <v>3121</v>
      </c>
      <c r="D1055" s="2" t="s">
        <v>4638</v>
      </c>
      <c r="E1055" s="1" t="s">
        <v>946</v>
      </c>
      <c r="F1055" s="3"/>
      <c r="G1055" s="3"/>
      <c r="H1055" s="3"/>
      <c r="I1055" s="3"/>
      <c r="J1055" s="3">
        <v>0.112</v>
      </c>
      <c r="K1055" s="3">
        <v>0.09</v>
      </c>
      <c r="L1055" s="3"/>
      <c r="M1055" s="3"/>
      <c r="N1055" s="3">
        <v>0.13600000000000001</v>
      </c>
      <c r="O1055" s="3"/>
      <c r="P1055" s="3"/>
      <c r="Q1055" s="3">
        <v>0.14899999999999999</v>
      </c>
      <c r="R1055" s="3"/>
      <c r="S1055" s="3"/>
      <c r="T1055" s="3">
        <v>0.22800000000000001</v>
      </c>
      <c r="U1055" s="3"/>
      <c r="V1055" s="3"/>
      <c r="W1055" s="3"/>
      <c r="X1055" s="3">
        <v>0.22</v>
      </c>
      <c r="Y1055" s="3">
        <v>0.16</v>
      </c>
      <c r="Z1055" s="3">
        <v>0.16500000000000001</v>
      </c>
      <c r="AA1055" s="3">
        <v>0.18</v>
      </c>
      <c r="AB1055" s="3">
        <v>0.17499999999999999</v>
      </c>
      <c r="AC1055" s="3"/>
      <c r="AD1055" s="3"/>
      <c r="AE1055" t="s">
        <v>6118</v>
      </c>
      <c r="AF1055" t="s">
        <v>643</v>
      </c>
    </row>
    <row r="1056" spans="1:32" x14ac:dyDescent="0.3">
      <c r="A1056" t="s">
        <v>1826</v>
      </c>
      <c r="B1056" s="1" t="s">
        <v>1205</v>
      </c>
      <c r="C1056" s="5" t="s">
        <v>3122</v>
      </c>
      <c r="D1056" s="2" t="s">
        <v>4639</v>
      </c>
      <c r="E1056" s="1" t="s">
        <v>849</v>
      </c>
      <c r="F1056" s="3"/>
      <c r="G1056" s="3"/>
      <c r="H1056" s="3"/>
      <c r="I1056" s="3"/>
      <c r="J1056" s="3"/>
      <c r="K1056" s="3"/>
      <c r="L1056" s="3"/>
      <c r="M1056" s="3"/>
      <c r="N1056" s="3"/>
      <c r="O1056" s="3"/>
      <c r="P1056" s="3"/>
      <c r="Q1056" s="3"/>
      <c r="R1056" s="3"/>
      <c r="S1056" s="3"/>
      <c r="T1056" s="3"/>
      <c r="U1056" s="3"/>
      <c r="V1056" s="3"/>
      <c r="W1056" s="3"/>
      <c r="X1056" s="3">
        <v>118</v>
      </c>
      <c r="Y1056" s="3"/>
      <c r="Z1056" s="3"/>
      <c r="AA1056" s="3"/>
      <c r="AB1056" s="3"/>
      <c r="AC1056" s="3"/>
      <c r="AD1056" s="3"/>
      <c r="AE1056" t="s">
        <v>6119</v>
      </c>
      <c r="AF1056" t="s">
        <v>288</v>
      </c>
    </row>
    <row r="1057" spans="1:32" x14ac:dyDescent="0.3">
      <c r="A1057" t="s">
        <v>1826</v>
      </c>
      <c r="B1057" s="1" t="s">
        <v>1205</v>
      </c>
      <c r="C1057" s="5" t="s">
        <v>3123</v>
      </c>
      <c r="D1057" s="2" t="s">
        <v>4640</v>
      </c>
      <c r="E1057" s="1" t="s">
        <v>598</v>
      </c>
      <c r="F1057" s="3">
        <v>52.791292381315401</v>
      </c>
      <c r="G1057" s="3">
        <v>52.449201617903398</v>
      </c>
      <c r="H1057" s="3">
        <v>51.5663707184153</v>
      </c>
      <c r="I1057" s="3">
        <v>50.357961768973198</v>
      </c>
      <c r="J1057" s="3">
        <v>49.039136855699198</v>
      </c>
      <c r="K1057" s="3">
        <v>47.8250580647154</v>
      </c>
      <c r="L1057" s="3">
        <v>46.479584484588102</v>
      </c>
      <c r="M1057" s="3">
        <v>44.847428960879398</v>
      </c>
      <c r="N1057" s="3">
        <v>43.2650342152048</v>
      </c>
      <c r="O1057" s="3">
        <v>42.068842969179499</v>
      </c>
      <c r="P1057" s="3">
        <v>41.595297944419002</v>
      </c>
      <c r="Q1057" s="3">
        <v>49.549702068130401</v>
      </c>
      <c r="R1057" s="3">
        <v>51.355889030092001</v>
      </c>
      <c r="S1057" s="3">
        <v>40.065956369502203</v>
      </c>
      <c r="T1057" s="3">
        <v>38.932334913390399</v>
      </c>
      <c r="U1057" s="3">
        <v>61.954609777616</v>
      </c>
      <c r="V1057" s="3">
        <v>55.653985534101899</v>
      </c>
      <c r="W1057" s="3">
        <v>50.665442169596197</v>
      </c>
      <c r="X1057" s="3">
        <v>50.895806100487597</v>
      </c>
      <c r="Y1057" s="3">
        <v>44.332426668848598</v>
      </c>
      <c r="Z1057" s="3">
        <v>49.4977827339493</v>
      </c>
      <c r="AA1057" s="3"/>
      <c r="AB1057" s="3"/>
      <c r="AC1057" s="3"/>
      <c r="AD1057" s="3"/>
      <c r="AE1057" t="s">
        <v>6120</v>
      </c>
      <c r="AF1057" t="s">
        <v>1607</v>
      </c>
    </row>
    <row r="1058" spans="1:32" ht="28.8" x14ac:dyDescent="0.3">
      <c r="A1058" t="s">
        <v>1826</v>
      </c>
      <c r="B1058" s="1" t="s">
        <v>1205</v>
      </c>
      <c r="C1058" s="5" t="s">
        <v>3124</v>
      </c>
      <c r="D1058" s="2" t="s">
        <v>4641</v>
      </c>
      <c r="E1058" s="1" t="s">
        <v>513</v>
      </c>
      <c r="F1058" s="3">
        <v>100</v>
      </c>
      <c r="G1058" s="3"/>
      <c r="H1058" s="3"/>
      <c r="I1058" s="3"/>
      <c r="J1058" s="3"/>
      <c r="K1058" s="3">
        <v>100</v>
      </c>
      <c r="L1058" s="3"/>
      <c r="M1058" s="3"/>
      <c r="N1058" s="3"/>
      <c r="O1058" s="3"/>
      <c r="P1058" s="3">
        <v>100</v>
      </c>
      <c r="Q1058" s="3">
        <v>100</v>
      </c>
      <c r="R1058" s="3">
        <v>100</v>
      </c>
      <c r="S1058" s="3">
        <v>100</v>
      </c>
      <c r="T1058" s="3">
        <v>100</v>
      </c>
      <c r="U1058" s="3">
        <v>100</v>
      </c>
      <c r="V1058" s="3">
        <v>100</v>
      </c>
      <c r="W1058" s="3">
        <v>100</v>
      </c>
      <c r="X1058" s="3"/>
      <c r="Y1058" s="3"/>
      <c r="Z1058" s="3"/>
      <c r="AA1058" s="3"/>
      <c r="AB1058" s="3"/>
      <c r="AC1058" s="3"/>
      <c r="AD1058" s="3"/>
      <c r="AE1058" t="s">
        <v>6121</v>
      </c>
      <c r="AF1058" t="s">
        <v>1783</v>
      </c>
    </row>
    <row r="1059" spans="1:32" ht="28.8" x14ac:dyDescent="0.3">
      <c r="A1059" t="s">
        <v>1826</v>
      </c>
      <c r="B1059" s="1" t="s">
        <v>1205</v>
      </c>
      <c r="C1059" s="5" t="s">
        <v>3125</v>
      </c>
      <c r="D1059" s="2" t="s">
        <v>4642</v>
      </c>
      <c r="E1059" s="1" t="s">
        <v>1985</v>
      </c>
      <c r="F1059" s="3">
        <v>2.8455357494995499</v>
      </c>
      <c r="G1059" s="3"/>
      <c r="H1059" s="3"/>
      <c r="I1059" s="3"/>
      <c r="J1059" s="3"/>
      <c r="K1059" s="3">
        <v>4.3381069799175304E-3</v>
      </c>
      <c r="L1059" s="3"/>
      <c r="M1059" s="3"/>
      <c r="N1059" s="3"/>
      <c r="O1059" s="3"/>
      <c r="P1059" s="3">
        <v>3.3723149842735602E-3</v>
      </c>
      <c r="Q1059" s="3">
        <v>3.34505294915536E-3</v>
      </c>
      <c r="R1059" s="3">
        <v>3.3176668120858698E-3</v>
      </c>
      <c r="S1059" s="3">
        <v>8.9276856484189803E-4</v>
      </c>
      <c r="T1059" s="3">
        <v>3.2458724255611899E-3</v>
      </c>
      <c r="U1059" s="3">
        <v>3.3300413212189399</v>
      </c>
      <c r="V1059" s="3">
        <v>2.6419802264929899</v>
      </c>
      <c r="W1059" s="3">
        <v>2.7663262140098399</v>
      </c>
      <c r="X1059" s="3"/>
      <c r="Y1059" s="3"/>
      <c r="Z1059" s="3"/>
      <c r="AA1059" s="3"/>
      <c r="AB1059" s="3"/>
      <c r="AC1059" s="3"/>
      <c r="AD1059" s="3"/>
      <c r="AE1059" t="s">
        <v>6122</v>
      </c>
      <c r="AF1059" t="s">
        <v>1565</v>
      </c>
    </row>
    <row r="1060" spans="1:32" ht="28.8" x14ac:dyDescent="0.3">
      <c r="A1060" t="s">
        <v>1826</v>
      </c>
      <c r="B1060" s="1" t="s">
        <v>1205</v>
      </c>
      <c r="C1060" s="5" t="s">
        <v>3126</v>
      </c>
      <c r="D1060" s="2" t="s">
        <v>4643</v>
      </c>
      <c r="E1060" s="1" t="s">
        <v>679</v>
      </c>
      <c r="F1060" s="3">
        <v>37.397525908819098</v>
      </c>
      <c r="G1060" s="3"/>
      <c r="H1060" s="3"/>
      <c r="I1060" s="3"/>
      <c r="J1060" s="3"/>
      <c r="K1060" s="3">
        <v>13.81206659319</v>
      </c>
      <c r="L1060" s="3"/>
      <c r="M1060" s="3"/>
      <c r="N1060" s="3"/>
      <c r="O1060" s="3"/>
      <c r="P1060" s="3">
        <v>19.294435820143502</v>
      </c>
      <c r="Q1060" s="3">
        <v>24.012411859713499</v>
      </c>
      <c r="R1060" s="3">
        <v>23.811694328521</v>
      </c>
      <c r="S1060" s="3">
        <v>10.9490874546926</v>
      </c>
      <c r="T1060" s="3">
        <v>11.8553860903789</v>
      </c>
      <c r="U1060" s="3">
        <v>72.489131821369895</v>
      </c>
      <c r="V1060" s="3">
        <v>68.001766743241504</v>
      </c>
      <c r="W1060" s="3">
        <v>68.568592601686007</v>
      </c>
      <c r="X1060" s="3"/>
      <c r="Y1060" s="3"/>
      <c r="Z1060" s="3"/>
      <c r="AA1060" s="3"/>
      <c r="AB1060" s="3"/>
      <c r="AC1060" s="3"/>
      <c r="AD1060" s="3"/>
      <c r="AE1060" t="s">
        <v>6123</v>
      </c>
      <c r="AF1060" t="s">
        <v>1179</v>
      </c>
    </row>
    <row r="1061" spans="1:32" ht="28.8" x14ac:dyDescent="0.3">
      <c r="A1061" t="s">
        <v>1826</v>
      </c>
      <c r="B1061" s="1" t="s">
        <v>1205</v>
      </c>
      <c r="C1061" s="5" t="s">
        <v>3127</v>
      </c>
      <c r="D1061" s="2" t="s">
        <v>4644</v>
      </c>
      <c r="E1061" s="1" t="s">
        <v>1468</v>
      </c>
      <c r="F1061" s="3">
        <v>100</v>
      </c>
      <c r="G1061" s="3"/>
      <c r="H1061" s="3"/>
      <c r="I1061" s="3"/>
      <c r="J1061" s="3"/>
      <c r="K1061" s="3">
        <v>99.157003599875907</v>
      </c>
      <c r="L1061" s="3"/>
      <c r="M1061" s="3"/>
      <c r="N1061" s="3"/>
      <c r="O1061" s="3"/>
      <c r="P1061" s="3">
        <v>98.482479322690196</v>
      </c>
      <c r="Q1061" s="3">
        <v>99.971893517255495</v>
      </c>
      <c r="R1061" s="3">
        <v>99.9748065595616</v>
      </c>
      <c r="S1061" s="3">
        <v>98.468866350998695</v>
      </c>
      <c r="T1061" s="3">
        <v>99.045811115734296</v>
      </c>
      <c r="U1061" s="3">
        <v>100</v>
      </c>
      <c r="V1061" s="3">
        <v>100</v>
      </c>
      <c r="W1061" s="3">
        <v>100</v>
      </c>
      <c r="X1061" s="3"/>
      <c r="Y1061" s="3"/>
      <c r="Z1061" s="3"/>
      <c r="AA1061" s="3"/>
      <c r="AB1061" s="3"/>
      <c r="AC1061" s="3"/>
      <c r="AD1061" s="3"/>
      <c r="AE1061" t="s">
        <v>6124</v>
      </c>
      <c r="AF1061" t="s">
        <v>1783</v>
      </c>
    </row>
    <row r="1062" spans="1:32" x14ac:dyDescent="0.3">
      <c r="A1062" t="s">
        <v>1826</v>
      </c>
      <c r="B1062" s="1" t="s">
        <v>1205</v>
      </c>
      <c r="C1062" s="5" t="s">
        <v>3128</v>
      </c>
      <c r="D1062" s="2" t="s">
        <v>4645</v>
      </c>
      <c r="E1062" s="1" t="s">
        <v>1844</v>
      </c>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t="s">
        <v>6125</v>
      </c>
      <c r="AF1062" t="s">
        <v>2049</v>
      </c>
    </row>
    <row r="1063" spans="1:32" x14ac:dyDescent="0.3">
      <c r="A1063" t="s">
        <v>1826</v>
      </c>
      <c r="B1063" s="1" t="s">
        <v>1205</v>
      </c>
      <c r="C1063" s="5" t="s">
        <v>3129</v>
      </c>
      <c r="D1063" s="2" t="s">
        <v>4646</v>
      </c>
      <c r="E1063" s="1" t="s">
        <v>563</v>
      </c>
      <c r="F1063" s="3">
        <v>-113288000</v>
      </c>
      <c r="G1063" s="3">
        <v>-110000000</v>
      </c>
      <c r="H1063" s="3">
        <v>-113561000</v>
      </c>
      <c r="I1063" s="3">
        <v>-115000000</v>
      </c>
      <c r="J1063" s="3">
        <v>-134000000</v>
      </c>
      <c r="K1063" s="3">
        <v>-109319000</v>
      </c>
      <c r="L1063" s="3">
        <v>-118393000</v>
      </c>
      <c r="M1063" s="3">
        <v>-166696000</v>
      </c>
      <c r="N1063" s="3">
        <v>79000000</v>
      </c>
      <c r="O1063" s="3">
        <v>155000000</v>
      </c>
      <c r="P1063" s="3">
        <v>169600000</v>
      </c>
      <c r="Q1063" s="3">
        <v>182400000</v>
      </c>
      <c r="R1063" s="3">
        <v>576936000</v>
      </c>
      <c r="S1063" s="3">
        <v>-400584000</v>
      </c>
      <c r="T1063" s="3">
        <v>-350780000</v>
      </c>
      <c r="U1063" s="3">
        <v>-323075000</v>
      </c>
      <c r="V1063" s="3">
        <v>-29182000</v>
      </c>
      <c r="W1063" s="3">
        <v>-170641000</v>
      </c>
      <c r="X1063" s="3">
        <v>-213821000</v>
      </c>
      <c r="Y1063" s="3">
        <v>270565000</v>
      </c>
      <c r="Z1063" s="3">
        <v>-339509000</v>
      </c>
      <c r="AA1063" s="3">
        <v>-200427000</v>
      </c>
      <c r="AB1063" s="3">
        <v>-196642000</v>
      </c>
      <c r="AC1063" s="3">
        <v>-142144000</v>
      </c>
      <c r="AD1063" s="3"/>
      <c r="AE1063" t="s">
        <v>6126</v>
      </c>
      <c r="AF1063" t="s">
        <v>2049</v>
      </c>
    </row>
    <row r="1064" spans="1:32" x14ac:dyDescent="0.3">
      <c r="A1064" t="s">
        <v>1826</v>
      </c>
      <c r="B1064" s="1" t="s">
        <v>1205</v>
      </c>
      <c r="C1064" s="5" t="s">
        <v>3130</v>
      </c>
      <c r="D1064" s="2" t="s">
        <v>4647</v>
      </c>
      <c r="E1064" s="1" t="s">
        <v>1507</v>
      </c>
      <c r="F1064" s="3">
        <v>-1.2408040761947601</v>
      </c>
      <c r="G1064" s="3"/>
      <c r="H1064" s="3">
        <v>-1.91973388195038</v>
      </c>
      <c r="I1064" s="3">
        <v>-1.80326271057129</v>
      </c>
      <c r="J1064" s="3">
        <v>-2.1149210929870601</v>
      </c>
      <c r="K1064" s="3">
        <v>-2.2595288753509499</v>
      </c>
      <c r="L1064" s="3">
        <v>-1.8618683815002399</v>
      </c>
      <c r="M1064" s="3">
        <v>-1.83957278728485</v>
      </c>
      <c r="N1064" s="3">
        <v>-1.8040673732757599</v>
      </c>
      <c r="O1064" s="3">
        <v>-1.32086253166199</v>
      </c>
      <c r="P1064" s="3">
        <v>-1.5838942527771001</v>
      </c>
      <c r="Q1064" s="3">
        <v>-1.4058076143264799</v>
      </c>
      <c r="R1064" s="3">
        <v>-1.26346111297607</v>
      </c>
      <c r="S1064" s="3">
        <v>-1.0487241744995099</v>
      </c>
      <c r="T1064" s="3">
        <v>-1.0371606349945099</v>
      </c>
      <c r="U1064" s="3">
        <v>-0.83507806062698398</v>
      </c>
      <c r="V1064" s="3">
        <v>-0.90923881530761697</v>
      </c>
      <c r="W1064" s="3">
        <v>-1.0911163091659499</v>
      </c>
      <c r="X1064" s="3">
        <v>-0.89799964427947998</v>
      </c>
      <c r="Y1064" s="3">
        <v>-1.0364967584610001</v>
      </c>
      <c r="Z1064" s="3">
        <v>-1.03321969509125</v>
      </c>
      <c r="AA1064" s="3">
        <v>-0.715015649795532</v>
      </c>
      <c r="AB1064" s="3">
        <v>-0.587266504764557</v>
      </c>
      <c r="AC1064" s="3">
        <v>-0.63178819417953502</v>
      </c>
      <c r="AD1064" s="3"/>
      <c r="AE1064" t="s">
        <v>6127</v>
      </c>
    </row>
    <row r="1065" spans="1:32" x14ac:dyDescent="0.3">
      <c r="A1065" t="s">
        <v>1826</v>
      </c>
      <c r="B1065" s="1" t="s">
        <v>1205</v>
      </c>
      <c r="C1065" s="5" t="s">
        <v>3131</v>
      </c>
      <c r="D1065" s="2" t="s">
        <v>4648</v>
      </c>
      <c r="E1065" s="1" t="s">
        <v>1937</v>
      </c>
      <c r="F1065" s="3">
        <v>4</v>
      </c>
      <c r="G1065" s="3"/>
      <c r="H1065" s="3">
        <v>4</v>
      </c>
      <c r="I1065" s="3">
        <v>4</v>
      </c>
      <c r="J1065" s="3">
        <v>5</v>
      </c>
      <c r="K1065" s="3">
        <v>5</v>
      </c>
      <c r="L1065" s="3">
        <v>6</v>
      </c>
      <c r="M1065" s="3">
        <v>6</v>
      </c>
      <c r="N1065" s="3">
        <v>7</v>
      </c>
      <c r="O1065" s="3">
        <v>7</v>
      </c>
      <c r="P1065" s="3">
        <v>7</v>
      </c>
      <c r="Q1065" s="3">
        <v>7</v>
      </c>
      <c r="R1065" s="3">
        <v>8</v>
      </c>
      <c r="S1065" s="3">
        <v>8</v>
      </c>
      <c r="T1065" s="3">
        <v>8</v>
      </c>
      <c r="U1065" s="3">
        <v>8</v>
      </c>
      <c r="V1065" s="3">
        <v>8</v>
      </c>
      <c r="W1065" s="3">
        <v>7</v>
      </c>
      <c r="X1065" s="3">
        <v>7</v>
      </c>
      <c r="Y1065" s="3">
        <v>7</v>
      </c>
      <c r="Z1065" s="3">
        <v>6</v>
      </c>
      <c r="AA1065" s="3">
        <v>6</v>
      </c>
      <c r="AB1065" s="3">
        <v>6</v>
      </c>
      <c r="AC1065" s="3">
        <v>7</v>
      </c>
      <c r="AD1065" s="3"/>
      <c r="AE1065" t="s">
        <v>6128</v>
      </c>
      <c r="AF1065" t="s">
        <v>751</v>
      </c>
    </row>
    <row r="1066" spans="1:32" x14ac:dyDescent="0.3">
      <c r="A1066" t="s">
        <v>1826</v>
      </c>
      <c r="B1066" s="1" t="s">
        <v>1205</v>
      </c>
      <c r="C1066" s="5" t="s">
        <v>3132</v>
      </c>
      <c r="D1066" s="2" t="s">
        <v>4649</v>
      </c>
      <c r="E1066" s="1" t="s">
        <v>1219</v>
      </c>
      <c r="F1066" s="3">
        <v>13.2275133132935</v>
      </c>
      <c r="G1066" s="3"/>
      <c r="H1066" s="3">
        <v>3.1746032238006601</v>
      </c>
      <c r="I1066" s="3">
        <v>5.02512550354004</v>
      </c>
      <c r="J1066" s="3">
        <v>3.3980581760406499</v>
      </c>
      <c r="K1066" s="3">
        <v>0.97087377309799205</v>
      </c>
      <c r="L1066" s="3">
        <v>4.8309178352356001</v>
      </c>
      <c r="M1066" s="3">
        <v>6.2801933288574201</v>
      </c>
      <c r="N1066" s="3">
        <v>7.2115383148193404</v>
      </c>
      <c r="O1066" s="3">
        <v>11.374407768249499</v>
      </c>
      <c r="P1066" s="3">
        <v>8.0568723678588903</v>
      </c>
      <c r="Q1066" s="3">
        <v>8.5308055877685494</v>
      </c>
      <c r="R1066" s="3">
        <v>11.848340988159199</v>
      </c>
      <c r="S1066" s="3">
        <v>17.061611175537099</v>
      </c>
      <c r="T1066" s="3">
        <v>13.3333330154419</v>
      </c>
      <c r="U1066" s="3">
        <v>20</v>
      </c>
      <c r="V1066" s="3">
        <v>15.714285850524901</v>
      </c>
      <c r="W1066" s="3">
        <v>12.8571424484253</v>
      </c>
      <c r="X1066" s="3">
        <v>15.566038131713899</v>
      </c>
      <c r="Y1066" s="3">
        <v>13.6792449951172</v>
      </c>
      <c r="Z1066" s="3">
        <v>13.6792449951172</v>
      </c>
      <c r="AA1066" s="3">
        <v>20.754716873168899</v>
      </c>
      <c r="AB1066" s="3">
        <v>25</v>
      </c>
      <c r="AC1066" s="3">
        <v>21.800947189331101</v>
      </c>
      <c r="AD1066" s="3"/>
      <c r="AE1066" t="s">
        <v>6129</v>
      </c>
    </row>
    <row r="1067" spans="1:32" ht="28.8" x14ac:dyDescent="0.3">
      <c r="A1067" t="s">
        <v>1826</v>
      </c>
      <c r="B1067" s="1" t="s">
        <v>1205</v>
      </c>
      <c r="C1067" s="5" t="s">
        <v>3133</v>
      </c>
      <c r="D1067" s="2" t="s">
        <v>4650</v>
      </c>
      <c r="E1067" s="1" t="s">
        <v>616</v>
      </c>
      <c r="F1067" s="3">
        <v>5.2910051345825204</v>
      </c>
      <c r="G1067" s="3"/>
      <c r="H1067" s="3">
        <v>0</v>
      </c>
      <c r="I1067" s="3">
        <v>1.0050251483917201</v>
      </c>
      <c r="J1067" s="3">
        <v>0.48543688654899603</v>
      </c>
      <c r="K1067" s="3">
        <v>0</v>
      </c>
      <c r="L1067" s="3">
        <v>0.483091801404953</v>
      </c>
      <c r="M1067" s="3">
        <v>2.4154589176178001</v>
      </c>
      <c r="N1067" s="3">
        <v>1.9230768680572501</v>
      </c>
      <c r="O1067" s="3">
        <v>6.1611375808715803</v>
      </c>
      <c r="P1067" s="3">
        <v>3.7914690971374498</v>
      </c>
      <c r="Q1067" s="3">
        <v>4.7393364906311</v>
      </c>
      <c r="R1067" s="3">
        <v>6.1611375808715803</v>
      </c>
      <c r="S1067" s="3">
        <v>7.5829381942748997</v>
      </c>
      <c r="T1067" s="3">
        <v>8.0952377319335902</v>
      </c>
      <c r="U1067" s="3">
        <v>10.4761905670166</v>
      </c>
      <c r="V1067" s="3">
        <v>10.9523811340332</v>
      </c>
      <c r="W1067" s="3">
        <v>8.5714282989502006</v>
      </c>
      <c r="X1067" s="3">
        <v>11.3207550048828</v>
      </c>
      <c r="Y1067" s="3">
        <v>8.9622640609741193</v>
      </c>
      <c r="Z1067" s="3">
        <v>10.377358436584499</v>
      </c>
      <c r="AA1067" s="3">
        <v>13.207547187805201</v>
      </c>
      <c r="AB1067" s="3">
        <v>14.622641563415501</v>
      </c>
      <c r="AC1067" s="3">
        <v>13.7440757751465</v>
      </c>
      <c r="AD1067" s="3"/>
      <c r="AE1067" t="s">
        <v>6130</v>
      </c>
      <c r="AF1067" t="s">
        <v>453</v>
      </c>
    </row>
    <row r="1068" spans="1:32" ht="28.8" x14ac:dyDescent="0.3">
      <c r="A1068" t="s">
        <v>1826</v>
      </c>
      <c r="B1068" s="1" t="s">
        <v>1205</v>
      </c>
      <c r="C1068" s="5" t="s">
        <v>3134</v>
      </c>
      <c r="D1068" s="2" t="s">
        <v>4651</v>
      </c>
      <c r="E1068" s="1" t="s">
        <v>147</v>
      </c>
      <c r="F1068" s="3">
        <v>25.925926208496101</v>
      </c>
      <c r="G1068" s="3"/>
      <c r="H1068" s="3">
        <v>12.698412895202599</v>
      </c>
      <c r="I1068" s="3">
        <v>11.0552759170532</v>
      </c>
      <c r="J1068" s="3">
        <v>5.3398056030273402</v>
      </c>
      <c r="K1068" s="3">
        <v>4.85436916351318</v>
      </c>
      <c r="L1068" s="3">
        <v>8.6956520080566406</v>
      </c>
      <c r="M1068" s="3">
        <v>9.1787443161010707</v>
      </c>
      <c r="N1068" s="3">
        <v>9.6153850555419904</v>
      </c>
      <c r="O1068" s="3">
        <v>18.9573459625244</v>
      </c>
      <c r="P1068" s="3">
        <v>12.3222751617432</v>
      </c>
      <c r="Q1068" s="3">
        <v>16.5876770019531</v>
      </c>
      <c r="R1068" s="3">
        <v>19.431280136108398</v>
      </c>
      <c r="S1068" s="3">
        <v>23.222749710083001</v>
      </c>
      <c r="T1068" s="3">
        <v>21.428571701049801</v>
      </c>
      <c r="U1068" s="3">
        <v>28.095237731933601</v>
      </c>
      <c r="V1068" s="3">
        <v>24.761905670166001</v>
      </c>
      <c r="W1068" s="3">
        <v>19.523809432983398</v>
      </c>
      <c r="X1068" s="3">
        <v>26.415094375610401</v>
      </c>
      <c r="Y1068" s="3">
        <v>22.6415100097656</v>
      </c>
      <c r="Z1068" s="3">
        <v>23.113206863403299</v>
      </c>
      <c r="AA1068" s="3">
        <v>34.9056587219238</v>
      </c>
      <c r="AB1068" s="3">
        <v>39.622642517089801</v>
      </c>
      <c r="AC1068" s="3">
        <v>36.492889404296903</v>
      </c>
      <c r="AD1068" s="3"/>
      <c r="AE1068" t="s">
        <v>6131</v>
      </c>
      <c r="AF1068" t="s">
        <v>126</v>
      </c>
    </row>
    <row r="1069" spans="1:32" x14ac:dyDescent="0.3">
      <c r="A1069" t="s">
        <v>1826</v>
      </c>
      <c r="B1069" s="1" t="s">
        <v>1205</v>
      </c>
      <c r="C1069" s="5" t="s">
        <v>3135</v>
      </c>
      <c r="D1069" s="2" t="s">
        <v>4652</v>
      </c>
      <c r="E1069" s="1" t="s">
        <v>1703</v>
      </c>
      <c r="F1069" s="3">
        <v>0.34250640869140597</v>
      </c>
      <c r="G1069" s="3"/>
      <c r="H1069" s="3">
        <v>0.31601527333259599</v>
      </c>
      <c r="I1069" s="3">
        <v>0.30158466100692699</v>
      </c>
      <c r="J1069" s="3">
        <v>0.29303237795829801</v>
      </c>
      <c r="K1069" s="3">
        <v>0.28687262535095198</v>
      </c>
      <c r="L1069" s="3">
        <v>0.25724959373474099</v>
      </c>
      <c r="M1069" s="3">
        <v>0.248241752386093</v>
      </c>
      <c r="N1069" s="3">
        <v>0.24604776501655601</v>
      </c>
      <c r="O1069" s="3">
        <v>0.24605512619018599</v>
      </c>
      <c r="P1069" s="3">
        <v>0.24354709684848799</v>
      </c>
      <c r="Q1069" s="3">
        <v>0.244249582290649</v>
      </c>
      <c r="R1069" s="3">
        <v>0.22198432683944699</v>
      </c>
      <c r="S1069" s="3">
        <v>0.228019788861275</v>
      </c>
      <c r="T1069" s="3">
        <v>0.196386188268661</v>
      </c>
      <c r="U1069" s="3">
        <v>0.20114451646804801</v>
      </c>
      <c r="V1069" s="3">
        <v>0.206087306141853</v>
      </c>
      <c r="W1069" s="3">
        <v>0.21696837246417999</v>
      </c>
      <c r="X1069" s="3">
        <v>0.215868085622787</v>
      </c>
      <c r="Y1069" s="3">
        <v>0.22953605651855499</v>
      </c>
      <c r="Z1069" s="3">
        <v>0.23248028755187999</v>
      </c>
      <c r="AA1069" s="3">
        <v>0.234710082411766</v>
      </c>
      <c r="AB1069" s="3">
        <v>0.23304978013038599</v>
      </c>
      <c r="AC1069" s="3">
        <v>0.22371858358383201</v>
      </c>
      <c r="AD1069" s="3"/>
      <c r="AE1069" t="s">
        <v>6132</v>
      </c>
      <c r="AF1069" t="s">
        <v>202</v>
      </c>
    </row>
    <row r="1070" spans="1:32" x14ac:dyDescent="0.3">
      <c r="A1070" t="s">
        <v>1826</v>
      </c>
      <c r="B1070" s="1" t="s">
        <v>1205</v>
      </c>
      <c r="C1070" s="5" t="s">
        <v>3136</v>
      </c>
      <c r="D1070" s="2" t="s">
        <v>4653</v>
      </c>
      <c r="E1070" s="1" t="s">
        <v>1749</v>
      </c>
      <c r="F1070" s="3">
        <v>18.1580639670624</v>
      </c>
      <c r="G1070" s="3">
        <v>18.2274494006389</v>
      </c>
      <c r="H1070" s="3">
        <v>18.256904762981701</v>
      </c>
      <c r="I1070" s="3">
        <v>18.228627319994199</v>
      </c>
      <c r="J1070" s="3">
        <v>18.1475000202398</v>
      </c>
      <c r="K1070" s="3">
        <v>18.027795353769299</v>
      </c>
      <c r="L1070" s="3">
        <v>17.8869027311402</v>
      </c>
      <c r="M1070" s="3">
        <v>17.740707202943501</v>
      </c>
      <c r="N1070" s="3">
        <v>17.479956367169699</v>
      </c>
      <c r="O1070" s="3">
        <v>17.190608419420101</v>
      </c>
      <c r="P1070" s="3">
        <v>17.037732136436102</v>
      </c>
      <c r="Q1070" s="3">
        <v>16.9429469286837</v>
      </c>
      <c r="R1070" s="3">
        <v>16.8109484835092</v>
      </c>
      <c r="S1070" s="3">
        <v>16.6201923058346</v>
      </c>
      <c r="T1070" s="3">
        <v>16.582177701946598</v>
      </c>
      <c r="U1070" s="3">
        <v>16.670233425645598</v>
      </c>
      <c r="V1070" s="3">
        <v>16.707775637257502</v>
      </c>
      <c r="W1070" s="3">
        <v>16.7343397860793</v>
      </c>
      <c r="X1070" s="3">
        <v>16.668953872551601</v>
      </c>
      <c r="Y1070" s="3">
        <v>16.368672050469499</v>
      </c>
      <c r="Z1070" s="3">
        <v>15.9465437975634</v>
      </c>
      <c r="AA1070" s="3">
        <v>15.559157971447201</v>
      </c>
      <c r="AB1070" s="3">
        <v>15.203557716112</v>
      </c>
      <c r="AC1070" s="3">
        <v>14.908164678905701</v>
      </c>
      <c r="AD1070" s="3">
        <v>14.6699361809185</v>
      </c>
      <c r="AE1070" t="s">
        <v>6133</v>
      </c>
      <c r="AF1070" t="s">
        <v>629</v>
      </c>
    </row>
    <row r="1071" spans="1:32" x14ac:dyDescent="0.3">
      <c r="A1071" t="s">
        <v>1826</v>
      </c>
      <c r="B1071" s="1" t="s">
        <v>1205</v>
      </c>
      <c r="C1071" s="5" t="s">
        <v>3137</v>
      </c>
      <c r="D1071" s="2" t="s">
        <v>4654</v>
      </c>
      <c r="E1071" s="1" t="s">
        <v>1916</v>
      </c>
      <c r="F1071" s="3">
        <v>18.085261080194002</v>
      </c>
      <c r="G1071" s="3">
        <v>18.1735719277385</v>
      </c>
      <c r="H1071" s="3">
        <v>18.222992486313998</v>
      </c>
      <c r="I1071" s="3">
        <v>18.215827059454401</v>
      </c>
      <c r="J1071" s="3">
        <v>18.157577098218599</v>
      </c>
      <c r="K1071" s="3">
        <v>18.0626641743237</v>
      </c>
      <c r="L1071" s="3">
        <v>17.9449876616446</v>
      </c>
      <c r="M1071" s="3">
        <v>17.818280409895401</v>
      </c>
      <c r="N1071" s="3">
        <v>17.5629374908202</v>
      </c>
      <c r="O1071" s="3">
        <v>17.262387581676499</v>
      </c>
      <c r="P1071" s="3">
        <v>17.093131279571899</v>
      </c>
      <c r="Q1071" s="3">
        <v>16.9897968775369</v>
      </c>
      <c r="R1071" s="3">
        <v>16.848178424140499</v>
      </c>
      <c r="S1071" s="3">
        <v>16.596016286502099</v>
      </c>
      <c r="T1071" s="3">
        <v>16.445950642548699</v>
      </c>
      <c r="U1071" s="3">
        <v>16.4227205684527</v>
      </c>
      <c r="V1071" s="3">
        <v>16.353015267421799</v>
      </c>
      <c r="W1071" s="3">
        <v>16.2738975161203</v>
      </c>
      <c r="X1071" s="3">
        <v>16.1438264977469</v>
      </c>
      <c r="Y1071" s="3">
        <v>15.8555792772546</v>
      </c>
      <c r="Z1071" s="3">
        <v>15.4852040395345</v>
      </c>
      <c r="AA1071" s="3">
        <v>15.1454583335083</v>
      </c>
      <c r="AB1071" s="3">
        <v>14.833229520653299</v>
      </c>
      <c r="AC1071" s="3">
        <v>14.5780592405634</v>
      </c>
      <c r="AD1071" s="3">
        <v>14.376207496663699</v>
      </c>
      <c r="AE1071" t="s">
        <v>6134</v>
      </c>
      <c r="AF1071" t="s">
        <v>629</v>
      </c>
    </row>
    <row r="1072" spans="1:32" x14ac:dyDescent="0.3">
      <c r="A1072" t="s">
        <v>1826</v>
      </c>
      <c r="B1072" s="1" t="s">
        <v>1205</v>
      </c>
      <c r="C1072" s="5" t="s">
        <v>3138</v>
      </c>
      <c r="D1072" s="2" t="s">
        <v>4655</v>
      </c>
      <c r="E1072" s="1" t="s">
        <v>1603</v>
      </c>
      <c r="F1072" s="3">
        <v>46.0381329932464</v>
      </c>
      <c r="G1072" s="3">
        <v>46.103499147611302</v>
      </c>
      <c r="H1072" s="3">
        <v>46.167815563969803</v>
      </c>
      <c r="I1072" s="3">
        <v>46.232057109806298</v>
      </c>
      <c r="J1072" s="3">
        <v>46.2896645498937</v>
      </c>
      <c r="K1072" s="3">
        <v>46.328737522552501</v>
      </c>
      <c r="L1072" s="3">
        <v>46.349964826643102</v>
      </c>
      <c r="M1072" s="3">
        <v>46.353018783429299</v>
      </c>
      <c r="N1072" s="3">
        <v>45.826290098158999</v>
      </c>
      <c r="O1072" s="3">
        <v>44.852375832745601</v>
      </c>
      <c r="P1072" s="3">
        <v>44.001957127079599</v>
      </c>
      <c r="Q1072" s="3">
        <v>43.282770065328698</v>
      </c>
      <c r="R1072" s="3">
        <v>42.679506157519903</v>
      </c>
      <c r="S1072" s="3">
        <v>42.152533970086701</v>
      </c>
      <c r="T1072" s="3">
        <v>42.026054091230399</v>
      </c>
      <c r="U1072" s="3">
        <v>42.223518119505798</v>
      </c>
      <c r="V1072" s="3">
        <v>42.3479845411618</v>
      </c>
      <c r="W1072" s="3">
        <v>42.406935092343303</v>
      </c>
      <c r="X1072" s="3">
        <v>42.382542201116699</v>
      </c>
      <c r="Y1072" s="3">
        <v>42.297854762505096</v>
      </c>
      <c r="Z1072" s="3">
        <v>42.180613515968297</v>
      </c>
      <c r="AA1072" s="3">
        <v>41.979885684881197</v>
      </c>
      <c r="AB1072" s="3">
        <v>41.662673685627702</v>
      </c>
      <c r="AC1072" s="3">
        <v>41.276424040387496</v>
      </c>
      <c r="AD1072" s="3">
        <v>40.871359666414399</v>
      </c>
      <c r="AE1072" t="s">
        <v>6135</v>
      </c>
      <c r="AF1072" t="s">
        <v>629</v>
      </c>
    </row>
    <row r="1073" spans="1:32" x14ac:dyDescent="0.3">
      <c r="A1073" t="s">
        <v>1826</v>
      </c>
      <c r="B1073" s="1" t="s">
        <v>1205</v>
      </c>
      <c r="C1073" s="5" t="s">
        <v>3139</v>
      </c>
      <c r="D1073" s="2" t="s">
        <v>4656</v>
      </c>
      <c r="E1073" s="1" t="s">
        <v>76</v>
      </c>
      <c r="F1073" s="3">
        <v>4069438</v>
      </c>
      <c r="G1073" s="3">
        <v>4185512</v>
      </c>
      <c r="H1073" s="3">
        <v>4300761</v>
      </c>
      <c r="I1073" s="3">
        <v>4414994</v>
      </c>
      <c r="J1073" s="3">
        <v>4528465</v>
      </c>
      <c r="K1073" s="3">
        <v>4641132</v>
      </c>
      <c r="L1073" s="3">
        <v>4753150</v>
      </c>
      <c r="M1073" s="3">
        <v>4864528</v>
      </c>
      <c r="N1073" s="3">
        <v>4908045</v>
      </c>
      <c r="O1073" s="3">
        <v>4887146</v>
      </c>
      <c r="P1073" s="3">
        <v>4873813</v>
      </c>
      <c r="Q1073" s="3">
        <v>4869790</v>
      </c>
      <c r="R1073" s="3">
        <v>4873712</v>
      </c>
      <c r="S1073" s="3">
        <v>4886805</v>
      </c>
      <c r="T1073" s="3">
        <v>4991336</v>
      </c>
      <c r="U1073" s="3">
        <v>5179814</v>
      </c>
      <c r="V1073" s="3">
        <v>5365529</v>
      </c>
      <c r="W1073" s="3">
        <v>5543371</v>
      </c>
      <c r="X1073" s="3">
        <v>5706313</v>
      </c>
      <c r="Y1073" s="3">
        <v>5858052</v>
      </c>
      <c r="Z1073" s="3">
        <v>6000931</v>
      </c>
      <c r="AA1073" s="3">
        <v>6130131</v>
      </c>
      <c r="AB1073" s="3">
        <v>6246924</v>
      </c>
      <c r="AC1073" s="3">
        <v>6354308</v>
      </c>
      <c r="AD1073" s="3">
        <v>6455337</v>
      </c>
      <c r="AE1073" t="s">
        <v>6136</v>
      </c>
      <c r="AF1073" t="s">
        <v>1253</v>
      </c>
    </row>
    <row r="1074" spans="1:32" x14ac:dyDescent="0.3">
      <c r="A1074" t="s">
        <v>1826</v>
      </c>
      <c r="B1074" s="1" t="s">
        <v>1205</v>
      </c>
      <c r="C1074" s="5" t="s">
        <v>3140</v>
      </c>
      <c r="D1074" s="2" t="s">
        <v>4657</v>
      </c>
      <c r="E1074" s="1" t="s">
        <v>985</v>
      </c>
      <c r="F1074" s="3">
        <v>46.223671798865396</v>
      </c>
      <c r="G1074" s="3">
        <v>46.270017694873097</v>
      </c>
      <c r="H1074" s="3">
        <v>46.317450768421203</v>
      </c>
      <c r="I1074" s="3">
        <v>46.366083463159399</v>
      </c>
      <c r="J1074" s="3">
        <v>46.407621260011901</v>
      </c>
      <c r="K1074" s="3">
        <v>46.428614658960498</v>
      </c>
      <c r="L1074" s="3">
        <v>46.431629524566503</v>
      </c>
      <c r="M1074" s="3">
        <v>46.416543258881497</v>
      </c>
      <c r="N1074" s="3">
        <v>45.872648662531901</v>
      </c>
      <c r="O1074" s="3">
        <v>44.866899085599201</v>
      </c>
      <c r="P1074" s="3">
        <v>43.961253982901297</v>
      </c>
      <c r="Q1074" s="3">
        <v>43.173047296162501</v>
      </c>
      <c r="R1074" s="3">
        <v>42.506890662342997</v>
      </c>
      <c r="S1074" s="3">
        <v>41.962430065736498</v>
      </c>
      <c r="T1074" s="3">
        <v>41.891996917104002</v>
      </c>
      <c r="U1074" s="3">
        <v>42.1807074821157</v>
      </c>
      <c r="V1074" s="3">
        <v>42.389715727330497</v>
      </c>
      <c r="W1074" s="3">
        <v>42.523724202971302</v>
      </c>
      <c r="X1074" s="3">
        <v>42.559276731799599</v>
      </c>
      <c r="Y1074" s="3">
        <v>42.514014695290903</v>
      </c>
      <c r="Z1074" s="3">
        <v>42.415533381641801</v>
      </c>
      <c r="AA1074" s="3">
        <v>42.224250733656397</v>
      </c>
      <c r="AB1074" s="3">
        <v>41.916787896577503</v>
      </c>
      <c r="AC1074" s="3">
        <v>41.542231800021703</v>
      </c>
      <c r="AD1074" s="3">
        <v>41.149428723714898</v>
      </c>
      <c r="AE1074" t="s">
        <v>6137</v>
      </c>
      <c r="AF1074" t="s">
        <v>629</v>
      </c>
    </row>
    <row r="1075" spans="1:32" x14ac:dyDescent="0.3">
      <c r="A1075" t="s">
        <v>1826</v>
      </c>
      <c r="B1075" s="1" t="s">
        <v>1205</v>
      </c>
      <c r="C1075" s="5" t="s">
        <v>3141</v>
      </c>
      <c r="D1075" s="2" t="s">
        <v>4658</v>
      </c>
      <c r="E1075" s="1" t="s">
        <v>269</v>
      </c>
      <c r="F1075" s="3">
        <v>4078853</v>
      </c>
      <c r="G1075" s="3">
        <v>4195603</v>
      </c>
      <c r="H1075" s="3">
        <v>4311739</v>
      </c>
      <c r="I1075" s="3">
        <v>4427138</v>
      </c>
      <c r="J1075" s="3">
        <v>4541995</v>
      </c>
      <c r="K1075" s="3">
        <v>4656331</v>
      </c>
      <c r="L1075" s="3">
        <v>4770286</v>
      </c>
      <c r="M1075" s="3">
        <v>4883771</v>
      </c>
      <c r="N1075" s="3">
        <v>4951225</v>
      </c>
      <c r="O1075" s="3">
        <v>4979452</v>
      </c>
      <c r="P1075" s="3">
        <v>5021375</v>
      </c>
      <c r="Q1075" s="3">
        <v>5077456</v>
      </c>
      <c r="R1075" s="3">
        <v>5141921</v>
      </c>
      <c r="S1075" s="3">
        <v>5204416</v>
      </c>
      <c r="T1075" s="3">
        <v>5316561</v>
      </c>
      <c r="U1075" s="3">
        <v>5480079</v>
      </c>
      <c r="V1075" s="3">
        <v>5640460</v>
      </c>
      <c r="W1075" s="3">
        <v>5793433</v>
      </c>
      <c r="X1075" s="3">
        <v>5933702</v>
      </c>
      <c r="Y1075" s="3">
        <v>6066986</v>
      </c>
      <c r="Z1075" s="3">
        <v>6195783</v>
      </c>
      <c r="AA1075" s="3">
        <v>6312596</v>
      </c>
      <c r="AB1075" s="3">
        <v>6416446</v>
      </c>
      <c r="AC1075" s="3">
        <v>6509759</v>
      </c>
      <c r="AD1075" s="3">
        <v>6596617</v>
      </c>
      <c r="AE1075" t="s">
        <v>6138</v>
      </c>
      <c r="AF1075" t="s">
        <v>1253</v>
      </c>
    </row>
    <row r="1076" spans="1:32" x14ac:dyDescent="0.3">
      <c r="A1076" t="s">
        <v>1826</v>
      </c>
      <c r="B1076" s="1" t="s">
        <v>1205</v>
      </c>
      <c r="C1076" s="5" t="s">
        <v>3142</v>
      </c>
      <c r="D1076" s="2" t="s">
        <v>4659</v>
      </c>
      <c r="E1076" s="1" t="s">
        <v>1156</v>
      </c>
      <c r="F1076" s="3">
        <v>45.854500864651001</v>
      </c>
      <c r="G1076" s="3">
        <v>45.938571055906998</v>
      </c>
      <c r="H1076" s="3">
        <v>46.019521377612399</v>
      </c>
      <c r="I1076" s="3">
        <v>46.0991678197609</v>
      </c>
      <c r="J1076" s="3">
        <v>46.172654690872399</v>
      </c>
      <c r="K1076" s="3">
        <v>46.229613095274999</v>
      </c>
      <c r="L1076" s="3">
        <v>46.2688787167043</v>
      </c>
      <c r="M1076" s="3">
        <v>46.2899172144975</v>
      </c>
      <c r="N1076" s="3">
        <v>45.780428214832398</v>
      </c>
      <c r="O1076" s="3">
        <v>44.838130941030798</v>
      </c>
      <c r="P1076" s="3">
        <v>44.041536281249698</v>
      </c>
      <c r="Q1076" s="3">
        <v>43.388530459824104</v>
      </c>
      <c r="R1076" s="3">
        <v>42.844416940201199</v>
      </c>
      <c r="S1076" s="3">
        <v>42.332611063170297</v>
      </c>
      <c r="T1076" s="3">
        <v>42.152693913943097</v>
      </c>
      <c r="U1076" s="3">
        <v>42.264063037632198</v>
      </c>
      <c r="V1076" s="3">
        <v>42.308363635599903</v>
      </c>
      <c r="W1076" s="3">
        <v>42.295785940749099</v>
      </c>
      <c r="X1076" s="3">
        <v>42.213959471638802</v>
      </c>
      <c r="Y1076" s="3">
        <v>42.091214585142502</v>
      </c>
      <c r="Z1076" s="3">
        <v>41.955549193233097</v>
      </c>
      <c r="AA1076" s="3">
        <v>41.7452758209782</v>
      </c>
      <c r="AB1076" s="3">
        <v>41.418215796174799</v>
      </c>
      <c r="AC1076" s="3">
        <v>41.020223971153001</v>
      </c>
      <c r="AD1076" s="3">
        <v>40.602860381233</v>
      </c>
      <c r="AE1076" t="s">
        <v>6139</v>
      </c>
      <c r="AF1076" t="s">
        <v>629</v>
      </c>
    </row>
    <row r="1077" spans="1:32" x14ac:dyDescent="0.3">
      <c r="A1077" t="s">
        <v>1826</v>
      </c>
      <c r="B1077" s="1" t="s">
        <v>1205</v>
      </c>
      <c r="C1077" s="5" t="s">
        <v>3143</v>
      </c>
      <c r="D1077" s="2" t="s">
        <v>4660</v>
      </c>
      <c r="E1077" s="1" t="s">
        <v>1959</v>
      </c>
      <c r="F1077" s="3">
        <v>8148291</v>
      </c>
      <c r="G1077" s="3">
        <v>8381115</v>
      </c>
      <c r="H1077" s="3">
        <v>8612500</v>
      </c>
      <c r="I1077" s="3">
        <v>8842131</v>
      </c>
      <c r="J1077" s="3">
        <v>9070460</v>
      </c>
      <c r="K1077" s="3">
        <v>9297463</v>
      </c>
      <c r="L1077" s="3">
        <v>9523436</v>
      </c>
      <c r="M1077" s="3">
        <v>9748298</v>
      </c>
      <c r="N1077" s="3">
        <v>9859269</v>
      </c>
      <c r="O1077" s="3">
        <v>9866599</v>
      </c>
      <c r="P1077" s="3">
        <v>9895189</v>
      </c>
      <c r="Q1077" s="3">
        <v>9947246</v>
      </c>
      <c r="R1077" s="3">
        <v>10015633</v>
      </c>
      <c r="S1077" s="3">
        <v>10091222</v>
      </c>
      <c r="T1077" s="3">
        <v>10307896</v>
      </c>
      <c r="U1077" s="3">
        <v>10659894</v>
      </c>
      <c r="V1077" s="3">
        <v>11005989</v>
      </c>
      <c r="W1077" s="3">
        <v>11336804</v>
      </c>
      <c r="X1077" s="3">
        <v>11640015</v>
      </c>
      <c r="Y1077" s="3">
        <v>11925038</v>
      </c>
      <c r="Z1077" s="3">
        <v>12196714</v>
      </c>
      <c r="AA1077" s="3">
        <v>12442727</v>
      </c>
      <c r="AB1077" s="3">
        <v>12663371</v>
      </c>
      <c r="AC1077" s="3">
        <v>12864067</v>
      </c>
      <c r="AD1077" s="3">
        <v>13051954</v>
      </c>
      <c r="AE1077" t="s">
        <v>6140</v>
      </c>
      <c r="AF1077" t="s">
        <v>1253</v>
      </c>
    </row>
    <row r="1078" spans="1:32" x14ac:dyDescent="0.3">
      <c r="A1078" t="s">
        <v>1826</v>
      </c>
      <c r="B1078" s="1" t="s">
        <v>1205</v>
      </c>
      <c r="C1078" s="5" t="s">
        <v>3144</v>
      </c>
      <c r="D1078" s="2" t="s">
        <v>4661</v>
      </c>
      <c r="E1078" s="1" t="s">
        <v>1071</v>
      </c>
      <c r="F1078" s="3">
        <v>15.0441346525899</v>
      </c>
      <c r="G1078" s="3">
        <v>15.013524724430001</v>
      </c>
      <c r="H1078" s="3">
        <v>15.024750678538201</v>
      </c>
      <c r="I1078" s="3">
        <v>15.094333579061701</v>
      </c>
      <c r="J1078" s="3">
        <v>15.214189478417699</v>
      </c>
      <c r="K1078" s="3">
        <v>15.352748898964901</v>
      </c>
      <c r="L1078" s="3">
        <v>15.478194842304701</v>
      </c>
      <c r="M1078" s="3">
        <v>15.5622767209661</v>
      </c>
      <c r="N1078" s="3">
        <v>15.3555990621054</v>
      </c>
      <c r="O1078" s="3">
        <v>14.887730308352699</v>
      </c>
      <c r="P1078" s="3">
        <v>14.4488480045366</v>
      </c>
      <c r="Q1078" s="3">
        <v>14.1179470250958</v>
      </c>
      <c r="R1078" s="3">
        <v>13.942867409505601</v>
      </c>
      <c r="S1078" s="3">
        <v>13.920467511160901</v>
      </c>
      <c r="T1078" s="3">
        <v>14.0450538243664</v>
      </c>
      <c r="U1078" s="3">
        <v>14.200835077625101</v>
      </c>
      <c r="V1078" s="3">
        <v>14.2381641538651</v>
      </c>
      <c r="W1078" s="3">
        <v>14.146599530268199</v>
      </c>
      <c r="X1078" s="3">
        <v>14.034088964005401</v>
      </c>
      <c r="Y1078" s="3">
        <v>14.076342967919301</v>
      </c>
      <c r="Z1078" s="3">
        <v>14.2163115293828</v>
      </c>
      <c r="AA1078" s="3">
        <v>14.3232744651738</v>
      </c>
      <c r="AB1078" s="3">
        <v>14.4068942710224</v>
      </c>
      <c r="AC1078" s="3">
        <v>14.396015146684199</v>
      </c>
      <c r="AD1078" s="3">
        <v>14.177287536208301</v>
      </c>
      <c r="AE1078" t="s">
        <v>6141</v>
      </c>
      <c r="AF1078" t="s">
        <v>629</v>
      </c>
    </row>
    <row r="1079" spans="1:32" x14ac:dyDescent="0.3">
      <c r="A1079" t="s">
        <v>1826</v>
      </c>
      <c r="B1079" s="1" t="s">
        <v>1205</v>
      </c>
      <c r="C1079" s="5" t="s">
        <v>3145</v>
      </c>
      <c r="D1079" s="2" t="s">
        <v>4662</v>
      </c>
      <c r="E1079" s="1" t="s">
        <v>1228</v>
      </c>
      <c r="F1079" s="3">
        <v>14.897954881884401</v>
      </c>
      <c r="G1079" s="3">
        <v>14.8730123405897</v>
      </c>
      <c r="H1079" s="3">
        <v>14.8874905616648</v>
      </c>
      <c r="I1079" s="3">
        <v>14.9600117498725</v>
      </c>
      <c r="J1079" s="3">
        <v>15.0849628008348</v>
      </c>
      <c r="K1079" s="3">
        <v>15.232537734498001</v>
      </c>
      <c r="L1079" s="3">
        <v>15.3705165707583</v>
      </c>
      <c r="M1079" s="3">
        <v>15.470866596691399</v>
      </c>
      <c r="N1079" s="3">
        <v>15.321064962958699</v>
      </c>
      <c r="O1079" s="3">
        <v>14.934186047935601</v>
      </c>
      <c r="P1079" s="3">
        <v>14.5378475411996</v>
      </c>
      <c r="Q1079" s="3">
        <v>14.2000675080967</v>
      </c>
      <c r="R1079" s="3">
        <v>13.9792459709114</v>
      </c>
      <c r="S1079" s="3">
        <v>13.9071752019077</v>
      </c>
      <c r="T1079" s="3">
        <v>14.0103512952439</v>
      </c>
      <c r="U1079" s="3">
        <v>14.1782421667144</v>
      </c>
      <c r="V1079" s="3">
        <v>14.2531503280956</v>
      </c>
      <c r="W1079" s="3">
        <v>14.205847852032001</v>
      </c>
      <c r="X1079" s="3">
        <v>14.096122541312701</v>
      </c>
      <c r="Y1079" s="3">
        <v>14.0692863090984</v>
      </c>
      <c r="Z1079" s="3">
        <v>14.111988605243001</v>
      </c>
      <c r="AA1079" s="3">
        <v>14.1228154781392</v>
      </c>
      <c r="AB1079" s="3">
        <v>14.1097779473724</v>
      </c>
      <c r="AC1079" s="3">
        <v>14.0375205904258</v>
      </c>
      <c r="AD1079" s="3">
        <v>13.822386671541899</v>
      </c>
      <c r="AE1079" t="s">
        <v>6142</v>
      </c>
      <c r="AF1079" t="s">
        <v>629</v>
      </c>
    </row>
    <row r="1080" spans="1:32" x14ac:dyDescent="0.3">
      <c r="A1080" t="s">
        <v>1826</v>
      </c>
      <c r="B1080" s="1" t="s">
        <v>1205</v>
      </c>
      <c r="C1080" s="5" t="s">
        <v>3146</v>
      </c>
      <c r="D1080" s="2" t="s">
        <v>4663</v>
      </c>
      <c r="E1080" s="1" t="s">
        <v>1014</v>
      </c>
      <c r="F1080" s="3">
        <v>13.0214731792131</v>
      </c>
      <c r="G1080" s="3">
        <v>13.029043569804299</v>
      </c>
      <c r="H1080" s="3">
        <v>13.035795326901299</v>
      </c>
      <c r="I1080" s="3">
        <v>13.0431225641036</v>
      </c>
      <c r="J1080" s="3">
        <v>13.045931761354399</v>
      </c>
      <c r="K1080" s="3">
        <v>13.0480704062263</v>
      </c>
      <c r="L1080" s="3">
        <v>13.0665319511216</v>
      </c>
      <c r="M1080" s="3">
        <v>13.113559334972001</v>
      </c>
      <c r="N1080" s="3">
        <v>13.037093233256799</v>
      </c>
      <c r="O1080" s="3">
        <v>12.7885603578264</v>
      </c>
      <c r="P1080" s="3">
        <v>12.474673841928499</v>
      </c>
      <c r="Q1080" s="3">
        <v>12.1121533423829</v>
      </c>
      <c r="R1080" s="3">
        <v>11.753074769328199</v>
      </c>
      <c r="S1080" s="3">
        <v>11.421770248741</v>
      </c>
      <c r="T1080" s="3">
        <v>11.264765390791</v>
      </c>
      <c r="U1080" s="3">
        <v>11.309638978845101</v>
      </c>
      <c r="V1080" s="3">
        <v>11.443775936207899</v>
      </c>
      <c r="W1080" s="3">
        <v>11.6427848866239</v>
      </c>
      <c r="X1080" s="3">
        <v>11.8562338952426</v>
      </c>
      <c r="Y1080" s="3">
        <v>12.0689996769022</v>
      </c>
      <c r="Z1080" s="3">
        <v>12.2526780546957</v>
      </c>
      <c r="AA1080" s="3">
        <v>12.341818297035401</v>
      </c>
      <c r="AB1080" s="3">
        <v>12.306335909443099</v>
      </c>
      <c r="AC1080" s="3">
        <v>12.2380519744318</v>
      </c>
      <c r="AD1080" s="3">
        <v>12.302205006588199</v>
      </c>
      <c r="AE1080" t="s">
        <v>6143</v>
      </c>
      <c r="AF1080" t="s">
        <v>629</v>
      </c>
    </row>
    <row r="1081" spans="1:32" x14ac:dyDescent="0.3">
      <c r="A1081" t="s">
        <v>1826</v>
      </c>
      <c r="B1081" s="1" t="s">
        <v>1205</v>
      </c>
      <c r="C1081" s="5" t="s">
        <v>3147</v>
      </c>
      <c r="D1081" s="2" t="s">
        <v>4664</v>
      </c>
      <c r="E1081" s="1" t="s">
        <v>1788</v>
      </c>
      <c r="F1081" s="3">
        <v>12.8712849025725</v>
      </c>
      <c r="G1081" s="3">
        <v>12.891986787578899</v>
      </c>
      <c r="H1081" s="3">
        <v>12.909038329633599</v>
      </c>
      <c r="I1081" s="3">
        <v>12.923329010434101</v>
      </c>
      <c r="J1081" s="3">
        <v>12.930114791818999</v>
      </c>
      <c r="K1081" s="3">
        <v>12.934411186453399</v>
      </c>
      <c r="L1081" s="3">
        <v>12.9533744843015</v>
      </c>
      <c r="M1081" s="3">
        <v>13.0007702079106</v>
      </c>
      <c r="N1081" s="3">
        <v>12.8964257610535</v>
      </c>
      <c r="O1081" s="3">
        <v>12.641557311418699</v>
      </c>
      <c r="P1081" s="3">
        <v>12.4105574604783</v>
      </c>
      <c r="Q1081" s="3">
        <v>12.1986660741905</v>
      </c>
      <c r="R1081" s="3">
        <v>12.0169925451493</v>
      </c>
      <c r="S1081" s="3">
        <v>11.8294195747605</v>
      </c>
      <c r="T1081" s="3">
        <v>11.696391976150601</v>
      </c>
      <c r="U1081" s="3">
        <v>11.6631003024652</v>
      </c>
      <c r="V1081" s="3">
        <v>11.7021980400826</v>
      </c>
      <c r="W1081" s="3">
        <v>11.816040572596799</v>
      </c>
      <c r="X1081" s="3">
        <v>11.9740104325793</v>
      </c>
      <c r="Y1081" s="3">
        <v>12.166348998789401</v>
      </c>
      <c r="Z1081" s="3">
        <v>12.3583565484556</v>
      </c>
      <c r="AA1081" s="3">
        <v>12.4770020093308</v>
      </c>
      <c r="AB1081" s="3">
        <v>12.475208328149201</v>
      </c>
      <c r="AC1081" s="3">
        <v>12.4046441401638</v>
      </c>
      <c r="AD1081" s="3">
        <v>12.4042662130273</v>
      </c>
      <c r="AE1081" t="s">
        <v>6144</v>
      </c>
      <c r="AF1081" t="s">
        <v>629</v>
      </c>
    </row>
    <row r="1082" spans="1:32" x14ac:dyDescent="0.3">
      <c r="A1082" t="s">
        <v>1826</v>
      </c>
      <c r="B1082" s="1" t="s">
        <v>1205</v>
      </c>
      <c r="C1082" s="5" t="s">
        <v>3148</v>
      </c>
      <c r="D1082" s="2" t="s">
        <v>4665</v>
      </c>
      <c r="E1082" s="1" t="s">
        <v>363</v>
      </c>
      <c r="F1082" s="3">
        <v>11.1976350203006</v>
      </c>
      <c r="G1082" s="3">
        <v>11.1160593645223</v>
      </c>
      <c r="H1082" s="3">
        <v>11.082546560719701</v>
      </c>
      <c r="I1082" s="3">
        <v>11.0848591322431</v>
      </c>
      <c r="J1082" s="3">
        <v>11.107321065884401</v>
      </c>
      <c r="K1082" s="3">
        <v>11.140769936801499</v>
      </c>
      <c r="L1082" s="3">
        <v>11.1770839128353</v>
      </c>
      <c r="M1082" s="3">
        <v>11.2081972030961</v>
      </c>
      <c r="N1082" s="3">
        <v>11.261530328714599</v>
      </c>
      <c r="O1082" s="3">
        <v>11.270287789073301</v>
      </c>
      <c r="P1082" s="3">
        <v>11.1453541188265</v>
      </c>
      <c r="Q1082" s="3">
        <v>10.8952414911408</v>
      </c>
      <c r="R1082" s="3">
        <v>10.5320282520972</v>
      </c>
      <c r="S1082" s="3">
        <v>10.102996663523401</v>
      </c>
      <c r="T1082" s="3">
        <v>9.7921605039660395</v>
      </c>
      <c r="U1082" s="3">
        <v>9.6473664289478798</v>
      </c>
      <c r="V1082" s="3">
        <v>9.5700348371220105</v>
      </c>
      <c r="W1082" s="3">
        <v>9.5696715290923606</v>
      </c>
      <c r="X1082" s="3">
        <v>9.62070767592013</v>
      </c>
      <c r="Y1082" s="3">
        <v>9.6710178917241993</v>
      </c>
      <c r="Z1082" s="3">
        <v>9.7469874800289205</v>
      </c>
      <c r="AA1082" s="3">
        <v>9.9058033680177804</v>
      </c>
      <c r="AB1082" s="3">
        <v>10.1188295244702</v>
      </c>
      <c r="AC1082" s="3">
        <v>10.333958746526299</v>
      </c>
      <c r="AD1082" s="3">
        <v>10.562302926916701</v>
      </c>
      <c r="AE1082" t="s">
        <v>6145</v>
      </c>
      <c r="AF1082" t="s">
        <v>629</v>
      </c>
    </row>
    <row r="1083" spans="1:32" x14ac:dyDescent="0.3">
      <c r="A1083" t="s">
        <v>1826</v>
      </c>
      <c r="B1083" s="1" t="s">
        <v>1205</v>
      </c>
      <c r="C1083" s="5" t="s">
        <v>3149</v>
      </c>
      <c r="D1083" s="2" t="s">
        <v>4666</v>
      </c>
      <c r="E1083" s="1" t="s">
        <v>546</v>
      </c>
      <c r="F1083" s="3">
        <v>10.9633698820404</v>
      </c>
      <c r="G1083" s="3">
        <v>10.933987439604801</v>
      </c>
      <c r="H1083" s="3">
        <v>10.940864270536</v>
      </c>
      <c r="I1083" s="3">
        <v>10.969402484519099</v>
      </c>
      <c r="J1083" s="3">
        <v>11.0052204530424</v>
      </c>
      <c r="K1083" s="3">
        <v>11.0475559790542</v>
      </c>
      <c r="L1083" s="3">
        <v>11.0922743510173</v>
      </c>
      <c r="M1083" s="3">
        <v>11.1306085324933</v>
      </c>
      <c r="N1083" s="3">
        <v>11.099581508559901</v>
      </c>
      <c r="O1083" s="3">
        <v>10.9475159643114</v>
      </c>
      <c r="P1083" s="3">
        <v>10.696859365480901</v>
      </c>
      <c r="Q1083" s="3">
        <v>10.3739777650547</v>
      </c>
      <c r="R1083" s="3">
        <v>10.016964298398801</v>
      </c>
      <c r="S1083" s="3">
        <v>9.7057110370033293</v>
      </c>
      <c r="T1083" s="3">
        <v>9.6210982892577199</v>
      </c>
      <c r="U1083" s="3">
        <v>9.7265396688558408</v>
      </c>
      <c r="V1083" s="3">
        <v>9.8586115918752402</v>
      </c>
      <c r="W1083" s="3">
        <v>10.007006792701301</v>
      </c>
      <c r="X1083" s="3">
        <v>10.1192632703639</v>
      </c>
      <c r="Y1083" s="3">
        <v>10.1464933053169</v>
      </c>
      <c r="Z1083" s="3">
        <v>10.152982291815499</v>
      </c>
      <c r="AA1083" s="3">
        <v>10.2281776954796</v>
      </c>
      <c r="AB1083" s="3">
        <v>10.3643591075059</v>
      </c>
      <c r="AC1083" s="3">
        <v>10.5286303722336</v>
      </c>
      <c r="AD1083" s="3">
        <v>10.737818103827401</v>
      </c>
      <c r="AE1083" t="s">
        <v>6146</v>
      </c>
      <c r="AF1083" t="s">
        <v>629</v>
      </c>
    </row>
    <row r="1084" spans="1:32" x14ac:dyDescent="0.3">
      <c r="A1084" t="s">
        <v>1826</v>
      </c>
      <c r="B1084" s="1" t="s">
        <v>1205</v>
      </c>
      <c r="C1084" s="5" t="s">
        <v>3150</v>
      </c>
      <c r="D1084" s="2" t="s">
        <v>4667</v>
      </c>
      <c r="E1084" s="1" t="s">
        <v>1122</v>
      </c>
      <c r="F1084" s="3">
        <v>51.5322980886382</v>
      </c>
      <c r="G1084" s="3">
        <v>51.493510640597698</v>
      </c>
      <c r="H1084" s="3">
        <v>51.456052409969203</v>
      </c>
      <c r="I1084" s="3">
        <v>51.420297003870502</v>
      </c>
      <c r="J1084" s="3">
        <v>51.393491926677903</v>
      </c>
      <c r="K1084" s="3">
        <v>51.3868741531331</v>
      </c>
      <c r="L1084" s="3">
        <v>51.399716607966504</v>
      </c>
      <c r="M1084" s="3">
        <v>51.431383798756102</v>
      </c>
      <c r="N1084" s="3">
        <v>51.956431491344802</v>
      </c>
      <c r="O1084" s="3">
        <v>52.8899036202913</v>
      </c>
      <c r="P1084" s="3">
        <v>53.692044061862198</v>
      </c>
      <c r="Q1084" s="3">
        <v>54.352977424788499</v>
      </c>
      <c r="R1084" s="3">
        <v>54.884834831162202</v>
      </c>
      <c r="S1084" s="3">
        <v>55.322258556685298</v>
      </c>
      <c r="T1084" s="3">
        <v>55.419691829896898</v>
      </c>
      <c r="U1084" s="3">
        <v>55.256534684182498</v>
      </c>
      <c r="V1084" s="3">
        <v>55.155313389346802</v>
      </c>
      <c r="W1084" s="3">
        <v>55.109107730762702</v>
      </c>
      <c r="X1084" s="3">
        <v>55.135850169889501</v>
      </c>
      <c r="Y1084" s="3">
        <v>55.213723373762598</v>
      </c>
      <c r="Z1084" s="3">
        <v>55.323303896762901</v>
      </c>
      <c r="AA1084" s="3">
        <v>55.5125937101364</v>
      </c>
      <c r="AB1084" s="3">
        <v>55.8045052933374</v>
      </c>
      <c r="AC1084" s="3">
        <v>56.155333688810103</v>
      </c>
      <c r="AD1084" s="3">
        <v>56.5196718380246</v>
      </c>
      <c r="AE1084" t="s">
        <v>6147</v>
      </c>
      <c r="AF1084" t="s">
        <v>629</v>
      </c>
    </row>
    <row r="1085" spans="1:32" x14ac:dyDescent="0.3">
      <c r="A1085" t="s">
        <v>1826</v>
      </c>
      <c r="B1085" s="1" t="s">
        <v>1205</v>
      </c>
      <c r="C1085" s="5" t="s">
        <v>3151</v>
      </c>
      <c r="D1085" s="2" t="s">
        <v>4668</v>
      </c>
      <c r="E1085" s="1" t="s">
        <v>1078</v>
      </c>
      <c r="F1085" s="3">
        <v>4517805</v>
      </c>
      <c r="G1085" s="3">
        <v>4640674</v>
      </c>
      <c r="H1085" s="3">
        <v>4762156</v>
      </c>
      <c r="I1085" s="3">
        <v>4882199</v>
      </c>
      <c r="J1085" s="3">
        <v>5002838</v>
      </c>
      <c r="K1085" s="3">
        <v>5126818</v>
      </c>
      <c r="L1085" s="3">
        <v>5254118</v>
      </c>
      <c r="M1085" s="3">
        <v>5384970</v>
      </c>
      <c r="N1085" s="3">
        <v>5555625</v>
      </c>
      <c r="O1085" s="3">
        <v>5760233</v>
      </c>
      <c r="P1085" s="3">
        <v>5956549</v>
      </c>
      <c r="Q1085" s="3">
        <v>6140774</v>
      </c>
      <c r="R1085" s="3">
        <v>6307904</v>
      </c>
      <c r="S1085" s="3">
        <v>6457224</v>
      </c>
      <c r="T1085" s="3">
        <v>6610131</v>
      </c>
      <c r="U1085" s="3">
        <v>6781976</v>
      </c>
      <c r="V1085" s="3">
        <v>6967491</v>
      </c>
      <c r="W1085" s="3">
        <v>7160435</v>
      </c>
      <c r="X1085" s="3">
        <v>7360747</v>
      </c>
      <c r="Y1085" s="3">
        <v>7570193</v>
      </c>
      <c r="Z1085" s="3">
        <v>7785554</v>
      </c>
      <c r="AA1085" s="3">
        <v>8015067</v>
      </c>
      <c r="AB1085" s="3">
        <v>8269697</v>
      </c>
      <c r="AC1085" s="3">
        <v>8539219</v>
      </c>
      <c r="AD1085" s="3">
        <v>8812363</v>
      </c>
      <c r="AE1085" t="s">
        <v>6148</v>
      </c>
      <c r="AF1085" t="s">
        <v>1253</v>
      </c>
    </row>
    <row r="1086" spans="1:32" x14ac:dyDescent="0.3">
      <c r="A1086" t="s">
        <v>1826</v>
      </c>
      <c r="B1086" s="1" t="s">
        <v>1205</v>
      </c>
      <c r="C1086" s="5" t="s">
        <v>3152</v>
      </c>
      <c r="D1086" s="2" t="s">
        <v>4669</v>
      </c>
      <c r="E1086" s="1" t="s">
        <v>1995</v>
      </c>
      <c r="F1086" s="3">
        <v>51.316548491324198</v>
      </c>
      <c r="G1086" s="3">
        <v>51.301739180565903</v>
      </c>
      <c r="H1086" s="3">
        <v>51.286481726908498</v>
      </c>
      <c r="I1086" s="3">
        <v>51.272650952131201</v>
      </c>
      <c r="J1086" s="3">
        <v>51.268992200158699</v>
      </c>
      <c r="K1086" s="3">
        <v>51.287284513481303</v>
      </c>
      <c r="L1086" s="3">
        <v>51.3253918174373</v>
      </c>
      <c r="M1086" s="3">
        <v>51.382512289888702</v>
      </c>
      <c r="N1086" s="3">
        <v>51.925203773000497</v>
      </c>
      <c r="O1086" s="3">
        <v>52.882350205900003</v>
      </c>
      <c r="P1086" s="3">
        <v>53.727412900453203</v>
      </c>
      <c r="Q1086" s="3">
        <v>54.440936126002299</v>
      </c>
      <c r="R1086" s="3">
        <v>55.015436261073503</v>
      </c>
      <c r="S1086" s="3">
        <v>55.447430948253398</v>
      </c>
      <c r="T1086" s="3">
        <v>55.478456111325997</v>
      </c>
      <c r="U1086" s="3">
        <v>55.2275698091279</v>
      </c>
      <c r="V1086" s="3">
        <v>55.045828723626002</v>
      </c>
      <c r="W1086" s="3">
        <v>54.928375371827499</v>
      </c>
      <c r="X1086" s="3">
        <v>54.898508843692902</v>
      </c>
      <c r="Y1086" s="3">
        <v>54.939648488131397</v>
      </c>
      <c r="Z1086" s="3">
        <v>55.0295321811858</v>
      </c>
      <c r="AA1086" s="3">
        <v>55.207653790612902</v>
      </c>
      <c r="AB1086" s="3">
        <v>55.489566924966503</v>
      </c>
      <c r="AC1086" s="3">
        <v>55.826404134774698</v>
      </c>
      <c r="AD1086" s="3">
        <v>56.174251434234499</v>
      </c>
      <c r="AE1086" t="s">
        <v>6149</v>
      </c>
      <c r="AF1086" t="s">
        <v>629</v>
      </c>
    </row>
    <row r="1087" spans="1:32" x14ac:dyDescent="0.3">
      <c r="A1087" t="s">
        <v>1826</v>
      </c>
      <c r="B1087" s="1" t="s">
        <v>1205</v>
      </c>
      <c r="C1087" s="5" t="s">
        <v>3153</v>
      </c>
      <c r="D1087" s="2" t="s">
        <v>4670</v>
      </c>
      <c r="E1087" s="1" t="s">
        <v>1836</v>
      </c>
      <c r="F1087" s="3">
        <v>4602899</v>
      </c>
      <c r="G1087" s="3">
        <v>4720287</v>
      </c>
      <c r="H1087" s="3">
        <v>4836853</v>
      </c>
      <c r="I1087" s="3">
        <v>4952212</v>
      </c>
      <c r="J1087" s="3">
        <v>5067717</v>
      </c>
      <c r="K1087" s="3">
        <v>5185735</v>
      </c>
      <c r="L1087" s="3">
        <v>5306880</v>
      </c>
      <c r="M1087" s="3">
        <v>5431338</v>
      </c>
      <c r="N1087" s="3">
        <v>5622510</v>
      </c>
      <c r="O1087" s="3">
        <v>5874457</v>
      </c>
      <c r="P1087" s="3">
        <v>6117753</v>
      </c>
      <c r="Q1087" s="3">
        <v>6350627</v>
      </c>
      <c r="R1087" s="3">
        <v>6571963</v>
      </c>
      <c r="S1087" s="3">
        <v>6786800</v>
      </c>
      <c r="T1087" s="3">
        <v>6982876</v>
      </c>
      <c r="U1087" s="3">
        <v>7168277</v>
      </c>
      <c r="V1087" s="3">
        <v>7367046</v>
      </c>
      <c r="W1087" s="3">
        <v>7572088</v>
      </c>
      <c r="X1087" s="3">
        <v>7781859</v>
      </c>
      <c r="Y1087" s="3">
        <v>7996217</v>
      </c>
      <c r="Z1087" s="3">
        <v>8211428</v>
      </c>
      <c r="AA1087" s="3">
        <v>8438720</v>
      </c>
      <c r="AB1087" s="3">
        <v>8692084</v>
      </c>
      <c r="AC1087" s="3">
        <v>8961959</v>
      </c>
      <c r="AD1087" s="3">
        <v>9236759</v>
      </c>
      <c r="AE1087" t="s">
        <v>6150</v>
      </c>
      <c r="AF1087" t="s">
        <v>1253</v>
      </c>
    </row>
    <row r="1088" spans="1:32" x14ac:dyDescent="0.3">
      <c r="A1088" t="s">
        <v>1826</v>
      </c>
      <c r="B1088" s="1" t="s">
        <v>1205</v>
      </c>
      <c r="C1088" s="5" t="s">
        <v>3154</v>
      </c>
      <c r="D1088" s="2" t="s">
        <v>4671</v>
      </c>
      <c r="E1088" s="1" t="s">
        <v>664</v>
      </c>
      <c r="F1088" s="3">
        <v>51.745830549765103</v>
      </c>
      <c r="G1088" s="3">
        <v>51.683450448904203</v>
      </c>
      <c r="H1088" s="3">
        <v>51.624103414856201</v>
      </c>
      <c r="I1088" s="3">
        <v>51.566690444434997</v>
      </c>
      <c r="J1088" s="3">
        <v>51.5169922806096</v>
      </c>
      <c r="K1088" s="3">
        <v>51.485713250330797</v>
      </c>
      <c r="L1088" s="3">
        <v>51.473514813179698</v>
      </c>
      <c r="M1088" s="3">
        <v>51.479929951457798</v>
      </c>
      <c r="N1088" s="3">
        <v>51.987324639021601</v>
      </c>
      <c r="O1088" s="3">
        <v>52.8973122615348</v>
      </c>
      <c r="P1088" s="3">
        <v>53.657651910010799</v>
      </c>
      <c r="Q1088" s="3">
        <v>54.2681951411261</v>
      </c>
      <c r="R1088" s="3">
        <v>54.760062811107403</v>
      </c>
      <c r="S1088" s="3">
        <v>55.203688238600797</v>
      </c>
      <c r="T1088" s="3">
        <v>55.364178962118501</v>
      </c>
      <c r="U1088" s="3">
        <v>55.283966616039201</v>
      </c>
      <c r="V1088" s="3">
        <v>55.259261587307201</v>
      </c>
      <c r="W1088" s="3">
        <v>55.281112194648301</v>
      </c>
      <c r="X1088" s="3">
        <v>55.362244233537197</v>
      </c>
      <c r="Y1088" s="3">
        <v>55.475727910161197</v>
      </c>
      <c r="Z1088" s="3">
        <v>55.604751070315402</v>
      </c>
      <c r="AA1088" s="3">
        <v>55.805360263195197</v>
      </c>
      <c r="AB1088" s="3">
        <v>56.107476026661899</v>
      </c>
      <c r="AC1088" s="3">
        <v>56.472373998819002</v>
      </c>
      <c r="AD1088" s="3">
        <v>56.853204566926799</v>
      </c>
      <c r="AE1088" t="s">
        <v>6151</v>
      </c>
      <c r="AF1088" t="s">
        <v>629</v>
      </c>
    </row>
    <row r="1089" spans="1:32" x14ac:dyDescent="0.3">
      <c r="A1089" t="s">
        <v>1826</v>
      </c>
      <c r="B1089" s="1" t="s">
        <v>1205</v>
      </c>
      <c r="C1089" s="5" t="s">
        <v>3155</v>
      </c>
      <c r="D1089" s="2" t="s">
        <v>4672</v>
      </c>
      <c r="E1089" s="1" t="s">
        <v>1769</v>
      </c>
      <c r="F1089" s="3">
        <v>9120703</v>
      </c>
      <c r="G1089" s="3">
        <v>9360960</v>
      </c>
      <c r="H1089" s="3">
        <v>9599009</v>
      </c>
      <c r="I1089" s="3">
        <v>9834410</v>
      </c>
      <c r="J1089" s="3">
        <v>10070555</v>
      </c>
      <c r="K1089" s="3">
        <v>10312553</v>
      </c>
      <c r="L1089" s="3">
        <v>10560998</v>
      </c>
      <c r="M1089" s="3">
        <v>10816307</v>
      </c>
      <c r="N1089" s="3">
        <v>11178135</v>
      </c>
      <c r="O1089" s="3">
        <v>11634689</v>
      </c>
      <c r="P1089" s="3">
        <v>12074302</v>
      </c>
      <c r="Q1089" s="3">
        <v>12491401</v>
      </c>
      <c r="R1089" s="3">
        <v>12879867</v>
      </c>
      <c r="S1089" s="3">
        <v>13244024</v>
      </c>
      <c r="T1089" s="3">
        <v>13593007</v>
      </c>
      <c r="U1089" s="3">
        <v>13950254</v>
      </c>
      <c r="V1089" s="3">
        <v>14334538</v>
      </c>
      <c r="W1089" s="3">
        <v>14732523</v>
      </c>
      <c r="X1089" s="3">
        <v>15142605</v>
      </c>
      <c r="Y1089" s="3">
        <v>15566410</v>
      </c>
      <c r="Z1089" s="3">
        <v>15996982</v>
      </c>
      <c r="AA1089" s="3">
        <v>16453786</v>
      </c>
      <c r="AB1089" s="3">
        <v>16961781</v>
      </c>
      <c r="AC1089" s="3">
        <v>17501177</v>
      </c>
      <c r="AD1089" s="3">
        <v>18049122</v>
      </c>
      <c r="AE1089" t="s">
        <v>6152</v>
      </c>
      <c r="AF1089" t="s">
        <v>1253</v>
      </c>
    </row>
    <row r="1090" spans="1:32" x14ac:dyDescent="0.3">
      <c r="A1090" t="s">
        <v>1826</v>
      </c>
      <c r="B1090" s="1" t="s">
        <v>1205</v>
      </c>
      <c r="C1090" s="5" t="s">
        <v>3156</v>
      </c>
      <c r="D1090" s="2" t="s">
        <v>4673</v>
      </c>
      <c r="E1090" s="1" t="s">
        <v>314</v>
      </c>
      <c r="F1090" s="3">
        <v>10.0668103811804</v>
      </c>
      <c r="G1090" s="3">
        <v>9.8812487352612504</v>
      </c>
      <c r="H1090" s="3">
        <v>9.6827471766973598</v>
      </c>
      <c r="I1090" s="3">
        <v>9.5034269728204599</v>
      </c>
      <c r="J1090" s="3">
        <v>9.3564482709041705</v>
      </c>
      <c r="K1090" s="3">
        <v>9.2467644197463503</v>
      </c>
      <c r="L1090" s="3">
        <v>9.1807673598939292</v>
      </c>
      <c r="M1090" s="3">
        <v>9.1575748843529095</v>
      </c>
      <c r="N1090" s="3">
        <v>9.3306859908276092</v>
      </c>
      <c r="O1090" s="3">
        <v>9.6473243370568103</v>
      </c>
      <c r="P1090" s="3">
        <v>9.8902455353689902</v>
      </c>
      <c r="Q1090" s="3">
        <v>10.033454348673001</v>
      </c>
      <c r="R1090" s="3">
        <v>10.0631252481587</v>
      </c>
      <c r="S1090" s="3">
        <v>9.9670534156111295</v>
      </c>
      <c r="T1090" s="3">
        <v>9.7202791392297794</v>
      </c>
      <c r="U1090" s="3">
        <v>9.3952584581047507</v>
      </c>
      <c r="V1090" s="3">
        <v>9.0765375809043398</v>
      </c>
      <c r="W1090" s="3">
        <v>8.7698064789912902</v>
      </c>
      <c r="X1090" s="3">
        <v>8.5237848653150206</v>
      </c>
      <c r="Y1090" s="3">
        <v>8.37204411199912</v>
      </c>
      <c r="Z1090" s="3">
        <v>8.2843769092864008</v>
      </c>
      <c r="AA1090" s="3">
        <v>8.2498526832315804</v>
      </c>
      <c r="AB1090" s="3">
        <v>8.2857413461369696</v>
      </c>
      <c r="AC1090" s="3">
        <v>8.3603768587922307</v>
      </c>
      <c r="AD1090" s="3">
        <v>8.4651398231444599</v>
      </c>
      <c r="AE1090" t="s">
        <v>6153</v>
      </c>
      <c r="AF1090" t="s">
        <v>629</v>
      </c>
    </row>
    <row r="1091" spans="1:32" x14ac:dyDescent="0.3">
      <c r="A1091" t="s">
        <v>1826</v>
      </c>
      <c r="B1091" s="1" t="s">
        <v>1205</v>
      </c>
      <c r="C1091" s="5" t="s">
        <v>3157</v>
      </c>
      <c r="D1091" s="2" t="s">
        <v>4674</v>
      </c>
      <c r="E1091" s="1" t="s">
        <v>1067</v>
      </c>
      <c r="F1091" s="3">
        <v>9.7323024786099701</v>
      </c>
      <c r="G1091" s="3">
        <v>9.5553331039472198</v>
      </c>
      <c r="H1091" s="3">
        <v>9.3832354460991194</v>
      </c>
      <c r="I1091" s="3">
        <v>9.2439289245175402</v>
      </c>
      <c r="J1091" s="3">
        <v>9.1467336804486195</v>
      </c>
      <c r="K1091" s="3">
        <v>9.0882834976431397</v>
      </c>
      <c r="L1091" s="3">
        <v>9.0659499073877701</v>
      </c>
      <c r="M1091" s="3">
        <v>9.0770319754761903</v>
      </c>
      <c r="N1091" s="3">
        <v>9.2042689538768094</v>
      </c>
      <c r="O1091" s="3">
        <v>9.3790892283354896</v>
      </c>
      <c r="P1091" s="3">
        <v>9.45260139627805</v>
      </c>
      <c r="Q1091" s="3">
        <v>9.4190116472830105</v>
      </c>
      <c r="R1091" s="3">
        <v>9.2805115211537608</v>
      </c>
      <c r="S1091" s="3">
        <v>9.0516293700713693</v>
      </c>
      <c r="T1091" s="3">
        <v>8.8065493426843897</v>
      </c>
      <c r="U1091" s="3">
        <v>8.5969795592593208</v>
      </c>
      <c r="V1091" s="3">
        <v>8.4141089573444994</v>
      </c>
      <c r="W1091" s="3">
        <v>8.2731805929181199</v>
      </c>
      <c r="X1091" s="3">
        <v>8.2294178559859006</v>
      </c>
      <c r="Y1091" s="3">
        <v>8.2992973241595003</v>
      </c>
      <c r="Z1091" s="3">
        <v>8.4224245637893809</v>
      </c>
      <c r="AA1091" s="3">
        <v>8.5667575173336203</v>
      </c>
      <c r="AB1091" s="3">
        <v>8.7286211316786009</v>
      </c>
      <c r="AC1091" s="3">
        <v>8.8534530067582509</v>
      </c>
      <c r="AD1091" s="3">
        <v>8.9373610812374906</v>
      </c>
      <c r="AE1091" t="s">
        <v>6154</v>
      </c>
      <c r="AF1091" t="s">
        <v>629</v>
      </c>
    </row>
    <row r="1092" spans="1:32" x14ac:dyDescent="0.3">
      <c r="A1092" t="s">
        <v>1826</v>
      </c>
      <c r="B1092" s="1" t="s">
        <v>1205</v>
      </c>
      <c r="C1092" s="5" t="s">
        <v>3158</v>
      </c>
      <c r="D1092" s="2" t="s">
        <v>4675</v>
      </c>
      <c r="E1092" s="1" t="s">
        <v>1713</v>
      </c>
      <c r="F1092" s="3">
        <v>8.3134531789779604</v>
      </c>
      <c r="G1092" s="3">
        <v>8.3798183264451804</v>
      </c>
      <c r="H1092" s="3">
        <v>8.4054088342109505</v>
      </c>
      <c r="I1092" s="3">
        <v>8.3676454194369292</v>
      </c>
      <c r="J1092" s="3">
        <v>8.2712997381948092</v>
      </c>
      <c r="K1092" s="3">
        <v>8.1346251478675793</v>
      </c>
      <c r="L1092" s="3">
        <v>7.9694948025416101</v>
      </c>
      <c r="M1092" s="3">
        <v>7.7971853483152902</v>
      </c>
      <c r="N1092" s="3">
        <v>7.78576003644356</v>
      </c>
      <c r="O1092" s="3">
        <v>7.9734453206452596</v>
      </c>
      <c r="P1092" s="3">
        <v>8.2397004927700799</v>
      </c>
      <c r="Q1092" s="3">
        <v>8.5522712728295698</v>
      </c>
      <c r="R1092" s="3">
        <v>8.8684661356188705</v>
      </c>
      <c r="S1092" s="3">
        <v>9.1411626563129502</v>
      </c>
      <c r="T1092" s="3">
        <v>9.1920398637959604</v>
      </c>
      <c r="U1092" s="3">
        <v>9.0488471713809808</v>
      </c>
      <c r="V1092" s="3">
        <v>8.8852851743003605</v>
      </c>
      <c r="W1092" s="3">
        <v>8.6974181933359809</v>
      </c>
      <c r="X1092" s="3">
        <v>8.4880298707099708</v>
      </c>
      <c r="Y1092" s="3">
        <v>8.26629706364157</v>
      </c>
      <c r="Z1092" s="3">
        <v>8.0331604084717192</v>
      </c>
      <c r="AA1092" s="3">
        <v>7.7931724231275101</v>
      </c>
      <c r="AB1092" s="3">
        <v>7.5627636333282799</v>
      </c>
      <c r="AC1092" s="3">
        <v>7.37920338890748</v>
      </c>
      <c r="AD1092" s="3">
        <v>7.2546416506924798</v>
      </c>
      <c r="AE1092" t="s">
        <v>6155</v>
      </c>
      <c r="AF1092" t="s">
        <v>629</v>
      </c>
    </row>
    <row r="1093" spans="1:32" x14ac:dyDescent="0.3">
      <c r="A1093" t="s">
        <v>1826</v>
      </c>
      <c r="B1093" s="1" t="s">
        <v>1205</v>
      </c>
      <c r="C1093" s="5" t="s">
        <v>3159</v>
      </c>
      <c r="D1093" s="2" t="s">
        <v>4676</v>
      </c>
      <c r="E1093" s="1" t="s">
        <v>1880</v>
      </c>
      <c r="F1093" s="3">
        <v>8.2013263883951009</v>
      </c>
      <c r="G1093" s="3">
        <v>8.2402608760633402</v>
      </c>
      <c r="H1093" s="3">
        <v>8.2334248852070608</v>
      </c>
      <c r="I1093" s="3">
        <v>8.1647504138721807</v>
      </c>
      <c r="J1093" s="3">
        <v>8.0445307333352201</v>
      </c>
      <c r="K1093" s="3">
        <v>7.8968634652916601</v>
      </c>
      <c r="L1093" s="3">
        <v>7.7367256895747101</v>
      </c>
      <c r="M1093" s="3">
        <v>7.5846285609320203</v>
      </c>
      <c r="N1093" s="3">
        <v>7.6189473188804397</v>
      </c>
      <c r="O1093" s="3">
        <v>7.8348939560552404</v>
      </c>
      <c r="P1093" s="3">
        <v>8.0570732469735908</v>
      </c>
      <c r="Q1093" s="3">
        <v>8.2549327909898</v>
      </c>
      <c r="R1093" s="3">
        <v>8.4010127001639496</v>
      </c>
      <c r="S1093" s="3">
        <v>8.4727748017810498</v>
      </c>
      <c r="T1093" s="3">
        <v>8.3979666563449999</v>
      </c>
      <c r="U1093" s="3">
        <v>8.2236151422382999</v>
      </c>
      <c r="V1093" s="3">
        <v>8.0525332464832502</v>
      </c>
      <c r="W1093" s="3">
        <v>7.8792232626247696</v>
      </c>
      <c r="X1093" s="3">
        <v>7.7106168139872002</v>
      </c>
      <c r="Y1093" s="3">
        <v>7.5561917623827197</v>
      </c>
      <c r="Z1093" s="3">
        <v>7.4114879414031902</v>
      </c>
      <c r="AA1093" s="3">
        <v>7.2797892485842297</v>
      </c>
      <c r="AB1093" s="3">
        <v>7.18482830208964</v>
      </c>
      <c r="AC1093" s="3">
        <v>7.1706447149723003</v>
      </c>
      <c r="AD1093" s="3">
        <v>7.23507795946378</v>
      </c>
      <c r="AE1093" t="s">
        <v>6156</v>
      </c>
      <c r="AF1093" t="s">
        <v>629</v>
      </c>
    </row>
    <row r="1094" spans="1:32" x14ac:dyDescent="0.3">
      <c r="A1094" t="s">
        <v>1826</v>
      </c>
      <c r="B1094" s="1" t="s">
        <v>1205</v>
      </c>
      <c r="C1094" s="5" t="s">
        <v>3160</v>
      </c>
      <c r="D1094" s="2" t="s">
        <v>4677</v>
      </c>
      <c r="E1094" s="1" t="s">
        <v>181</v>
      </c>
      <c r="F1094" s="3">
        <v>6.3918730970212696</v>
      </c>
      <c r="G1094" s="3">
        <v>6.4311049923995398</v>
      </c>
      <c r="H1094" s="3">
        <v>6.4778293928469699</v>
      </c>
      <c r="I1094" s="3">
        <v>6.5343762968277703</v>
      </c>
      <c r="J1094" s="3">
        <v>6.59907507866094</v>
      </c>
      <c r="K1094" s="3">
        <v>6.6617815136138203</v>
      </c>
      <c r="L1094" s="3">
        <v>6.7117090429470299</v>
      </c>
      <c r="M1094" s="3">
        <v>6.7324687791026099</v>
      </c>
      <c r="N1094" s="3">
        <v>6.7315164950772903</v>
      </c>
      <c r="O1094" s="3">
        <v>6.7449397838071503</v>
      </c>
      <c r="P1094" s="3">
        <v>6.8001081123937697</v>
      </c>
      <c r="Q1094" s="3">
        <v>6.9188722625101899</v>
      </c>
      <c r="R1094" s="3">
        <v>7.1233040990310403</v>
      </c>
      <c r="S1094" s="3">
        <v>7.4137693340661404</v>
      </c>
      <c r="T1094" s="3">
        <v>7.6278427843892302</v>
      </c>
      <c r="U1094" s="3">
        <v>7.7208972011202599</v>
      </c>
      <c r="V1094" s="3">
        <v>7.7897315359915504</v>
      </c>
      <c r="W1094" s="3">
        <v>7.8206043917477803</v>
      </c>
      <c r="X1094" s="3">
        <v>7.8128765266073801</v>
      </c>
      <c r="Y1094" s="3">
        <v>7.7694071343370004</v>
      </c>
      <c r="Z1094" s="3">
        <v>7.6929981970540497</v>
      </c>
      <c r="AA1094" s="3">
        <v>7.5894499496660499</v>
      </c>
      <c r="AB1094" s="3">
        <v>7.4622714993296899</v>
      </c>
      <c r="AC1094" s="3">
        <v>7.3112870334056099</v>
      </c>
      <c r="AD1094" s="3">
        <v>7.1226643778877001</v>
      </c>
      <c r="AE1094" t="s">
        <v>6157</v>
      </c>
      <c r="AF1094" t="s">
        <v>629</v>
      </c>
    </row>
    <row r="1095" spans="1:32" x14ac:dyDescent="0.3">
      <c r="A1095" t="s">
        <v>1826</v>
      </c>
      <c r="B1095" s="1" t="s">
        <v>1205</v>
      </c>
      <c r="C1095" s="5" t="s">
        <v>3161</v>
      </c>
      <c r="D1095" s="2" t="s">
        <v>4678</v>
      </c>
      <c r="E1095" s="1" t="s">
        <v>357</v>
      </c>
      <c r="F1095" s="3">
        <v>6.3125115406245396</v>
      </c>
      <c r="G1095" s="3">
        <v>6.37721861947335</v>
      </c>
      <c r="H1095" s="3">
        <v>6.4424665928694598</v>
      </c>
      <c r="I1095" s="3">
        <v>6.5072363917832803</v>
      </c>
      <c r="J1095" s="3">
        <v>6.5690679605323998</v>
      </c>
      <c r="K1095" s="3">
        <v>6.6173493182833001</v>
      </c>
      <c r="L1095" s="3">
        <v>6.6423625742712797</v>
      </c>
      <c r="M1095" s="3">
        <v>6.6327971703057997</v>
      </c>
      <c r="N1095" s="3">
        <v>6.6697422889573801</v>
      </c>
      <c r="O1095" s="3">
        <v>6.7811539543479604</v>
      </c>
      <c r="P1095" s="3">
        <v>6.9119868395732702</v>
      </c>
      <c r="Q1095" s="3">
        <v>7.0676790032728602</v>
      </c>
      <c r="R1095" s="3">
        <v>7.2550320356895597</v>
      </c>
      <c r="S1095" s="3">
        <v>7.4666667534290996</v>
      </c>
      <c r="T1095" s="3">
        <v>7.5514695613113698</v>
      </c>
      <c r="U1095" s="3">
        <v>7.5030503143671901</v>
      </c>
      <c r="V1095" s="3">
        <v>7.4439013647533798</v>
      </c>
      <c r="W1095" s="3">
        <v>7.3663311473381201</v>
      </c>
      <c r="X1095" s="3">
        <v>7.2731959091096501</v>
      </c>
      <c r="Y1095" s="3">
        <v>7.1691001624057202</v>
      </c>
      <c r="Z1095" s="3">
        <v>7.05585209839436</v>
      </c>
      <c r="AA1095" s="3">
        <v>6.93618042916665</v>
      </c>
      <c r="AB1095" s="3">
        <v>6.8125873060120599</v>
      </c>
      <c r="AC1095" s="3">
        <v>6.6893922499657101</v>
      </c>
      <c r="AD1095" s="3">
        <v>6.5526093160999901</v>
      </c>
      <c r="AE1095" t="s">
        <v>6158</v>
      </c>
      <c r="AF1095" t="s">
        <v>629</v>
      </c>
    </row>
    <row r="1096" spans="1:32" x14ac:dyDescent="0.3">
      <c r="A1096" t="s">
        <v>1826</v>
      </c>
      <c r="B1096" s="1" t="s">
        <v>1205</v>
      </c>
      <c r="C1096" s="5" t="s">
        <v>3162</v>
      </c>
      <c r="D1096" s="2" t="s">
        <v>4679</v>
      </c>
      <c r="E1096" s="1" t="s">
        <v>988</v>
      </c>
      <c r="F1096" s="3">
        <v>4.9648239824716498</v>
      </c>
      <c r="G1096" s="3">
        <v>5.0103801852354097</v>
      </c>
      <c r="H1096" s="3">
        <v>5.0389633103660998</v>
      </c>
      <c r="I1096" s="3">
        <v>5.0579479687820896</v>
      </c>
      <c r="J1096" s="3">
        <v>5.07500036636534</v>
      </c>
      <c r="K1096" s="3">
        <v>5.0961283077946504</v>
      </c>
      <c r="L1096" s="3">
        <v>5.1253709810075403</v>
      </c>
      <c r="M1096" s="3">
        <v>5.1653839254362497</v>
      </c>
      <c r="N1096" s="3">
        <v>5.2124380671116004</v>
      </c>
      <c r="O1096" s="3">
        <v>5.2616452713730304</v>
      </c>
      <c r="P1096" s="3">
        <v>5.3139460432924901</v>
      </c>
      <c r="Q1096" s="3">
        <v>5.3763356018482602</v>
      </c>
      <c r="R1096" s="3">
        <v>5.4587564341375696</v>
      </c>
      <c r="S1096" s="3">
        <v>5.5743601150934401</v>
      </c>
      <c r="T1096" s="3">
        <v>5.7107140372232097</v>
      </c>
      <c r="U1096" s="3">
        <v>5.8460849038473501</v>
      </c>
      <c r="V1096" s="3">
        <v>5.98381125169794</v>
      </c>
      <c r="W1096" s="3">
        <v>6.1260096982582501</v>
      </c>
      <c r="X1096" s="3">
        <v>6.2686135363159003</v>
      </c>
      <c r="Y1096" s="3">
        <v>6.40208713074896</v>
      </c>
      <c r="Z1096" s="3">
        <v>6.5186660179039304</v>
      </c>
      <c r="AA1096" s="3">
        <v>6.6091003362369598</v>
      </c>
      <c r="AB1096" s="3">
        <v>6.6652490698866398</v>
      </c>
      <c r="AC1096" s="3">
        <v>6.68503920071762</v>
      </c>
      <c r="AD1096" s="3">
        <v>6.6569001104984604</v>
      </c>
      <c r="AE1096" t="s">
        <v>6159</v>
      </c>
      <c r="AF1096" t="s">
        <v>629</v>
      </c>
    </row>
    <row r="1097" spans="1:32" x14ac:dyDescent="0.3">
      <c r="A1097" t="s">
        <v>1826</v>
      </c>
      <c r="B1097" s="1" t="s">
        <v>1205</v>
      </c>
      <c r="C1097" s="5" t="s">
        <v>3163</v>
      </c>
      <c r="D1097" s="2" t="s">
        <v>4680</v>
      </c>
      <c r="E1097" s="1" t="s">
        <v>1755</v>
      </c>
      <c r="F1097" s="3">
        <v>4.8572166528998899</v>
      </c>
      <c r="G1097" s="3">
        <v>4.8979026499570697</v>
      </c>
      <c r="H1097" s="3">
        <v>4.9369970946284099</v>
      </c>
      <c r="I1097" s="3">
        <v>4.9765301920646996</v>
      </c>
      <c r="J1097" s="3">
        <v>5.0183636108291996</v>
      </c>
      <c r="K1097" s="3">
        <v>5.0633067857934497</v>
      </c>
      <c r="L1097" s="3">
        <v>5.1124045682783201</v>
      </c>
      <c r="M1097" s="3">
        <v>5.1657150753933596</v>
      </c>
      <c r="N1097" s="3">
        <v>5.2714729806704996</v>
      </c>
      <c r="O1097" s="3">
        <v>5.4306077874215397</v>
      </c>
      <c r="P1097" s="3">
        <v>5.5964484880612604</v>
      </c>
      <c r="Q1097" s="3">
        <v>5.7697119369696503</v>
      </c>
      <c r="R1097" s="3">
        <v>5.9537275732570896</v>
      </c>
      <c r="S1097" s="3">
        <v>6.1535050898776102</v>
      </c>
      <c r="T1097" s="3">
        <v>6.2845405411062503</v>
      </c>
      <c r="U1097" s="3">
        <v>6.3286971177137001</v>
      </c>
      <c r="V1097" s="3">
        <v>6.3577603180849103</v>
      </c>
      <c r="W1097" s="3">
        <v>6.3792330272355997</v>
      </c>
      <c r="X1097" s="3">
        <v>6.3944519221353104</v>
      </c>
      <c r="Y1097" s="3">
        <v>6.3985731551784601</v>
      </c>
      <c r="Z1097" s="3">
        <v>6.3899875764292702</v>
      </c>
      <c r="AA1097" s="3">
        <v>6.3658610110773601</v>
      </c>
      <c r="AB1097" s="3">
        <v>6.3233202267605897</v>
      </c>
      <c r="AC1097" s="3">
        <v>6.2643981748034099</v>
      </c>
      <c r="AD1097" s="3">
        <v>6.1787390968881297</v>
      </c>
      <c r="AE1097" t="s">
        <v>6160</v>
      </c>
      <c r="AF1097" t="s">
        <v>629</v>
      </c>
    </row>
    <row r="1098" spans="1:32" x14ac:dyDescent="0.3">
      <c r="A1098" t="s">
        <v>1826</v>
      </c>
      <c r="B1098" s="1" t="s">
        <v>1205</v>
      </c>
      <c r="C1098" s="5" t="s">
        <v>3164</v>
      </c>
      <c r="D1098" s="2" t="s">
        <v>4681</v>
      </c>
      <c r="E1098" s="1" t="s">
        <v>1499</v>
      </c>
      <c r="F1098" s="3">
        <v>3.5482305843848199</v>
      </c>
      <c r="G1098" s="3">
        <v>3.6487433091485499</v>
      </c>
      <c r="H1098" s="3">
        <v>3.74186276480006</v>
      </c>
      <c r="I1098" s="3">
        <v>3.8238365786047699</v>
      </c>
      <c r="J1098" s="3">
        <v>3.8932236143422099</v>
      </c>
      <c r="K1098" s="3">
        <v>3.9466301197195999</v>
      </c>
      <c r="L1098" s="3">
        <v>3.9830891809451501</v>
      </c>
      <c r="M1098" s="3">
        <v>4.0088223843910802</v>
      </c>
      <c r="N1098" s="3">
        <v>4.0360695197986596</v>
      </c>
      <c r="O1098" s="3">
        <v>4.0622651633202098</v>
      </c>
      <c r="P1098" s="3">
        <v>4.0790961313198499</v>
      </c>
      <c r="Q1098" s="3">
        <v>4.0922366770497796</v>
      </c>
      <c r="R1098" s="3">
        <v>4.10683693687192</v>
      </c>
      <c r="S1098" s="3">
        <v>4.1261779003927499</v>
      </c>
      <c r="T1098" s="3">
        <v>4.1715573047941898</v>
      </c>
      <c r="U1098" s="3">
        <v>4.2525823986470401</v>
      </c>
      <c r="V1098" s="3">
        <v>4.3568227309110297</v>
      </c>
      <c r="W1098" s="3">
        <v>4.4774607510354603</v>
      </c>
      <c r="X1098" s="3">
        <v>4.6109212937401098</v>
      </c>
      <c r="Y1098" s="3">
        <v>4.7525826780659504</v>
      </c>
      <c r="Z1098" s="3">
        <v>4.8940320425084698</v>
      </c>
      <c r="AA1098" s="3">
        <v>5.0335358745174501</v>
      </c>
      <c r="AB1098" s="3">
        <v>5.1762524267929404</v>
      </c>
      <c r="AC1098" s="3">
        <v>5.3184060089875702</v>
      </c>
      <c r="AD1098" s="3">
        <v>5.4429788412779203</v>
      </c>
      <c r="AE1098" t="s">
        <v>6161</v>
      </c>
      <c r="AF1098" t="s">
        <v>629</v>
      </c>
    </row>
    <row r="1099" spans="1:32" x14ac:dyDescent="0.3">
      <c r="A1099" t="s">
        <v>1826</v>
      </c>
      <c r="B1099" s="1" t="s">
        <v>1205</v>
      </c>
      <c r="C1099" s="5" t="s">
        <v>3165</v>
      </c>
      <c r="D1099" s="2" t="s">
        <v>4682</v>
      </c>
      <c r="E1099" s="1" t="s">
        <v>1706</v>
      </c>
      <c r="F1099" s="3">
        <v>3.6767045625411199</v>
      </c>
      <c r="G1099" s="3">
        <v>3.7213544510897099</v>
      </c>
      <c r="H1099" s="3">
        <v>3.7627185052313301</v>
      </c>
      <c r="I1099" s="3">
        <v>3.8014492307681098</v>
      </c>
      <c r="J1099" s="3">
        <v>3.8385403083252698</v>
      </c>
      <c r="K1099" s="3">
        <v>3.8721151051423099</v>
      </c>
      <c r="L1099" s="3">
        <v>3.9029145075615701</v>
      </c>
      <c r="M1099" s="3">
        <v>3.9350932543018802</v>
      </c>
      <c r="N1099" s="3">
        <v>4.0080607255254002</v>
      </c>
      <c r="O1099" s="3">
        <v>4.1206094766904302</v>
      </c>
      <c r="P1099" s="3">
        <v>4.2369420601968804</v>
      </c>
      <c r="Q1099" s="3">
        <v>4.3615742204523897</v>
      </c>
      <c r="R1099" s="3">
        <v>4.4994698734866398</v>
      </c>
      <c r="S1099" s="3">
        <v>4.6534327381403102</v>
      </c>
      <c r="T1099" s="3">
        <v>4.7826842066058504</v>
      </c>
      <c r="U1099" s="3">
        <v>4.8846136478628601</v>
      </c>
      <c r="V1099" s="3">
        <v>4.99131174172763</v>
      </c>
      <c r="W1099" s="3">
        <v>5.0941116841507901</v>
      </c>
      <c r="X1099" s="3">
        <v>5.1891771603041796</v>
      </c>
      <c r="Y1099" s="3">
        <v>5.2714771663826498</v>
      </c>
      <c r="Z1099" s="3">
        <v>5.3351640208949496</v>
      </c>
      <c r="AA1099" s="3">
        <v>5.3816166123898199</v>
      </c>
      <c r="AB1099" s="3">
        <v>5.4199772389932503</v>
      </c>
      <c r="AC1099" s="3">
        <v>5.4517486321202302</v>
      </c>
      <c r="AD1099" s="3">
        <v>5.4635068375967597</v>
      </c>
      <c r="AE1099" t="s">
        <v>6162</v>
      </c>
      <c r="AF1099" t="s">
        <v>629</v>
      </c>
    </row>
    <row r="1100" spans="1:32" x14ac:dyDescent="0.3">
      <c r="A1100" t="s">
        <v>1826</v>
      </c>
      <c r="B1100" s="1" t="s">
        <v>1205</v>
      </c>
      <c r="C1100" s="5" t="s">
        <v>3166</v>
      </c>
      <c r="D1100" s="2" t="s">
        <v>4683</v>
      </c>
      <c r="E1100" s="1" t="s">
        <v>848</v>
      </c>
      <c r="F1100" s="3">
        <v>2.4216086775745</v>
      </c>
      <c r="G1100" s="3">
        <v>2.4927700195465499</v>
      </c>
      <c r="H1100" s="3">
        <v>2.5676432748953699</v>
      </c>
      <c r="I1100" s="3">
        <v>2.644650431024</v>
      </c>
      <c r="J1100" s="3">
        <v>2.7227093941915901</v>
      </c>
      <c r="K1100" s="3">
        <v>2.8036693668391499</v>
      </c>
      <c r="L1100" s="3">
        <v>2.8857624909780801</v>
      </c>
      <c r="M1100" s="3">
        <v>2.9642629501839699</v>
      </c>
      <c r="N1100" s="3">
        <v>3.05362985538377</v>
      </c>
      <c r="O1100" s="3">
        <v>3.1441784005728302</v>
      </c>
      <c r="P1100" s="3">
        <v>3.20925859170393</v>
      </c>
      <c r="Q1100" s="3">
        <v>3.2516380423077802</v>
      </c>
      <c r="R1100" s="3">
        <v>3.2789980722934602</v>
      </c>
      <c r="S1100" s="3">
        <v>3.2918719951542501</v>
      </c>
      <c r="T1100" s="3">
        <v>3.2896184072694301</v>
      </c>
      <c r="U1100" s="3">
        <v>3.2874687216410101</v>
      </c>
      <c r="V1100" s="3">
        <v>3.2991277150595102</v>
      </c>
      <c r="W1100" s="3">
        <v>3.3258913486083799</v>
      </c>
      <c r="X1100" s="3">
        <v>3.37090019277416</v>
      </c>
      <c r="Y1100" s="3">
        <v>3.4375048080035402</v>
      </c>
      <c r="Z1100" s="3">
        <v>3.5245798050262498</v>
      </c>
      <c r="AA1100" s="3">
        <v>3.6273435075752301</v>
      </c>
      <c r="AB1100" s="3">
        <v>3.7436901370525102</v>
      </c>
      <c r="AC1100" s="3">
        <v>3.8712257259584</v>
      </c>
      <c r="AD1100" s="3">
        <v>4.0001084936815703</v>
      </c>
      <c r="AE1100" t="s">
        <v>6163</v>
      </c>
      <c r="AF1100" t="s">
        <v>629</v>
      </c>
    </row>
    <row r="1101" spans="1:32" x14ac:dyDescent="0.3">
      <c r="A1101" t="s">
        <v>1826</v>
      </c>
      <c r="B1101" s="1" t="s">
        <v>1205</v>
      </c>
      <c r="C1101" s="5" t="s">
        <v>3167</v>
      </c>
      <c r="D1101" s="2" t="s">
        <v>4684</v>
      </c>
      <c r="E1101" s="1" t="s">
        <v>1020</v>
      </c>
      <c r="F1101" s="3">
        <v>2.7232698056790698</v>
      </c>
      <c r="G1101" s="3">
        <v>2.76184712209391</v>
      </c>
      <c r="H1101" s="3">
        <v>2.7996867878889802</v>
      </c>
      <c r="I1101" s="3">
        <v>2.8362603104896502</v>
      </c>
      <c r="J1101" s="3">
        <v>2.8707891745043899</v>
      </c>
      <c r="K1101" s="3">
        <v>2.90526904173946</v>
      </c>
      <c r="L1101" s="3">
        <v>2.9404194900185199</v>
      </c>
      <c r="M1101" s="3">
        <v>2.9747503364328098</v>
      </c>
      <c r="N1101" s="3">
        <v>3.04285037787945</v>
      </c>
      <c r="O1101" s="3">
        <v>3.1420176281872298</v>
      </c>
      <c r="P1101" s="3">
        <v>3.2361179547801502</v>
      </c>
      <c r="Q1101" s="3">
        <v>3.32805089597771</v>
      </c>
      <c r="R1101" s="3">
        <v>3.4244352139322598</v>
      </c>
      <c r="S1101" s="3">
        <v>3.5261690824717902</v>
      </c>
      <c r="T1101" s="3">
        <v>3.5979664660594599</v>
      </c>
      <c r="U1101" s="3">
        <v>3.6455001977628698</v>
      </c>
      <c r="V1101" s="3">
        <v>3.7062851143875202</v>
      </c>
      <c r="W1101" s="3">
        <v>3.7791745125770899</v>
      </c>
      <c r="X1101" s="3">
        <v>3.8636534459693102</v>
      </c>
      <c r="Y1101" s="3">
        <v>3.9594936859910401</v>
      </c>
      <c r="Z1101" s="3">
        <v>4.0635568927116896</v>
      </c>
      <c r="AA1101" s="3">
        <v>4.1681883483812996</v>
      </c>
      <c r="AB1101" s="3">
        <v>4.2693848192586197</v>
      </c>
      <c r="AC1101" s="3">
        <v>4.3643857422537797</v>
      </c>
      <c r="AD1101" s="3">
        <v>4.4425505874877</v>
      </c>
      <c r="AE1101" t="s">
        <v>6164</v>
      </c>
      <c r="AF1101" t="s">
        <v>629</v>
      </c>
    </row>
    <row r="1102" spans="1:32" x14ac:dyDescent="0.3">
      <c r="A1102" t="s">
        <v>1826</v>
      </c>
      <c r="B1102" s="1" t="s">
        <v>1205</v>
      </c>
      <c r="C1102" s="5" t="s">
        <v>3168</v>
      </c>
      <c r="D1102" s="2" t="s">
        <v>4685</v>
      </c>
      <c r="E1102" s="1" t="s">
        <v>780</v>
      </c>
      <c r="F1102" s="3">
        <v>1.6849889703834</v>
      </c>
      <c r="G1102" s="3">
        <v>1.69375637344037</v>
      </c>
      <c r="H1102" s="3">
        <v>1.7219879117780801</v>
      </c>
      <c r="I1102" s="3">
        <v>1.7731349086306001</v>
      </c>
      <c r="J1102" s="3">
        <v>1.8325850769505601</v>
      </c>
      <c r="K1102" s="3">
        <v>1.8879532625903099</v>
      </c>
      <c r="L1102" s="3">
        <v>1.94530979341017</v>
      </c>
      <c r="M1102" s="3">
        <v>2.0073309949466398</v>
      </c>
      <c r="N1102" s="3">
        <v>2.1004304680977199</v>
      </c>
      <c r="O1102" s="3">
        <v>2.2189537273824098</v>
      </c>
      <c r="P1102" s="3">
        <v>2.3313482511178698</v>
      </c>
      <c r="Q1102" s="3">
        <v>2.4335666034365602</v>
      </c>
      <c r="R1102" s="3">
        <v>2.5208453301685299</v>
      </c>
      <c r="S1102" s="3">
        <v>2.5910749563238902</v>
      </c>
      <c r="T1102" s="3">
        <v>2.6283006194579799</v>
      </c>
      <c r="U1102" s="3">
        <v>2.6390433398675102</v>
      </c>
      <c r="V1102" s="3">
        <v>2.6468683662728498</v>
      </c>
      <c r="W1102" s="3">
        <v>2.6548354860854402</v>
      </c>
      <c r="X1102" s="3">
        <v>2.66280362564894</v>
      </c>
      <c r="Y1102" s="3">
        <v>2.6713485372202599</v>
      </c>
      <c r="Z1102" s="3">
        <v>2.68456800402828</v>
      </c>
      <c r="AA1102" s="3">
        <v>2.7055210984131102</v>
      </c>
      <c r="AB1102" s="3">
        <v>2.7386111123506001</v>
      </c>
      <c r="AC1102" s="3">
        <v>2.7874569471367701</v>
      </c>
      <c r="AD1102" s="3">
        <v>2.8507352279589599</v>
      </c>
      <c r="AE1102" t="s">
        <v>6165</v>
      </c>
      <c r="AF1102" t="s">
        <v>629</v>
      </c>
    </row>
    <row r="1103" spans="1:32" x14ac:dyDescent="0.3">
      <c r="A1103" t="s">
        <v>1826</v>
      </c>
      <c r="B1103" s="1" t="s">
        <v>1205</v>
      </c>
      <c r="C1103" s="5" t="s">
        <v>3169</v>
      </c>
      <c r="D1103" s="2" t="s">
        <v>4686</v>
      </c>
      <c r="E1103" s="1" t="s">
        <v>1550</v>
      </c>
      <c r="F1103" s="3">
        <v>2.0721663884737902</v>
      </c>
      <c r="G1103" s="3">
        <v>2.0461350766677899</v>
      </c>
      <c r="H1103" s="3">
        <v>2.0385576638854901</v>
      </c>
      <c r="I1103" s="3">
        <v>2.05380668950311</v>
      </c>
      <c r="J1103" s="3">
        <v>2.0850705066386501</v>
      </c>
      <c r="K1103" s="3">
        <v>2.1172273238694799</v>
      </c>
      <c r="L1103" s="3">
        <v>2.14749411089229</v>
      </c>
      <c r="M1103" s="3">
        <v>2.1785007541895598</v>
      </c>
      <c r="N1103" s="3">
        <v>2.24392057978269</v>
      </c>
      <c r="O1103" s="3">
        <v>2.34102863148689</v>
      </c>
      <c r="P1103" s="3">
        <v>2.4354481454733801</v>
      </c>
      <c r="Q1103" s="3">
        <v>2.5257086213821198</v>
      </c>
      <c r="R1103" s="3">
        <v>2.61128709318066</v>
      </c>
      <c r="S1103" s="3">
        <v>2.6954906118842099</v>
      </c>
      <c r="T1103" s="3">
        <v>2.7481671241382002</v>
      </c>
      <c r="U1103" s="3">
        <v>2.7712483446976099</v>
      </c>
      <c r="V1103" s="3">
        <v>2.7991785946759098</v>
      </c>
      <c r="W1103" s="3">
        <v>2.8341938054404001</v>
      </c>
      <c r="X1103" s="3">
        <v>2.8754137259385999</v>
      </c>
      <c r="Y1103" s="3">
        <v>2.9215338720586499</v>
      </c>
      <c r="Z1103" s="3">
        <v>2.97386621500798</v>
      </c>
      <c r="AA1103" s="3">
        <v>3.0340765554722799</v>
      </c>
      <c r="AB1103" s="3">
        <v>3.1047979403099499</v>
      </c>
      <c r="AC1103" s="3">
        <v>3.1858676252941698</v>
      </c>
      <c r="AD1103" s="3">
        <v>3.2727639347619299</v>
      </c>
      <c r="AE1103" t="s">
        <v>6166</v>
      </c>
      <c r="AF1103" t="s">
        <v>629</v>
      </c>
    </row>
    <row r="1104" spans="1:32" x14ac:dyDescent="0.3">
      <c r="A1104" t="s">
        <v>1826</v>
      </c>
      <c r="B1104" s="1" t="s">
        <v>1205</v>
      </c>
      <c r="C1104" s="5" t="s">
        <v>3170</v>
      </c>
      <c r="D1104" s="2" t="s">
        <v>4687</v>
      </c>
      <c r="E1104" s="1" t="s">
        <v>142</v>
      </c>
      <c r="F1104" s="3">
        <v>1.45814365427461</v>
      </c>
      <c r="G1104" s="3">
        <v>1.41778422911613</v>
      </c>
      <c r="H1104" s="3">
        <v>1.3775332505797799</v>
      </c>
      <c r="I1104" s="3">
        <v>1.33255149753464</v>
      </c>
      <c r="J1104" s="3">
        <v>1.2976199369974599</v>
      </c>
      <c r="K1104" s="3">
        <v>1.2872444985757201</v>
      </c>
      <c r="L1104" s="3">
        <v>1.29470130958378</v>
      </c>
      <c r="M1104" s="3">
        <v>1.31839113143311</v>
      </c>
      <c r="N1104" s="3">
        <v>1.39349524636371</v>
      </c>
      <c r="O1104" s="3">
        <v>1.5035836212175799</v>
      </c>
      <c r="P1104" s="3">
        <v>1.6043361494480199</v>
      </c>
      <c r="Q1104" s="3">
        <v>1.70167210571523</v>
      </c>
      <c r="R1104" s="3">
        <v>1.7967725033736499</v>
      </c>
      <c r="S1104" s="3">
        <v>1.88892118988274</v>
      </c>
      <c r="T1104" s="3">
        <v>1.95075927183158</v>
      </c>
      <c r="U1104" s="3">
        <v>1.98334193264265</v>
      </c>
      <c r="V1104" s="3">
        <v>2.0135225279542102</v>
      </c>
      <c r="W1104" s="3">
        <v>2.0408218841604899</v>
      </c>
      <c r="X1104" s="3">
        <v>2.0671406304200701</v>
      </c>
      <c r="Y1104" s="3">
        <v>2.0920693850429202</v>
      </c>
      <c r="Z1104" s="3">
        <v>2.11186336740092</v>
      </c>
      <c r="AA1104" s="3">
        <v>2.1264689057437902</v>
      </c>
      <c r="AB1104" s="3">
        <v>2.1412376633097798</v>
      </c>
      <c r="AC1104" s="3">
        <v>2.15680927739312</v>
      </c>
      <c r="AD1104" s="3">
        <v>2.17065450534515</v>
      </c>
      <c r="AE1104" t="s">
        <v>6167</v>
      </c>
      <c r="AF1104" t="s">
        <v>629</v>
      </c>
    </row>
    <row r="1105" spans="1:32" x14ac:dyDescent="0.3">
      <c r="A1105" t="s">
        <v>1826</v>
      </c>
      <c r="B1105" s="1" t="s">
        <v>1205</v>
      </c>
      <c r="C1105" s="5" t="s">
        <v>3171</v>
      </c>
      <c r="D1105" s="2" t="s">
        <v>4688</v>
      </c>
      <c r="E1105" s="1" t="s">
        <v>320</v>
      </c>
      <c r="F1105" s="3">
        <v>1.77592821752612</v>
      </c>
      <c r="G1105" s="3">
        <v>1.74304977870262</v>
      </c>
      <c r="H1105" s="3">
        <v>1.7061393512124801</v>
      </c>
      <c r="I1105" s="3">
        <v>1.65989336084828</v>
      </c>
      <c r="J1105" s="3">
        <v>1.61100740099999</v>
      </c>
      <c r="K1105" s="3">
        <v>1.57465375552915</v>
      </c>
      <c r="L1105" s="3">
        <v>1.5543083321617299</v>
      </c>
      <c r="M1105" s="3">
        <v>1.5491832630389899</v>
      </c>
      <c r="N1105" s="3">
        <v>1.5936987683626</v>
      </c>
      <c r="O1105" s="3">
        <v>1.6805208927263799</v>
      </c>
      <c r="P1105" s="3">
        <v>1.76777014580772</v>
      </c>
      <c r="Q1105" s="3">
        <v>1.85409705784333</v>
      </c>
      <c r="R1105" s="3">
        <v>1.9404101053208</v>
      </c>
      <c r="S1105" s="3">
        <v>2.0261821375070199</v>
      </c>
      <c r="T1105" s="3">
        <v>2.07749782767258</v>
      </c>
      <c r="U1105" s="3">
        <v>2.09465138688706</v>
      </c>
      <c r="V1105" s="3">
        <v>2.1107036971640598</v>
      </c>
      <c r="W1105" s="3">
        <v>2.1271228218301701</v>
      </c>
      <c r="X1105" s="3">
        <v>2.1477056958732699</v>
      </c>
      <c r="Y1105" s="3">
        <v>2.1738251150746799</v>
      </c>
      <c r="Z1105" s="3">
        <v>2.2012706489425602</v>
      </c>
      <c r="AA1105" s="3">
        <v>2.2304566718236001</v>
      </c>
      <c r="AB1105" s="3">
        <v>2.2665537169215901</v>
      </c>
      <c r="AC1105" s="3">
        <v>2.3081787713679298</v>
      </c>
      <c r="AD1105" s="3">
        <v>2.3515419042062198</v>
      </c>
      <c r="AE1105" t="s">
        <v>6168</v>
      </c>
      <c r="AF1105" t="s">
        <v>629</v>
      </c>
    </row>
    <row r="1106" spans="1:32" x14ac:dyDescent="0.3">
      <c r="A1106" t="s">
        <v>1826</v>
      </c>
      <c r="B1106" s="1" t="s">
        <v>1205</v>
      </c>
      <c r="C1106" s="5" t="s">
        <v>3172</v>
      </c>
      <c r="D1106" s="2" t="s">
        <v>4689</v>
      </c>
      <c r="E1106" s="1" t="s">
        <v>639</v>
      </c>
      <c r="F1106" s="3">
        <v>1.2689809447549101</v>
      </c>
      <c r="G1106" s="3">
        <v>1.23007364545064</v>
      </c>
      <c r="H1106" s="3">
        <v>1.18995925001416</v>
      </c>
      <c r="I1106" s="3">
        <v>1.1502217462267901</v>
      </c>
      <c r="J1106" s="3">
        <v>1.1137096576672001</v>
      </c>
      <c r="K1106" s="3">
        <v>1.08171793993262</v>
      </c>
      <c r="L1106" s="3">
        <v>1.05210294329468</v>
      </c>
      <c r="M1106" s="3">
        <v>1.02289468863071</v>
      </c>
      <c r="N1106" s="3">
        <v>1.0196477651820199</v>
      </c>
      <c r="O1106" s="3">
        <v>1.0557267914514199</v>
      </c>
      <c r="P1106" s="3">
        <v>1.11401947421171</v>
      </c>
      <c r="Q1106" s="3">
        <v>1.18564772049114</v>
      </c>
      <c r="R1106" s="3">
        <v>1.2663032493226001</v>
      </c>
      <c r="S1106" s="3">
        <v>1.35004272189269</v>
      </c>
      <c r="T1106" s="3">
        <v>1.3951841793686199</v>
      </c>
      <c r="U1106" s="3">
        <v>1.4066792529284899</v>
      </c>
      <c r="V1106" s="3">
        <v>1.42408700341221</v>
      </c>
      <c r="W1106" s="3">
        <v>1.4458556105121301</v>
      </c>
      <c r="X1106" s="3">
        <v>1.4727306262412001</v>
      </c>
      <c r="Y1106" s="3">
        <v>1.5052897473479401</v>
      </c>
      <c r="Z1106" s="3">
        <v>1.5382999494767999</v>
      </c>
      <c r="AA1106" s="3">
        <v>1.5674056440833799</v>
      </c>
      <c r="AB1106" s="3">
        <v>1.5949205123089201</v>
      </c>
      <c r="AC1106" s="3">
        <v>1.62264094694954</v>
      </c>
      <c r="AD1106" s="3">
        <v>1.64812547683116</v>
      </c>
      <c r="AE1106" t="s">
        <v>6169</v>
      </c>
      <c r="AF1106" t="s">
        <v>629</v>
      </c>
    </row>
    <row r="1107" spans="1:32" x14ac:dyDescent="0.3">
      <c r="A1107" t="s">
        <v>1826</v>
      </c>
      <c r="B1107" s="1" t="s">
        <v>1205</v>
      </c>
      <c r="C1107" s="5" t="s">
        <v>3173</v>
      </c>
      <c r="D1107" s="2" t="s">
        <v>4690</v>
      </c>
      <c r="E1107" s="1" t="s">
        <v>843</v>
      </c>
      <c r="F1107" s="3">
        <v>1.43103463297512</v>
      </c>
      <c r="G1107" s="3">
        <v>1.4063613313044401</v>
      </c>
      <c r="H1107" s="3">
        <v>1.3800128172979</v>
      </c>
      <c r="I1107" s="3">
        <v>1.3534324460690601</v>
      </c>
      <c r="J1107" s="3">
        <v>1.32766845195348</v>
      </c>
      <c r="K1107" s="3">
        <v>1.3030889779846599</v>
      </c>
      <c r="L1107" s="3">
        <v>1.2786612820162999</v>
      </c>
      <c r="M1107" s="3">
        <v>1.25162102889389</v>
      </c>
      <c r="N1107" s="3">
        <v>1.2347811365264201</v>
      </c>
      <c r="O1107" s="3">
        <v>1.23987474197228</v>
      </c>
      <c r="P1107" s="3">
        <v>1.26640426738555</v>
      </c>
      <c r="Q1107" s="3">
        <v>1.31345120190048</v>
      </c>
      <c r="R1107" s="3">
        <v>1.3772123965238801</v>
      </c>
      <c r="S1107" s="3">
        <v>1.45212661643501</v>
      </c>
      <c r="T1107" s="3">
        <v>1.49623894693765</v>
      </c>
      <c r="U1107" s="3">
        <v>1.50907123639448</v>
      </c>
      <c r="V1107" s="3">
        <v>1.5248669608108001</v>
      </c>
      <c r="W1107" s="3">
        <v>1.5415345478319</v>
      </c>
      <c r="X1107" s="3">
        <v>1.55934843386989</v>
      </c>
      <c r="Y1107" s="3">
        <v>1.5797423612108901</v>
      </c>
      <c r="Z1107" s="3">
        <v>1.5981588209265201</v>
      </c>
      <c r="AA1107" s="3">
        <v>1.6142561734868299</v>
      </c>
      <c r="AB1107" s="3">
        <v>1.6330462371316601</v>
      </c>
      <c r="AC1107" s="3">
        <v>1.65567470904967</v>
      </c>
      <c r="AD1107" s="3">
        <v>1.6812357453573401</v>
      </c>
      <c r="AE1107" t="s">
        <v>6170</v>
      </c>
      <c r="AF1107" t="s">
        <v>629</v>
      </c>
    </row>
    <row r="1108" spans="1:32" x14ac:dyDescent="0.3">
      <c r="A1108" t="s">
        <v>1826</v>
      </c>
      <c r="B1108" s="1" t="s">
        <v>1205</v>
      </c>
      <c r="C1108" s="5" t="s">
        <v>3174</v>
      </c>
      <c r="D1108" s="2" t="s">
        <v>4691</v>
      </c>
      <c r="E1108" s="1" t="s">
        <v>1879</v>
      </c>
      <c r="F1108" s="3">
        <v>2.4295689181153901</v>
      </c>
      <c r="G1108" s="3">
        <v>2.40299021179099</v>
      </c>
      <c r="H1108" s="3">
        <v>2.3761320260610002</v>
      </c>
      <c r="I1108" s="3">
        <v>2.3476458863231202</v>
      </c>
      <c r="J1108" s="3">
        <v>2.3168435234283402</v>
      </c>
      <c r="K1108" s="3">
        <v>2.2843883243144099</v>
      </c>
      <c r="L1108" s="3">
        <v>2.2503185653903701</v>
      </c>
      <c r="M1108" s="3">
        <v>2.2155974178145899</v>
      </c>
      <c r="N1108" s="3">
        <v>2.2172784104962799</v>
      </c>
      <c r="O1108" s="3">
        <v>2.2577205469630499</v>
      </c>
      <c r="P1108" s="3">
        <v>2.3059988110581902</v>
      </c>
      <c r="Q1108" s="3">
        <v>2.3642525098827898</v>
      </c>
      <c r="R1108" s="3">
        <v>2.4356590113179002</v>
      </c>
      <c r="S1108" s="3">
        <v>2.5252074732279799</v>
      </c>
      <c r="T1108" s="3">
        <v>2.5542540788727401</v>
      </c>
      <c r="U1108" s="3">
        <v>2.5199471963116999</v>
      </c>
      <c r="V1108" s="3">
        <v>2.4967020694914299</v>
      </c>
      <c r="W1108" s="3">
        <v>2.4839571768940498</v>
      </c>
      <c r="X1108" s="3">
        <v>2.4816076289937401</v>
      </c>
      <c r="Y1108" s="3">
        <v>2.4884218637322499</v>
      </c>
      <c r="Z1108" s="3">
        <v>2.49608258726879</v>
      </c>
      <c r="AA1108" s="3">
        <v>2.5075206049824401</v>
      </c>
      <c r="AB1108" s="3">
        <v>2.53282102103497</v>
      </c>
      <c r="AC1108" s="3">
        <v>2.5682422708023398</v>
      </c>
      <c r="AD1108" s="3">
        <v>2.6089684955610299</v>
      </c>
      <c r="AE1108" t="s">
        <v>6171</v>
      </c>
      <c r="AF1108" t="s">
        <v>629</v>
      </c>
    </row>
    <row r="1109" spans="1:32" x14ac:dyDescent="0.3">
      <c r="A1109" t="s">
        <v>1826</v>
      </c>
      <c r="B1109" s="1" t="s">
        <v>1205</v>
      </c>
      <c r="C1109" s="5" t="s">
        <v>3175</v>
      </c>
      <c r="D1109" s="2" t="s">
        <v>4692</v>
      </c>
      <c r="E1109" s="1" t="s">
        <v>356</v>
      </c>
      <c r="F1109" s="3">
        <v>216554</v>
      </c>
      <c r="G1109" s="3">
        <v>219655</v>
      </c>
      <c r="H1109" s="3">
        <v>222484</v>
      </c>
      <c r="I1109" s="3">
        <v>224840</v>
      </c>
      <c r="J1109" s="3">
        <v>226717</v>
      </c>
      <c r="K1109" s="3">
        <v>228325</v>
      </c>
      <c r="L1109" s="3">
        <v>229611</v>
      </c>
      <c r="M1109" s="3">
        <v>230662</v>
      </c>
      <c r="N1109" s="3">
        <v>235614</v>
      </c>
      <c r="O1109" s="3">
        <v>245164</v>
      </c>
      <c r="P1109" s="3">
        <v>256249</v>
      </c>
      <c r="Q1109" s="3">
        <v>269136</v>
      </c>
      <c r="R1109" s="3">
        <v>284083</v>
      </c>
      <c r="S1109" s="3">
        <v>301639</v>
      </c>
      <c r="T1109" s="3">
        <v>313305</v>
      </c>
      <c r="U1109" s="3">
        <v>318265</v>
      </c>
      <c r="V1109" s="3">
        <v>324599</v>
      </c>
      <c r="W1109" s="3">
        <v>332143</v>
      </c>
      <c r="X1109" s="3">
        <v>340858</v>
      </c>
      <c r="Y1109" s="3">
        <v>350863</v>
      </c>
      <c r="Z1109" s="3">
        <v>361471</v>
      </c>
      <c r="AA1109" s="3">
        <v>372837</v>
      </c>
      <c r="AB1109" s="3">
        <v>386535</v>
      </c>
      <c r="AC1109" s="3">
        <v>402494</v>
      </c>
      <c r="AD1109" s="3">
        <v>419849</v>
      </c>
      <c r="AE1109" t="s">
        <v>6172</v>
      </c>
      <c r="AF1109" t="s">
        <v>1253</v>
      </c>
    </row>
    <row r="1110" spans="1:32" x14ac:dyDescent="0.3">
      <c r="A1110" t="s">
        <v>1826</v>
      </c>
      <c r="B1110" s="1" t="s">
        <v>1205</v>
      </c>
      <c r="C1110" s="5" t="s">
        <v>3176</v>
      </c>
      <c r="D1110" s="2" t="s">
        <v>4693</v>
      </c>
      <c r="E1110" s="1" t="s">
        <v>660</v>
      </c>
      <c r="F1110" s="3">
        <v>2.4597797098104199</v>
      </c>
      <c r="G1110" s="3">
        <v>2.4282431245609502</v>
      </c>
      <c r="H1110" s="3">
        <v>2.39606750467023</v>
      </c>
      <c r="I1110" s="3">
        <v>2.3612655847094</v>
      </c>
      <c r="J1110" s="3">
        <v>2.3233865398294502</v>
      </c>
      <c r="K1110" s="3">
        <v>2.2841008275582699</v>
      </c>
      <c r="L1110" s="3">
        <v>2.2429786579961801</v>
      </c>
      <c r="M1110" s="3">
        <v>2.2009444512297498</v>
      </c>
      <c r="N1110" s="3">
        <v>2.2021475644676398</v>
      </c>
      <c r="O1110" s="3">
        <v>2.2507507085007301</v>
      </c>
      <c r="P1110" s="3">
        <v>2.3113331166455202</v>
      </c>
      <c r="Q1110" s="3">
        <v>2.38601657783525</v>
      </c>
      <c r="R1110" s="3">
        <v>2.4776730765834301</v>
      </c>
      <c r="S1110" s="3">
        <v>2.5901389860101198</v>
      </c>
      <c r="T1110" s="3">
        <v>2.6295469715699999</v>
      </c>
      <c r="U1110" s="3">
        <v>2.5917227087563801</v>
      </c>
      <c r="V1110" s="3">
        <v>2.56445554904345</v>
      </c>
      <c r="W1110" s="3">
        <v>2.5479004252011102</v>
      </c>
      <c r="X1110" s="3">
        <v>2.54221442450755</v>
      </c>
      <c r="Y1110" s="3">
        <v>2.5463368165776799</v>
      </c>
      <c r="Z1110" s="3">
        <v>2.5549344371724101</v>
      </c>
      <c r="AA1110" s="3">
        <v>2.5680954757307002</v>
      </c>
      <c r="AB1110" s="3">
        <v>2.59364517845599</v>
      </c>
      <c r="AC1110" s="3">
        <v>2.6313640652036199</v>
      </c>
      <c r="AD1110" s="3">
        <v>2.6763198420505399</v>
      </c>
      <c r="AE1110" t="s">
        <v>6173</v>
      </c>
      <c r="AF1110" t="s">
        <v>629</v>
      </c>
    </row>
    <row r="1111" spans="1:32" x14ac:dyDescent="0.3">
      <c r="A1111" t="s">
        <v>1826</v>
      </c>
      <c r="B1111" s="1" t="s">
        <v>1205</v>
      </c>
      <c r="C1111" s="5" t="s">
        <v>3177</v>
      </c>
      <c r="D1111" s="2" t="s">
        <v>4694</v>
      </c>
      <c r="E1111" s="1" t="s">
        <v>535</v>
      </c>
      <c r="F1111" s="3">
        <v>213455</v>
      </c>
      <c r="G1111" s="3">
        <v>217182</v>
      </c>
      <c r="H1111" s="3">
        <v>220777</v>
      </c>
      <c r="I1111" s="3">
        <v>224160</v>
      </c>
      <c r="J1111" s="3">
        <v>227269</v>
      </c>
      <c r="K1111" s="3">
        <v>230117</v>
      </c>
      <c r="L1111" s="3">
        <v>232757</v>
      </c>
      <c r="M1111" s="3">
        <v>235290</v>
      </c>
      <c r="N1111" s="3">
        <v>241421</v>
      </c>
      <c r="O1111" s="3">
        <v>251488</v>
      </c>
      <c r="P1111" s="3">
        <v>262326</v>
      </c>
      <c r="Q1111" s="3">
        <v>274217</v>
      </c>
      <c r="R1111" s="3">
        <v>287495</v>
      </c>
      <c r="S1111" s="3">
        <v>302890</v>
      </c>
      <c r="T1111" s="3">
        <v>313187</v>
      </c>
      <c r="U1111" s="3">
        <v>317929</v>
      </c>
      <c r="V1111" s="3">
        <v>324279</v>
      </c>
      <c r="W1111" s="3">
        <v>331903</v>
      </c>
      <c r="X1111" s="3">
        <v>340695</v>
      </c>
      <c r="Y1111" s="3">
        <v>350698</v>
      </c>
      <c r="Z1111" s="3">
        <v>360282</v>
      </c>
      <c r="AA1111" s="3">
        <v>370385</v>
      </c>
      <c r="AB1111" s="3">
        <v>383316</v>
      </c>
      <c r="AC1111" s="3">
        <v>397915</v>
      </c>
      <c r="AD1111" s="3">
        <v>413305</v>
      </c>
      <c r="AE1111" t="s">
        <v>6174</v>
      </c>
      <c r="AF1111" t="s">
        <v>1253</v>
      </c>
    </row>
    <row r="1112" spans="1:32" x14ac:dyDescent="0.3">
      <c r="A1112" t="s">
        <v>1826</v>
      </c>
      <c r="B1112" s="1" t="s">
        <v>1205</v>
      </c>
      <c r="C1112" s="5" t="s">
        <v>3178</v>
      </c>
      <c r="D1112" s="2" t="s">
        <v>4695</v>
      </c>
      <c r="E1112" s="1" t="s">
        <v>1428</v>
      </c>
      <c r="F1112" s="3">
        <v>2.39966858558387</v>
      </c>
      <c r="G1112" s="3">
        <v>2.3779784951887799</v>
      </c>
      <c r="H1112" s="3">
        <v>2.3563752075313098</v>
      </c>
      <c r="I1112" s="3">
        <v>2.3341417358041601</v>
      </c>
      <c r="J1112" s="3">
        <v>2.3103530285179499</v>
      </c>
      <c r="K1112" s="3">
        <v>2.2846736543941701</v>
      </c>
      <c r="L1112" s="3">
        <v>2.2576064701159</v>
      </c>
      <c r="M1112" s="3">
        <v>2.2301528340447399</v>
      </c>
      <c r="N1112" s="3">
        <v>2.2322471461459799</v>
      </c>
      <c r="O1112" s="3">
        <v>2.2645567974343299</v>
      </c>
      <c r="P1112" s="3">
        <v>2.3008118087394802</v>
      </c>
      <c r="Q1112" s="3">
        <v>2.34327439904976</v>
      </c>
      <c r="R1112" s="3">
        <v>2.39552024869139</v>
      </c>
      <c r="S1112" s="3">
        <v>2.4637006982288301</v>
      </c>
      <c r="T1112" s="3">
        <v>2.4831271239384001</v>
      </c>
      <c r="U1112" s="3">
        <v>2.4519703463285301</v>
      </c>
      <c r="V1112" s="3">
        <v>2.4323747770928801</v>
      </c>
      <c r="W1112" s="3">
        <v>2.4231018646026299</v>
      </c>
      <c r="X1112" s="3">
        <v>2.4237962948240401</v>
      </c>
      <c r="Y1112" s="3">
        <v>2.4330575046963299</v>
      </c>
      <c r="Z1112" s="3">
        <v>2.43969973645155</v>
      </c>
      <c r="AA1112" s="3">
        <v>2.4493639158265399</v>
      </c>
      <c r="AB1112" s="3">
        <v>2.47430817716327</v>
      </c>
      <c r="AC1112" s="3">
        <v>2.50740203002804</v>
      </c>
      <c r="AD1112" s="3">
        <v>2.5439350518402799</v>
      </c>
      <c r="AE1112" t="s">
        <v>6175</v>
      </c>
      <c r="AF1112" t="s">
        <v>629</v>
      </c>
    </row>
    <row r="1113" spans="1:32" x14ac:dyDescent="0.3">
      <c r="A1113" t="s">
        <v>1826</v>
      </c>
      <c r="B1113" s="1" t="s">
        <v>1205</v>
      </c>
      <c r="C1113" s="5" t="s">
        <v>3179</v>
      </c>
      <c r="D1113" s="2" t="s">
        <v>4696</v>
      </c>
      <c r="E1113" s="1" t="s">
        <v>402</v>
      </c>
      <c r="F1113" s="3">
        <v>430009</v>
      </c>
      <c r="G1113" s="3">
        <v>436837</v>
      </c>
      <c r="H1113" s="3">
        <v>443262</v>
      </c>
      <c r="I1113" s="3">
        <v>449000</v>
      </c>
      <c r="J1113" s="3">
        <v>453985</v>
      </c>
      <c r="K1113" s="3">
        <v>458442</v>
      </c>
      <c r="L1113" s="3">
        <v>462368</v>
      </c>
      <c r="M1113" s="3">
        <v>465952</v>
      </c>
      <c r="N1113" s="3">
        <v>477035</v>
      </c>
      <c r="O1113" s="3">
        <v>496652</v>
      </c>
      <c r="P1113" s="3">
        <v>518575</v>
      </c>
      <c r="Q1113" s="3">
        <v>543353</v>
      </c>
      <c r="R1113" s="3">
        <v>571578</v>
      </c>
      <c r="S1113" s="3">
        <v>604529</v>
      </c>
      <c r="T1113" s="3">
        <v>626492</v>
      </c>
      <c r="U1113" s="3">
        <v>636194</v>
      </c>
      <c r="V1113" s="3">
        <v>648878</v>
      </c>
      <c r="W1113" s="3">
        <v>664046</v>
      </c>
      <c r="X1113" s="3">
        <v>681553</v>
      </c>
      <c r="Y1113" s="3">
        <v>701561</v>
      </c>
      <c r="Z1113" s="3">
        <v>721753</v>
      </c>
      <c r="AA1113" s="3">
        <v>743222</v>
      </c>
      <c r="AB1113" s="3">
        <v>769851</v>
      </c>
      <c r="AC1113" s="3">
        <v>800410</v>
      </c>
      <c r="AD1113" s="3">
        <v>833154</v>
      </c>
      <c r="AE1113" t="s">
        <v>6176</v>
      </c>
      <c r="AF1113" t="s">
        <v>1253</v>
      </c>
    </row>
    <row r="1114" spans="1:32" x14ac:dyDescent="0.3">
      <c r="A1114" t="s">
        <v>1826</v>
      </c>
      <c r="B1114" s="1" t="s">
        <v>1205</v>
      </c>
      <c r="C1114" s="5" t="s">
        <v>3180</v>
      </c>
      <c r="D1114" s="2" t="s">
        <v>4697</v>
      </c>
      <c r="E1114" s="1" t="s">
        <v>1461</v>
      </c>
      <c r="F1114" s="3">
        <v>0.99591693197360898</v>
      </c>
      <c r="G1114" s="3">
        <v>0.97854920170215198</v>
      </c>
      <c r="H1114" s="3">
        <v>0.96008767310235998</v>
      </c>
      <c r="I1114" s="3">
        <v>0.93923740133869504</v>
      </c>
      <c r="J1114" s="3">
        <v>0.91574427145509796</v>
      </c>
      <c r="K1114" s="3">
        <v>0.890806825542514</v>
      </c>
      <c r="L1114" s="3">
        <v>0.86441877765766195</v>
      </c>
      <c r="M1114" s="3">
        <v>0.83745381749896997</v>
      </c>
      <c r="N1114" s="3">
        <v>0.82701336154955396</v>
      </c>
      <c r="O1114" s="3">
        <v>0.83760510114097797</v>
      </c>
      <c r="P1114" s="3">
        <v>0.85810266356881504</v>
      </c>
      <c r="Q1114" s="3">
        <v>0.88754580740382305</v>
      </c>
      <c r="R1114" s="3">
        <v>0.92570905520575597</v>
      </c>
      <c r="S1114" s="3">
        <v>0.97413042454368304</v>
      </c>
      <c r="T1114" s="3">
        <v>0.99925546198076298</v>
      </c>
      <c r="U1114" s="3">
        <v>0.99676662712287301</v>
      </c>
      <c r="V1114" s="3">
        <v>0.99709909885496995</v>
      </c>
      <c r="W1114" s="3">
        <v>1.0021096277685699</v>
      </c>
      <c r="X1114" s="3">
        <v>1.01128310982235</v>
      </c>
      <c r="Y1114" s="3">
        <v>1.0229580898850601</v>
      </c>
      <c r="Z1114" s="3">
        <v>1.0367928766529899</v>
      </c>
      <c r="AA1114" s="3">
        <v>1.05358610858839</v>
      </c>
      <c r="AB1114" s="3">
        <v>1.0744233948023001</v>
      </c>
      <c r="AC1114" s="3">
        <v>1.09974679035809</v>
      </c>
      <c r="AD1114" s="3">
        <v>1.1286912592690099</v>
      </c>
      <c r="AE1114" t="s">
        <v>6177</v>
      </c>
      <c r="AF1114" t="s">
        <v>629</v>
      </c>
    </row>
    <row r="1115" spans="1:32" x14ac:dyDescent="0.3">
      <c r="A1115" t="s">
        <v>1826</v>
      </c>
      <c r="B1115" s="1" t="s">
        <v>1205</v>
      </c>
      <c r="C1115" s="5" t="s">
        <v>3181</v>
      </c>
      <c r="D1115" s="2" t="s">
        <v>4698</v>
      </c>
      <c r="E1115" s="1" t="s">
        <v>1661</v>
      </c>
      <c r="F1115" s="3">
        <v>1.0477214837315501</v>
      </c>
      <c r="G1115" s="3">
        <v>1.0376135741832799</v>
      </c>
      <c r="H1115" s="3">
        <v>1.0270114760657101</v>
      </c>
      <c r="I1115" s="3">
        <v>1.0153684978776201</v>
      </c>
      <c r="J1115" s="3">
        <v>1.0019435331864801</v>
      </c>
      <c r="K1115" s="3">
        <v>0.98657366464517504</v>
      </c>
      <c r="L1115" s="3">
        <v>0.96961437201740597</v>
      </c>
      <c r="M1115" s="3">
        <v>0.95190721714953297</v>
      </c>
      <c r="N1115" s="3">
        <v>0.94040719063170197</v>
      </c>
      <c r="O1115" s="3">
        <v>0.93771532325366902</v>
      </c>
      <c r="P1115" s="3">
        <v>0.940577403548705</v>
      </c>
      <c r="Q1115" s="3">
        <v>0.94950138007058404</v>
      </c>
      <c r="R1115" s="3">
        <v>0.96594304296909905</v>
      </c>
      <c r="S1115" s="3">
        <v>0.99408602837115401</v>
      </c>
      <c r="T1115" s="3">
        <v>1.01499890050639</v>
      </c>
      <c r="U1115" s="3">
        <v>1.02252869393253</v>
      </c>
      <c r="V1115" s="3">
        <v>1.03169222788305</v>
      </c>
      <c r="W1115" s="3">
        <v>1.04323276879281</v>
      </c>
      <c r="X1115" s="3">
        <v>1.0564549000976799</v>
      </c>
      <c r="Y1115" s="3">
        <v>1.0700191433256001</v>
      </c>
      <c r="Z1115" s="3">
        <v>1.08212338133076</v>
      </c>
      <c r="AA1115" s="3">
        <v>1.09512477812103</v>
      </c>
      <c r="AB1115" s="3">
        <v>1.1114557010008901</v>
      </c>
      <c r="AC1115" s="3">
        <v>1.1293739433041701</v>
      </c>
      <c r="AD1115" s="3">
        <v>1.1484099782721799</v>
      </c>
      <c r="AE1115" t="s">
        <v>6178</v>
      </c>
      <c r="AF1115" t="s">
        <v>629</v>
      </c>
    </row>
    <row r="1116" spans="1:32" x14ac:dyDescent="0.3">
      <c r="A1116" t="s">
        <v>1826</v>
      </c>
      <c r="B1116" s="1" t="s">
        <v>1205</v>
      </c>
      <c r="C1116" s="5" t="s">
        <v>3182</v>
      </c>
      <c r="D1116" s="2" t="s">
        <v>4699</v>
      </c>
      <c r="E1116" s="1" t="s">
        <v>2020</v>
      </c>
      <c r="F1116" s="3">
        <v>0.693195259567847</v>
      </c>
      <c r="G1116" s="3">
        <v>0.68540894569166899</v>
      </c>
      <c r="H1116" s="3">
        <v>0.67778971766650498</v>
      </c>
      <c r="I1116" s="3">
        <v>0.66964162644460301</v>
      </c>
      <c r="J1116" s="3">
        <v>0.66080523106175504</v>
      </c>
      <c r="K1116" s="3">
        <v>0.65164273691950203</v>
      </c>
      <c r="L1116" s="3">
        <v>0.64177278259188097</v>
      </c>
      <c r="M1116" s="3">
        <v>0.63127375917924899</v>
      </c>
      <c r="N1116" s="3">
        <v>0.62685976247193398</v>
      </c>
      <c r="O1116" s="3">
        <v>0.62888433725327797</v>
      </c>
      <c r="P1116" s="3">
        <v>0.63279484744232695</v>
      </c>
      <c r="Q1116" s="3">
        <v>0.64109420645470205</v>
      </c>
      <c r="R1116" s="3">
        <v>0.65633599700323497</v>
      </c>
      <c r="S1116" s="3">
        <v>0.68021857225285098</v>
      </c>
      <c r="T1116" s="3">
        <v>0.69304731077080695</v>
      </c>
      <c r="U1116" s="3">
        <v>0.69059538490703998</v>
      </c>
      <c r="V1116" s="3">
        <v>0.68806782255287602</v>
      </c>
      <c r="W1116" s="3">
        <v>0.685749844526087</v>
      </c>
      <c r="X1116" s="3">
        <v>0.68497589894090205</v>
      </c>
      <c r="Y1116" s="3">
        <v>0.68648493066459704</v>
      </c>
      <c r="Z1116" s="3">
        <v>0.68864364576762904</v>
      </c>
      <c r="AA1116" s="3">
        <v>0.69189804267588495</v>
      </c>
      <c r="AB1116" s="3">
        <v>0.69885866125072205</v>
      </c>
      <c r="AC1116" s="3">
        <v>0.70888370250014698</v>
      </c>
      <c r="AD1116" s="3">
        <v>0.72026864361447895</v>
      </c>
      <c r="AE1116" t="s">
        <v>6179</v>
      </c>
      <c r="AF1116" t="s">
        <v>629</v>
      </c>
    </row>
    <row r="1117" spans="1:32" x14ac:dyDescent="0.3">
      <c r="A1117" t="s">
        <v>1826</v>
      </c>
      <c r="B1117" s="1" t="s">
        <v>1205</v>
      </c>
      <c r="C1117" s="5" t="s">
        <v>3183</v>
      </c>
      <c r="D1117" s="2" t="s">
        <v>4700</v>
      </c>
      <c r="E1117" s="1" t="s">
        <v>134</v>
      </c>
      <c r="F1117" s="3">
        <v>0.68902271251120295</v>
      </c>
      <c r="G1117" s="3">
        <v>0.68329141151567596</v>
      </c>
      <c r="H1117" s="3">
        <v>0.678033884777412</v>
      </c>
      <c r="I1117" s="3">
        <v>0.67299883162492102</v>
      </c>
      <c r="J1117" s="3">
        <v>0.66785730968387003</v>
      </c>
      <c r="K1117" s="3">
        <v>0.66234899933554603</v>
      </c>
      <c r="L1117" s="3">
        <v>0.65660041027462501</v>
      </c>
      <c r="M1117" s="3">
        <v>0.65072426651582205</v>
      </c>
      <c r="N1117" s="3">
        <v>0.64784089327240801</v>
      </c>
      <c r="O1117" s="3">
        <v>0.64717187932785103</v>
      </c>
      <c r="P1117" s="3">
        <v>0.64544837877695305</v>
      </c>
      <c r="Q1117" s="3">
        <v>0.64432205634789697</v>
      </c>
      <c r="R1117" s="3">
        <v>0.64612566862620502</v>
      </c>
      <c r="S1117" s="3">
        <v>0.65274362749567705</v>
      </c>
      <c r="T1117" s="3">
        <v>0.656219488655989</v>
      </c>
      <c r="U1117" s="3">
        <v>0.65484824818578602</v>
      </c>
      <c r="V1117" s="3">
        <v>0.65481474125072203</v>
      </c>
      <c r="W1117" s="3">
        <v>0.65633151054514105</v>
      </c>
      <c r="X1117" s="3">
        <v>0.66066670458572696</v>
      </c>
      <c r="Y1117" s="3">
        <v>0.66793160297132603</v>
      </c>
      <c r="Z1117" s="3">
        <v>0.67437984651897798</v>
      </c>
      <c r="AA1117" s="3">
        <v>0.68085261437014899</v>
      </c>
      <c r="AB1117" s="3">
        <v>0.69106679381743097</v>
      </c>
      <c r="AC1117" s="3">
        <v>0.70310384619480504</v>
      </c>
      <c r="AD1117" s="3">
        <v>0.71504145108288397</v>
      </c>
      <c r="AE1117" t="s">
        <v>6180</v>
      </c>
      <c r="AF1117" t="s">
        <v>629</v>
      </c>
    </row>
    <row r="1118" spans="1:32" x14ac:dyDescent="0.3">
      <c r="A1118" t="s">
        <v>1826</v>
      </c>
      <c r="B1118" s="1" t="s">
        <v>1205</v>
      </c>
      <c r="C1118" s="5" t="s">
        <v>3184</v>
      </c>
      <c r="D1118" s="2" t="s">
        <v>4701</v>
      </c>
      <c r="E1118" s="1" t="s">
        <v>743</v>
      </c>
      <c r="F1118" s="3">
        <v>0.432801916763978</v>
      </c>
      <c r="G1118" s="3">
        <v>0.42628985111997098</v>
      </c>
      <c r="H1118" s="3">
        <v>0.42126878297783998</v>
      </c>
      <c r="I1118" s="3">
        <v>0.41713253791850202</v>
      </c>
      <c r="J1118" s="3">
        <v>0.41349068904252001</v>
      </c>
      <c r="K1118" s="3">
        <v>0.41027282662791897</v>
      </c>
      <c r="L1118" s="3">
        <v>0.40723839791592698</v>
      </c>
      <c r="M1118" s="3">
        <v>0.40427340803957201</v>
      </c>
      <c r="N1118" s="3">
        <v>0.40736841898658099</v>
      </c>
      <c r="O1118" s="3">
        <v>0.414935226102149</v>
      </c>
      <c r="P1118" s="3">
        <v>0.42035841342130698</v>
      </c>
      <c r="Q1118" s="3">
        <v>0.42498029313635499</v>
      </c>
      <c r="R1118" s="3">
        <v>0.43043608991079702</v>
      </c>
      <c r="S1118" s="3">
        <v>0.438132856005647</v>
      </c>
      <c r="T1118" s="3">
        <v>0.44021408384600902</v>
      </c>
      <c r="U1118" s="3">
        <v>0.436211365811361</v>
      </c>
      <c r="V1118" s="3">
        <v>0.43376643086533201</v>
      </c>
      <c r="W1118" s="3">
        <v>0.43270344184378101</v>
      </c>
      <c r="X1118" s="3">
        <v>0.43283755411075397</v>
      </c>
      <c r="Y1118" s="3">
        <v>0.43408833140722902</v>
      </c>
      <c r="Z1118" s="3">
        <v>0.43546573088013601</v>
      </c>
      <c r="AA1118" s="3">
        <v>0.43627116204086802</v>
      </c>
      <c r="AB1118" s="3">
        <v>0.43714564763511699</v>
      </c>
      <c r="AC1118" s="3">
        <v>0.439009596025005</v>
      </c>
      <c r="AD1118" s="3">
        <v>0.44213725030795897</v>
      </c>
      <c r="AE1118" t="s">
        <v>6181</v>
      </c>
      <c r="AF1118" t="s">
        <v>629</v>
      </c>
    </row>
    <row r="1119" spans="1:32" x14ac:dyDescent="0.3">
      <c r="A1119" t="s">
        <v>1826</v>
      </c>
      <c r="B1119" s="1" t="s">
        <v>1205</v>
      </c>
      <c r="C1119" s="5" t="s">
        <v>3185</v>
      </c>
      <c r="D1119" s="2" t="s">
        <v>4702</v>
      </c>
      <c r="E1119" s="1" t="s">
        <v>1510</v>
      </c>
      <c r="F1119" s="3">
        <v>0.399642166863449</v>
      </c>
      <c r="G1119" s="3">
        <v>0.39431418068782398</v>
      </c>
      <c r="H1119" s="3">
        <v>0.39007427340761802</v>
      </c>
      <c r="I1119" s="3">
        <v>0.38659829373816901</v>
      </c>
      <c r="J1119" s="3">
        <v>0.383608528693482</v>
      </c>
      <c r="K1119" s="3">
        <v>0.38096509867647899</v>
      </c>
      <c r="L1119" s="3">
        <v>0.37863520519817601</v>
      </c>
      <c r="M1119" s="3">
        <v>0.376597167234829</v>
      </c>
      <c r="N1119" s="3">
        <v>0.38043835800604098</v>
      </c>
      <c r="O1119" s="3">
        <v>0.38802308355325699</v>
      </c>
      <c r="P1119" s="3">
        <v>0.39244556001366199</v>
      </c>
      <c r="Q1119" s="3">
        <v>0.39479418575835501</v>
      </c>
      <c r="R1119" s="3">
        <v>0.39609609911126498</v>
      </c>
      <c r="S1119" s="3">
        <v>0.397328573763023</v>
      </c>
      <c r="T1119" s="3">
        <v>0.394668056596785</v>
      </c>
      <c r="U1119" s="3">
        <v>0.388785177621982</v>
      </c>
      <c r="V1119" s="3">
        <v>0.38457337974071898</v>
      </c>
      <c r="W1119" s="3">
        <v>0.38204998057116202</v>
      </c>
      <c r="X1119" s="3">
        <v>0.38109011322396602</v>
      </c>
      <c r="Y1119" s="3">
        <v>0.38156221553068798</v>
      </c>
      <c r="Z1119" s="3">
        <v>0.38168630309537599</v>
      </c>
      <c r="AA1119" s="3">
        <v>0.38200066308675701</v>
      </c>
      <c r="AB1119" s="3">
        <v>0.38447323787214399</v>
      </c>
      <c r="AC1119" s="3">
        <v>0.38887477738143</v>
      </c>
      <c r="AD1119" s="3">
        <v>0.39480372621348703</v>
      </c>
      <c r="AE1119" t="s">
        <v>6182</v>
      </c>
      <c r="AF1119" t="s">
        <v>629</v>
      </c>
    </row>
    <row r="1120" spans="1:32" x14ac:dyDescent="0.3">
      <c r="A1120" t="s">
        <v>1826</v>
      </c>
      <c r="B1120" s="1" t="s">
        <v>1205</v>
      </c>
      <c r="C1120" s="5" t="s">
        <v>3186</v>
      </c>
      <c r="D1120" s="2" t="s">
        <v>4703</v>
      </c>
      <c r="E1120" s="1" t="s">
        <v>1190</v>
      </c>
      <c r="F1120" s="3">
        <v>0.33786560150498701</v>
      </c>
      <c r="G1120" s="3">
        <v>0.33799512604715998</v>
      </c>
      <c r="H1120" s="3">
        <v>0.33692133092352899</v>
      </c>
      <c r="I1120" s="3">
        <v>0.33525401900759999</v>
      </c>
      <c r="J1120" s="3">
        <v>0.33334634827007398</v>
      </c>
      <c r="K1120" s="3">
        <v>0.33137843846832898</v>
      </c>
      <c r="L1120" s="3">
        <v>0.329548699830715</v>
      </c>
      <c r="M1120" s="3">
        <v>0.32794346651196199</v>
      </c>
      <c r="N1120" s="3">
        <v>0.340906021459569</v>
      </c>
      <c r="O1120" s="3">
        <v>0.36932604400432301</v>
      </c>
      <c r="P1120" s="3">
        <v>0.40007719221307497</v>
      </c>
      <c r="Q1120" s="3">
        <v>0.43239627084037102</v>
      </c>
      <c r="R1120" s="3">
        <v>0.46519193446364698</v>
      </c>
      <c r="S1120" s="3">
        <v>0.49765713320793897</v>
      </c>
      <c r="T1120" s="3">
        <v>0.497030114972415</v>
      </c>
      <c r="U1120" s="3">
        <v>0.46814933091510302</v>
      </c>
      <c r="V1120" s="3">
        <v>0.445522196770269</v>
      </c>
      <c r="W1120" s="3">
        <v>0.42733751106267798</v>
      </c>
      <c r="X1120" s="3">
        <v>0.41311786163354097</v>
      </c>
      <c r="Y1120" s="3">
        <v>0.40280546462078698</v>
      </c>
      <c r="Z1120" s="3">
        <v>0.39403218387164901</v>
      </c>
      <c r="AA1120" s="3">
        <v>0.38634016242556202</v>
      </c>
      <c r="AB1120" s="3">
        <v>0.38321747476784501</v>
      </c>
      <c r="AC1120" s="3">
        <v>0.38372397632037802</v>
      </c>
      <c r="AD1120" s="3">
        <v>0.38522268885908501</v>
      </c>
      <c r="AE1120" t="s">
        <v>6183</v>
      </c>
      <c r="AF1120" t="s">
        <v>629</v>
      </c>
    </row>
    <row r="1121" spans="1:32" x14ac:dyDescent="0.3">
      <c r="A1121" t="s">
        <v>1826</v>
      </c>
      <c r="B1121" s="1" t="s">
        <v>1205</v>
      </c>
      <c r="C1121" s="5" t="s">
        <v>3187</v>
      </c>
      <c r="D1121" s="2" t="s">
        <v>4704</v>
      </c>
      <c r="E1121" s="1" t="s">
        <v>1964</v>
      </c>
      <c r="F1121" s="3">
        <v>0.26328222247766597</v>
      </c>
      <c r="G1121" s="3">
        <v>0.26275932880199998</v>
      </c>
      <c r="H1121" s="3">
        <v>0.26125557328057097</v>
      </c>
      <c r="I1121" s="3">
        <v>0.25917611256344503</v>
      </c>
      <c r="J1121" s="3">
        <v>0.25694365695411697</v>
      </c>
      <c r="K1121" s="3">
        <v>0.25478589173697003</v>
      </c>
      <c r="L1121" s="3">
        <v>0.252756482625696</v>
      </c>
      <c r="M1121" s="3">
        <v>0.25092418314456</v>
      </c>
      <c r="N1121" s="3">
        <v>0.263560704235829</v>
      </c>
      <c r="O1121" s="3">
        <v>0.29164651129955199</v>
      </c>
      <c r="P1121" s="3">
        <v>0.32234046640016301</v>
      </c>
      <c r="Q1121" s="3">
        <v>0.35465677687292202</v>
      </c>
      <c r="R1121" s="3">
        <v>0.38735543798482203</v>
      </c>
      <c r="S1121" s="3">
        <v>0.41954246859897998</v>
      </c>
      <c r="T1121" s="3">
        <v>0.41724067817923199</v>
      </c>
      <c r="U1121" s="3">
        <v>0.38580822658823699</v>
      </c>
      <c r="V1121" s="3">
        <v>0.36129442821839503</v>
      </c>
      <c r="W1121" s="3">
        <v>0.34148760469351103</v>
      </c>
      <c r="X1121" s="3">
        <v>0.32558457691666198</v>
      </c>
      <c r="Y1121" s="3">
        <v>0.31354454286872102</v>
      </c>
      <c r="Z1121" s="3">
        <v>0.30151020550643898</v>
      </c>
      <c r="AA1121" s="3">
        <v>0.29138586024859697</v>
      </c>
      <c r="AB1121" s="3">
        <v>0.28731244447280302</v>
      </c>
      <c r="AC1121" s="3">
        <v>0.28604946314763502</v>
      </c>
      <c r="AD1121" s="3">
        <v>0.28567989627173401</v>
      </c>
      <c r="AE1121" t="s">
        <v>6184</v>
      </c>
      <c r="AF1121" t="s">
        <v>629</v>
      </c>
    </row>
    <row r="1122" spans="1:32" x14ac:dyDescent="0.3">
      <c r="A1122" t="s">
        <v>1826</v>
      </c>
      <c r="B1122" s="1" t="s">
        <v>1205</v>
      </c>
      <c r="C1122" s="5" t="s">
        <v>3188</v>
      </c>
      <c r="D1122" s="2" t="s">
        <v>4705</v>
      </c>
      <c r="E1122" s="1" t="s">
        <v>1817</v>
      </c>
      <c r="F1122" s="3">
        <v>55.657245283018867</v>
      </c>
      <c r="G1122" s="3">
        <v>57.166393081761008</v>
      </c>
      <c r="H1122" s="3">
        <v>58.662801886792451</v>
      </c>
      <c r="I1122" s="3">
        <v>60.14321383647799</v>
      </c>
      <c r="J1122" s="3">
        <v>61.619496855345915</v>
      </c>
      <c r="K1122" s="3">
        <v>63.10835849056604</v>
      </c>
      <c r="L1122" s="3">
        <v>64.612584905660384</v>
      </c>
      <c r="M1122" s="3">
        <v>66.133830188679241</v>
      </c>
      <c r="N1122" s="3">
        <v>67.655468553459116</v>
      </c>
      <c r="O1122" s="3">
        <v>69.175911949685528</v>
      </c>
      <c r="P1122" s="3">
        <v>70.717185534591195</v>
      </c>
      <c r="Q1122" s="3">
        <v>72.270440251572325</v>
      </c>
      <c r="R1122" s="3">
        <v>73.795842767295596</v>
      </c>
      <c r="S1122" s="3">
        <v>75.282311320754715</v>
      </c>
      <c r="T1122" s="3">
        <v>77.130172955974842</v>
      </c>
      <c r="U1122" s="3">
        <v>79.391012578616355</v>
      </c>
      <c r="V1122" s="3">
        <v>81.72768867924529</v>
      </c>
      <c r="W1122" s="3">
        <v>84.067207547169815</v>
      </c>
      <c r="X1122" s="3">
        <v>86.365323899371063</v>
      </c>
      <c r="Y1122" s="3">
        <v>88.657261006289303</v>
      </c>
      <c r="Z1122" s="3">
        <v>90.929084905660375</v>
      </c>
      <c r="AA1122" s="3">
        <v>93.206716981132075</v>
      </c>
      <c r="AB1122" s="3">
        <v>95.581767295597487</v>
      </c>
      <c r="AC1122" s="3"/>
      <c r="AD1122" s="3"/>
      <c r="AE1122" t="s">
        <v>6185</v>
      </c>
      <c r="AF1122" t="s">
        <v>1043</v>
      </c>
    </row>
    <row r="1123" spans="1:32" x14ac:dyDescent="0.3">
      <c r="A1123" t="s">
        <v>1826</v>
      </c>
      <c r="B1123" s="1" t="s">
        <v>1205</v>
      </c>
      <c r="C1123" s="5" t="s">
        <v>3189</v>
      </c>
      <c r="D1123" s="2" t="s">
        <v>4706</v>
      </c>
      <c r="E1123" s="1" t="s">
        <v>797</v>
      </c>
      <c r="F1123" s="3">
        <v>2.7672958395434599</v>
      </c>
      <c r="G1123" s="3">
        <v>2.6753929172622799</v>
      </c>
      <c r="H1123" s="3">
        <v>2.5839635085744499</v>
      </c>
      <c r="I1123" s="3">
        <v>2.4922788111886498</v>
      </c>
      <c r="J1123" s="3">
        <v>2.4249712471280702</v>
      </c>
      <c r="K1123" s="3">
        <v>2.3874897113811699</v>
      </c>
      <c r="L1123" s="3">
        <v>2.3555979628764301</v>
      </c>
      <c r="M1123" s="3">
        <v>2.3271214491968002</v>
      </c>
      <c r="N1123" s="3">
        <v>2.2747768232957299</v>
      </c>
      <c r="O1123" s="3">
        <v>2.2224521491425802</v>
      </c>
      <c r="P1123" s="3">
        <v>2.20359114199838</v>
      </c>
      <c r="Q1123" s="3">
        <v>2.1726576804936801</v>
      </c>
      <c r="R1123" s="3">
        <v>2.0887201915915199</v>
      </c>
      <c r="S1123" s="3">
        <v>1.99427988380631</v>
      </c>
      <c r="T1123" s="3">
        <v>2.4249354547641699</v>
      </c>
      <c r="U1123" s="3">
        <v>2.8890617802319398</v>
      </c>
      <c r="V1123" s="3">
        <v>2.90076810314127</v>
      </c>
      <c r="W1123" s="3">
        <v>2.8223717616558899</v>
      </c>
      <c r="X1123" s="3">
        <v>2.6969682703456201</v>
      </c>
      <c r="Y1123" s="3">
        <v>2.6191684117621801</v>
      </c>
      <c r="Z1123" s="3">
        <v>2.5301980353711202</v>
      </c>
      <c r="AA1123" s="3">
        <v>2.4739873743486398</v>
      </c>
      <c r="AB1123" s="3">
        <v>2.5162293495351302</v>
      </c>
      <c r="AC1123" s="3">
        <v>2.5038468119066501</v>
      </c>
      <c r="AD1123" s="3">
        <v>2.4361820126383402</v>
      </c>
      <c r="AE1123" t="s">
        <v>6186</v>
      </c>
      <c r="AF1123" t="s">
        <v>1822</v>
      </c>
    </row>
    <row r="1124" spans="1:32" x14ac:dyDescent="0.3">
      <c r="A1124" t="s">
        <v>1826</v>
      </c>
      <c r="B1124" s="1" t="s">
        <v>1205</v>
      </c>
      <c r="C1124" s="5" t="s">
        <v>3190</v>
      </c>
      <c r="D1124" s="2" t="s">
        <v>4707</v>
      </c>
      <c r="E1124" s="1" t="s">
        <v>132</v>
      </c>
      <c r="F1124" s="3">
        <v>3007498</v>
      </c>
      <c r="G1124" s="3">
        <v>3090788</v>
      </c>
      <c r="H1124" s="3">
        <v>3176505</v>
      </c>
      <c r="I1124" s="3">
        <v>3264599</v>
      </c>
      <c r="J1124" s="3">
        <v>3355262</v>
      </c>
      <c r="K1124" s="3">
        <v>3448183</v>
      </c>
      <c r="L1124" s="3">
        <v>3543811</v>
      </c>
      <c r="M1124" s="3">
        <v>3642091</v>
      </c>
      <c r="N1124" s="3">
        <v>3743238</v>
      </c>
      <c r="O1124" s="3">
        <v>3846904</v>
      </c>
      <c r="P1124" s="3">
        <v>3953590</v>
      </c>
      <c r="Q1124" s="3">
        <v>4063235</v>
      </c>
      <c r="R1124" s="3">
        <v>4176077</v>
      </c>
      <c r="S1124" s="3">
        <v>4291730</v>
      </c>
      <c r="T1124" s="3">
        <v>4410752</v>
      </c>
      <c r="U1124" s="3">
        <v>4533075</v>
      </c>
      <c r="V1124" s="3">
        <v>4658790</v>
      </c>
      <c r="W1124" s="3">
        <v>4787992</v>
      </c>
      <c r="X1124" s="3">
        <v>4920776</v>
      </c>
      <c r="Y1124" s="3">
        <v>5058550</v>
      </c>
      <c r="Z1124" s="3">
        <v>5202762</v>
      </c>
      <c r="AA1124" s="3">
        <v>5354826</v>
      </c>
      <c r="AB1124" s="3">
        <v>5515790</v>
      </c>
      <c r="AC1124" s="3">
        <v>5686350</v>
      </c>
      <c r="AD1124" s="3">
        <v>5866704</v>
      </c>
      <c r="AE1124" t="s">
        <v>6187</v>
      </c>
      <c r="AF1124" t="s">
        <v>358</v>
      </c>
    </row>
    <row r="1125" spans="1:32" x14ac:dyDescent="0.3">
      <c r="A1125" t="s">
        <v>1826</v>
      </c>
      <c r="B1125" s="1" t="s">
        <v>1205</v>
      </c>
      <c r="C1125" s="5" t="s">
        <v>3191</v>
      </c>
      <c r="D1125" s="2" t="s">
        <v>4708</v>
      </c>
      <c r="E1125" s="1" t="s">
        <v>596</v>
      </c>
      <c r="F1125" s="3">
        <v>39.375439005342358</v>
      </c>
      <c r="G1125" s="3">
        <v>39.024169751504665</v>
      </c>
      <c r="H1125" s="3">
        <v>38.714599323723498</v>
      </c>
      <c r="I1125" s="3">
        <v>38.445270703849204</v>
      </c>
      <c r="J1125" s="3">
        <v>38.206600377982376</v>
      </c>
      <c r="K1125" s="3">
        <v>37.984929331732062</v>
      </c>
      <c r="L1125" s="3">
        <v>37.780396344317168</v>
      </c>
      <c r="M1125" s="3">
        <v>37.590004239864889</v>
      </c>
      <c r="N1125" s="3">
        <v>37.42385484586611</v>
      </c>
      <c r="O1125" s="3">
        <v>37.278968574605443</v>
      </c>
      <c r="P1125" s="3">
        <v>37.145229326052338</v>
      </c>
      <c r="Q1125" s="3">
        <v>37.025560556709024</v>
      </c>
      <c r="R1125" s="3">
        <v>36.941522983510815</v>
      </c>
      <c r="S1125" s="3">
        <v>36.892544563745297</v>
      </c>
      <c r="T1125" s="3">
        <v>36.689439909325152</v>
      </c>
      <c r="U1125" s="3">
        <v>36.314565937564815</v>
      </c>
      <c r="V1125" s="3">
        <v>35.936985947380293</v>
      </c>
      <c r="W1125" s="3">
        <v>35.588300943440892</v>
      </c>
      <c r="X1125" s="3">
        <v>35.284416384531461</v>
      </c>
      <c r="Y1125" s="3">
        <v>35.017405731874199</v>
      </c>
      <c r="Z1125" s="3">
        <v>34.798704730686637</v>
      </c>
      <c r="AA1125" s="3">
        <v>34.623180866123619</v>
      </c>
      <c r="AB1125" s="3">
        <v>34.460092993314142</v>
      </c>
      <c r="AC1125" s="3">
        <v>34.329087256862422</v>
      </c>
      <c r="AD1125" s="3">
        <v>34.246530722036418</v>
      </c>
      <c r="AE1125" t="s">
        <v>6188</v>
      </c>
      <c r="AF1125" t="s">
        <v>358</v>
      </c>
    </row>
    <row r="1126" spans="1:32" x14ac:dyDescent="0.3">
      <c r="A1126" t="s">
        <v>1826</v>
      </c>
      <c r="B1126" s="1" t="s">
        <v>1205</v>
      </c>
      <c r="C1126" s="5" t="s">
        <v>3192</v>
      </c>
      <c r="D1126" s="2" t="s">
        <v>4709</v>
      </c>
      <c r="E1126" s="1" t="s">
        <v>909</v>
      </c>
      <c r="F1126" s="3">
        <v>3007498</v>
      </c>
      <c r="G1126" s="3">
        <v>3090788</v>
      </c>
      <c r="H1126" s="3">
        <v>3176505</v>
      </c>
      <c r="I1126" s="3">
        <v>3264599</v>
      </c>
      <c r="J1126" s="3">
        <v>3355262</v>
      </c>
      <c r="K1126" s="3">
        <v>3448183</v>
      </c>
      <c r="L1126" s="3">
        <v>3543811</v>
      </c>
      <c r="M1126" s="3">
        <v>3642091</v>
      </c>
      <c r="N1126" s="3">
        <v>3743238</v>
      </c>
      <c r="O1126" s="3">
        <v>3846904</v>
      </c>
      <c r="P1126" s="3">
        <v>3953590</v>
      </c>
      <c r="Q1126" s="3">
        <v>4063235</v>
      </c>
      <c r="R1126" s="3">
        <v>4176077</v>
      </c>
      <c r="S1126" s="3">
        <v>4291730</v>
      </c>
      <c r="T1126" s="3">
        <v>4410752</v>
      </c>
      <c r="U1126" s="3">
        <v>4533075</v>
      </c>
      <c r="V1126" s="3">
        <v>4658790</v>
      </c>
      <c r="W1126" s="3">
        <v>4787992</v>
      </c>
      <c r="X1126" s="3">
        <v>4920776</v>
      </c>
      <c r="Y1126" s="3">
        <v>5058550</v>
      </c>
      <c r="Z1126" s="3">
        <v>5202762</v>
      </c>
      <c r="AA1126" s="3">
        <v>5354826</v>
      </c>
      <c r="AB1126" s="3">
        <v>5515790</v>
      </c>
      <c r="AC1126" s="3">
        <v>5686350</v>
      </c>
      <c r="AD1126" s="3">
        <v>5866704</v>
      </c>
      <c r="AE1126" t="s">
        <v>6189</v>
      </c>
      <c r="AF1126" t="s">
        <v>668</v>
      </c>
    </row>
    <row r="1127" spans="1:32" ht="28.8" x14ac:dyDescent="0.3">
      <c r="A1127" t="s">
        <v>1826</v>
      </c>
      <c r="B1127" s="1" t="s">
        <v>1205</v>
      </c>
      <c r="C1127" s="5" t="s">
        <v>3193</v>
      </c>
      <c r="D1127" s="2" t="s">
        <v>4710</v>
      </c>
      <c r="E1127" s="1" t="s">
        <v>1372</v>
      </c>
      <c r="F1127" s="3">
        <v>16.99247031075873</v>
      </c>
      <c r="G1127" s="3">
        <v>17.002050672666734</v>
      </c>
      <c r="H1127" s="3">
        <v>17.027842368046223</v>
      </c>
      <c r="I1127" s="3">
        <v>17.06931495065604</v>
      </c>
      <c r="J1127" s="3">
        <v>17.123051798928298</v>
      </c>
      <c r="K1127" s="3">
        <v>17.182102381757485</v>
      </c>
      <c r="L1127" s="3">
        <v>17.247506448935461</v>
      </c>
      <c r="M1127" s="3">
        <v>17.31809018096429</v>
      </c>
      <c r="N1127" s="3">
        <v>17.398724642552846</v>
      </c>
      <c r="O1127" s="3">
        <v>17.487564744698822</v>
      </c>
      <c r="P1127" s="3">
        <v>17.580836768303541</v>
      </c>
      <c r="Q1127" s="3">
        <v>17.680075711426333</v>
      </c>
      <c r="R1127" s="3">
        <v>17.795470744163378</v>
      </c>
      <c r="S1127" s="3">
        <v>17.927194386747576</v>
      </c>
      <c r="T1127" s="3">
        <v>17.982961500803491</v>
      </c>
      <c r="U1127" s="3">
        <v>17.955373495296865</v>
      </c>
      <c r="V1127" s="3">
        <v>17.925727811006062</v>
      </c>
      <c r="W1127" s="3">
        <v>17.910168608733684</v>
      </c>
      <c r="X1127" s="3">
        <v>17.917073272149867</v>
      </c>
      <c r="Y1127" s="3">
        <v>17.942568670126697</v>
      </c>
      <c r="Z1127" s="3">
        <v>17.993018195913198</v>
      </c>
      <c r="AA1127" s="3">
        <v>18.066375489984122</v>
      </c>
      <c r="AB1127" s="3">
        <v>18.147029567558508</v>
      </c>
      <c r="AC1127" s="3">
        <v>18.245566096575416</v>
      </c>
      <c r="AD1127" s="3">
        <v>18.37120857462353</v>
      </c>
      <c r="AE1127" t="s">
        <v>6190</v>
      </c>
      <c r="AF1127" t="s">
        <v>358</v>
      </c>
    </row>
    <row r="1128" spans="1:32" x14ac:dyDescent="0.3">
      <c r="A1128" t="s">
        <v>1826</v>
      </c>
      <c r="B1128" s="1" t="s">
        <v>1205</v>
      </c>
      <c r="C1128" s="5" t="s">
        <v>3194</v>
      </c>
      <c r="D1128" s="2" t="s">
        <v>4711</v>
      </c>
      <c r="E1128" s="1" t="s">
        <v>1547</v>
      </c>
      <c r="F1128" s="3">
        <v>3.3223067556272201</v>
      </c>
      <c r="G1128" s="3"/>
      <c r="H1128" s="3"/>
      <c r="I1128" s="3"/>
      <c r="J1128" s="3"/>
      <c r="K1128" s="3"/>
      <c r="L1128" s="3"/>
      <c r="M1128" s="3"/>
      <c r="N1128" s="3"/>
      <c r="O1128" s="3"/>
      <c r="P1128" s="3"/>
      <c r="Q1128" s="3"/>
      <c r="R1128" s="3"/>
      <c r="S1128" s="3"/>
      <c r="T1128" s="3"/>
      <c r="U1128" s="3">
        <v>3.26601676991082</v>
      </c>
      <c r="V1128" s="3"/>
      <c r="W1128" s="3"/>
      <c r="X1128" s="3"/>
      <c r="Y1128" s="3"/>
      <c r="Z1128" s="3"/>
      <c r="AA1128" s="3"/>
      <c r="AB1128" s="3"/>
      <c r="AC1128" s="3"/>
      <c r="AD1128" s="3"/>
      <c r="AE1128" t="s">
        <v>6191</v>
      </c>
      <c r="AF1128" t="s">
        <v>970</v>
      </c>
    </row>
    <row r="1129" spans="1:32" x14ac:dyDescent="0.3">
      <c r="A1129" t="s">
        <v>1826</v>
      </c>
      <c r="B1129" s="1" t="s">
        <v>1205</v>
      </c>
      <c r="C1129" s="5" t="s">
        <v>3195</v>
      </c>
      <c r="D1129" s="2" t="s">
        <v>4712</v>
      </c>
      <c r="E1129" s="1" t="s">
        <v>1103</v>
      </c>
      <c r="F1129" s="3">
        <v>67.076580000000007</v>
      </c>
      <c r="G1129" s="3"/>
      <c r="H1129" s="3">
        <v>65.535939999999997</v>
      </c>
      <c r="I1129" s="3"/>
      <c r="J1129" s="3">
        <v>63.9953</v>
      </c>
      <c r="K1129" s="3"/>
      <c r="L1129" s="3">
        <v>62.454659999999997</v>
      </c>
      <c r="M1129" s="3"/>
      <c r="N1129" s="3">
        <v>60.914020000000001</v>
      </c>
      <c r="O1129" s="3"/>
      <c r="P1129" s="3">
        <v>59.373379999999997</v>
      </c>
      <c r="Q1129" s="3"/>
      <c r="R1129" s="3">
        <v>57.832740000000001</v>
      </c>
      <c r="S1129" s="3"/>
      <c r="T1129" s="3">
        <v>56.292099999999998</v>
      </c>
      <c r="U1129" s="3"/>
      <c r="V1129" s="3">
        <v>54.751460000000002</v>
      </c>
      <c r="W1129" s="3"/>
      <c r="X1129" s="3">
        <v>53.210819999999998</v>
      </c>
      <c r="Y1129" s="3"/>
      <c r="Z1129" s="3">
        <v>53.210819999999998</v>
      </c>
      <c r="AA1129" s="3"/>
      <c r="AB1129" s="3">
        <v>48.261270000000003</v>
      </c>
      <c r="AC1129" s="3"/>
      <c r="AD1129" s="3"/>
      <c r="AE1129" t="s">
        <v>6192</v>
      </c>
      <c r="AF1129" t="s">
        <v>1780</v>
      </c>
    </row>
    <row r="1130" spans="1:32" x14ac:dyDescent="0.3">
      <c r="A1130" t="s">
        <v>1826</v>
      </c>
      <c r="B1130" s="1" t="s">
        <v>1205</v>
      </c>
      <c r="C1130" s="5" t="s">
        <v>3196</v>
      </c>
      <c r="D1130" s="2" t="s">
        <v>4713</v>
      </c>
      <c r="E1130" s="1" t="s">
        <v>496</v>
      </c>
      <c r="F1130" s="3">
        <v>8803797</v>
      </c>
      <c r="G1130" s="3">
        <v>9045841</v>
      </c>
      <c r="H1130" s="3">
        <v>9285402</v>
      </c>
      <c r="I1130" s="3">
        <v>9522033</v>
      </c>
      <c r="J1130" s="3">
        <v>9758019</v>
      </c>
      <c r="K1130" s="3">
        <v>9996275</v>
      </c>
      <c r="L1130" s="3">
        <v>10236879</v>
      </c>
      <c r="M1130" s="3">
        <v>10480160</v>
      </c>
      <c r="N1130" s="3">
        <v>10699283</v>
      </c>
      <c r="O1130" s="3">
        <v>10892543</v>
      </c>
      <c r="P1130" s="3">
        <v>11086611</v>
      </c>
      <c r="Q1130" s="3">
        <v>11279700</v>
      </c>
      <c r="R1130" s="3">
        <v>11465698</v>
      </c>
      <c r="S1130" s="3">
        <v>11645668</v>
      </c>
      <c r="T1130" s="3">
        <v>11914771</v>
      </c>
      <c r="U1130" s="3">
        <v>12280056</v>
      </c>
      <c r="V1130" s="3">
        <v>12657619</v>
      </c>
      <c r="W1130" s="3">
        <v>13035949</v>
      </c>
      <c r="X1130" s="3">
        <v>13407917</v>
      </c>
      <c r="Y1130" s="3">
        <v>13779108</v>
      </c>
      <c r="Z1130" s="3">
        <v>14147956</v>
      </c>
      <c r="AA1130" s="3">
        <v>14518035</v>
      </c>
      <c r="AB1130" s="3">
        <v>14903156</v>
      </c>
      <c r="AC1130" s="3">
        <v>15296021</v>
      </c>
      <c r="AD1130" s="3">
        <v>15687549</v>
      </c>
      <c r="AE1130" t="s">
        <v>6193</v>
      </c>
      <c r="AF1130" t="s">
        <v>1253</v>
      </c>
    </row>
    <row r="1131" spans="1:32" x14ac:dyDescent="0.3">
      <c r="A1131" t="s">
        <v>1826</v>
      </c>
      <c r="B1131" s="1" t="s">
        <v>1205</v>
      </c>
      <c r="C1131" s="5" t="s">
        <v>3197</v>
      </c>
      <c r="D1131" s="2" t="s">
        <v>4714</v>
      </c>
      <c r="E1131" s="1" t="s">
        <v>1388</v>
      </c>
      <c r="F1131" s="3">
        <v>49.741762319407201</v>
      </c>
      <c r="G1131" s="3">
        <v>49.760073676568403</v>
      </c>
      <c r="H1131" s="3">
        <v>49.774942304306897</v>
      </c>
      <c r="I1131" s="3">
        <v>49.786999489321602</v>
      </c>
      <c r="J1131" s="3">
        <v>49.798514927277402</v>
      </c>
      <c r="K1131" s="3">
        <v>49.810877347925803</v>
      </c>
      <c r="L1131" s="3">
        <v>49.822247285867299</v>
      </c>
      <c r="M1131" s="3">
        <v>49.833009661464999</v>
      </c>
      <c r="N1131" s="3">
        <v>49.730708757964798</v>
      </c>
      <c r="O1131" s="3">
        <v>49.516197858353898</v>
      </c>
      <c r="P1131" s="3">
        <v>49.299977565877697</v>
      </c>
      <c r="Q1131" s="3">
        <v>49.080584805500003</v>
      </c>
      <c r="R1131" s="3">
        <v>48.858652108285497</v>
      </c>
      <c r="S1131" s="3">
        <v>48.645686937325003</v>
      </c>
      <c r="T1131" s="3">
        <v>48.577400902134102</v>
      </c>
      <c r="U1131" s="3">
        <v>48.640929896262598</v>
      </c>
      <c r="V1131" s="3">
        <v>48.702996471062001</v>
      </c>
      <c r="W1131" s="3">
        <v>48.762830966478901</v>
      </c>
      <c r="X1131" s="3">
        <v>48.819665854117098</v>
      </c>
      <c r="Y1131" s="3">
        <v>48.8742014021987</v>
      </c>
      <c r="Z1131" s="3">
        <v>48.9287076632043</v>
      </c>
      <c r="AA1131" s="3">
        <v>48.981660970259703</v>
      </c>
      <c r="AB1131" s="3">
        <v>49.031602269070497</v>
      </c>
      <c r="AC1131" s="3">
        <v>49.079736943752202</v>
      </c>
      <c r="AD1131" s="3">
        <v>49.124556940937701</v>
      </c>
      <c r="AE1131" t="s">
        <v>6194</v>
      </c>
      <c r="AF1131" t="s">
        <v>1253</v>
      </c>
    </row>
    <row r="1132" spans="1:32" x14ac:dyDescent="0.3">
      <c r="A1132" t="s">
        <v>1826</v>
      </c>
      <c r="B1132" s="1" t="s">
        <v>1205</v>
      </c>
      <c r="C1132" s="5" t="s">
        <v>3198</v>
      </c>
      <c r="D1132" s="2" t="s">
        <v>4715</v>
      </c>
      <c r="E1132" s="1" t="s">
        <v>1229</v>
      </c>
      <c r="F1132" s="3">
        <v>8895207</v>
      </c>
      <c r="G1132" s="3">
        <v>9133072</v>
      </c>
      <c r="H1132" s="3">
        <v>9369369</v>
      </c>
      <c r="I1132" s="3">
        <v>9603509</v>
      </c>
      <c r="J1132" s="3">
        <v>9836981</v>
      </c>
      <c r="K1132" s="3">
        <v>10072183</v>
      </c>
      <c r="L1132" s="3">
        <v>10309923</v>
      </c>
      <c r="M1132" s="3">
        <v>10550398</v>
      </c>
      <c r="N1132" s="3">
        <v>10815156</v>
      </c>
      <c r="O1132" s="3">
        <v>11105397</v>
      </c>
      <c r="P1132" s="3">
        <v>11401454</v>
      </c>
      <c r="Q1132" s="3">
        <v>11702300</v>
      </c>
      <c r="R1132" s="3">
        <v>12001380</v>
      </c>
      <c r="S1132" s="3">
        <v>12294107</v>
      </c>
      <c r="T1132" s="3">
        <v>12612624</v>
      </c>
      <c r="U1132" s="3">
        <v>12966286</v>
      </c>
      <c r="V1132" s="3">
        <v>13331786</v>
      </c>
      <c r="W1132" s="3">
        <v>13697423</v>
      </c>
      <c r="X1132" s="3">
        <v>14056256</v>
      </c>
      <c r="Y1132" s="3">
        <v>14413901</v>
      </c>
      <c r="Z1132" s="3">
        <v>14767493</v>
      </c>
      <c r="AA1132" s="3">
        <v>15121701</v>
      </c>
      <c r="AB1132" s="3">
        <v>15491846</v>
      </c>
      <c r="AC1132" s="3">
        <v>15869633</v>
      </c>
      <c r="AD1132" s="3">
        <v>16246681</v>
      </c>
      <c r="AE1132" t="s">
        <v>6195</v>
      </c>
      <c r="AF1132" t="s">
        <v>1253</v>
      </c>
    </row>
    <row r="1133" spans="1:32" x14ac:dyDescent="0.3">
      <c r="A1133" t="s">
        <v>1826</v>
      </c>
      <c r="B1133" s="1" t="s">
        <v>1205</v>
      </c>
      <c r="C1133" s="5" t="s">
        <v>3199</v>
      </c>
      <c r="D1133" s="2" t="s">
        <v>4716</v>
      </c>
      <c r="E1133" s="1" t="s">
        <v>1584</v>
      </c>
      <c r="F1133" s="3">
        <v>50.258237680592799</v>
      </c>
      <c r="G1133" s="3">
        <v>50.239926323431597</v>
      </c>
      <c r="H1133" s="3">
        <v>50.225057695693103</v>
      </c>
      <c r="I1133" s="3">
        <v>50.213000510678398</v>
      </c>
      <c r="J1133" s="3">
        <v>50.201485072722598</v>
      </c>
      <c r="K1133" s="3">
        <v>50.189122652074197</v>
      </c>
      <c r="L1133" s="3">
        <v>50.177752714132701</v>
      </c>
      <c r="M1133" s="3">
        <v>50.166990338535001</v>
      </c>
      <c r="N1133" s="3">
        <v>50.269291242035202</v>
      </c>
      <c r="O1133" s="3">
        <v>50.483802141646102</v>
      </c>
      <c r="P1133" s="3">
        <v>50.700022434122303</v>
      </c>
      <c r="Q1133" s="3">
        <v>50.919415194499997</v>
      </c>
      <c r="R1133" s="3">
        <v>51.141347891714503</v>
      </c>
      <c r="S1133" s="3">
        <v>51.354313062674997</v>
      </c>
      <c r="T1133" s="3">
        <v>51.422599097865898</v>
      </c>
      <c r="U1133" s="3">
        <v>51.359070103737402</v>
      </c>
      <c r="V1133" s="3">
        <v>51.297003528937999</v>
      </c>
      <c r="W1133" s="3">
        <v>51.237169033521099</v>
      </c>
      <c r="X1133" s="3">
        <v>51.180334145882902</v>
      </c>
      <c r="Y1133" s="3">
        <v>51.1257985978013</v>
      </c>
      <c r="Z1133" s="3">
        <v>51.0712923367957</v>
      </c>
      <c r="AA1133" s="3">
        <v>51.018339029740297</v>
      </c>
      <c r="AB1133" s="3">
        <v>50.968397730929503</v>
      </c>
      <c r="AC1133" s="3">
        <v>50.920263056247698</v>
      </c>
      <c r="AD1133" s="3">
        <v>50.875443059062299</v>
      </c>
      <c r="AE1133" t="s">
        <v>6196</v>
      </c>
      <c r="AF1133" t="s">
        <v>1253</v>
      </c>
    </row>
    <row r="1134" spans="1:32" x14ac:dyDescent="0.3">
      <c r="A1134" t="s">
        <v>1826</v>
      </c>
      <c r="B1134" s="1" t="s">
        <v>1205</v>
      </c>
      <c r="C1134" s="5" t="s">
        <v>467</v>
      </c>
      <c r="D1134" s="2" t="s">
        <v>4717</v>
      </c>
      <c r="E1134" s="1" t="s">
        <v>2008</v>
      </c>
      <c r="F1134" s="3">
        <v>17699004</v>
      </c>
      <c r="G1134" s="3">
        <v>18178913</v>
      </c>
      <c r="H1134" s="3">
        <v>18654771</v>
      </c>
      <c r="I1134" s="3">
        <v>19125542</v>
      </c>
      <c r="J1134" s="3">
        <v>19595000</v>
      </c>
      <c r="K1134" s="3">
        <v>20068458</v>
      </c>
      <c r="L1134" s="3">
        <v>20546802</v>
      </c>
      <c r="M1134" s="3">
        <v>21030558</v>
      </c>
      <c r="N1134" s="3">
        <v>21514439</v>
      </c>
      <c r="O1134" s="3">
        <v>21997940</v>
      </c>
      <c r="P1134" s="3">
        <v>22488065</v>
      </c>
      <c r="Q1134" s="3">
        <v>22982000</v>
      </c>
      <c r="R1134" s="3">
        <v>23467078</v>
      </c>
      <c r="S1134" s="3">
        <v>23939775</v>
      </c>
      <c r="T1134" s="3">
        <v>24527395</v>
      </c>
      <c r="U1134" s="3">
        <v>25246342</v>
      </c>
      <c r="V1134" s="3">
        <v>25989405</v>
      </c>
      <c r="W1134" s="3">
        <v>26733372</v>
      </c>
      <c r="X1134" s="3">
        <v>27464173</v>
      </c>
      <c r="Y1134" s="3">
        <v>28193009</v>
      </c>
      <c r="Z1134" s="3">
        <v>28915449</v>
      </c>
      <c r="AA1134" s="3">
        <v>29639736</v>
      </c>
      <c r="AB1134" s="3">
        <v>30395002</v>
      </c>
      <c r="AC1134" s="3">
        <v>31165654</v>
      </c>
      <c r="AD1134" s="3">
        <v>31934230</v>
      </c>
      <c r="AE1134" t="s">
        <v>6197</v>
      </c>
      <c r="AF1134" t="s">
        <v>920</v>
      </c>
    </row>
    <row r="1135" spans="1:32" x14ac:dyDescent="0.3">
      <c r="A1135" t="s">
        <v>1826</v>
      </c>
      <c r="B1135" s="1" t="s">
        <v>1205</v>
      </c>
      <c r="C1135" s="5" t="s">
        <v>3200</v>
      </c>
      <c r="D1135" s="2" t="s">
        <v>4718</v>
      </c>
      <c r="E1135" s="1" t="s">
        <v>273</v>
      </c>
      <c r="F1135" s="3">
        <v>1171387.3481000001</v>
      </c>
      <c r="G1135" s="3">
        <v>2383230.8714000001</v>
      </c>
      <c r="H1135" s="3">
        <v>3586861.2798000001</v>
      </c>
      <c r="I1135" s="3">
        <v>15760487.0154</v>
      </c>
      <c r="J1135" s="3">
        <v>-4906444.3163000001</v>
      </c>
      <c r="K1135" s="3">
        <v>13881571.883884501</v>
      </c>
      <c r="L1135" s="3">
        <v>1560500.8000681</v>
      </c>
      <c r="M1135" s="3">
        <v>1648111.13158173</v>
      </c>
      <c r="N1135" s="3">
        <v>1938652.2799172199</v>
      </c>
      <c r="O1135" s="3">
        <v>2247831.6064152</v>
      </c>
      <c r="P1135" s="3">
        <v>2231542.6224855501</v>
      </c>
      <c r="Q1135" s="3"/>
      <c r="R1135" s="3">
        <v>30441420.132114701</v>
      </c>
      <c r="S1135" s="3">
        <v>1162179.4637602901</v>
      </c>
      <c r="T1135" s="3">
        <v>32805828.407024302</v>
      </c>
      <c r="U1135" s="3">
        <v>-11603.2886754581</v>
      </c>
      <c r="V1135" s="3">
        <v>8359573.1698781904</v>
      </c>
      <c r="W1135" s="3">
        <v>24047597.844873101</v>
      </c>
      <c r="X1135" s="3">
        <v>15445530.857718</v>
      </c>
      <c r="Y1135" s="3">
        <v>12347465.8629962</v>
      </c>
      <c r="Z1135" s="3">
        <v>20849047.589675698</v>
      </c>
      <c r="AA1135" s="3">
        <v>15102086.101008</v>
      </c>
      <c r="AB1135" s="3">
        <v>-190650.341511776</v>
      </c>
      <c r="AC1135" s="3"/>
      <c r="AD1135" s="3"/>
      <c r="AE1135" t="s">
        <v>6198</v>
      </c>
      <c r="AF1135" t="s">
        <v>1599</v>
      </c>
    </row>
    <row r="1136" spans="1:32" x14ac:dyDescent="0.3">
      <c r="A1136" t="s">
        <v>1826</v>
      </c>
      <c r="B1136" s="1" t="s">
        <v>1205</v>
      </c>
      <c r="C1136" s="5" t="s">
        <v>3201</v>
      </c>
      <c r="D1136" s="2" t="s">
        <v>4719</v>
      </c>
      <c r="E1136" s="1" t="s">
        <v>1843</v>
      </c>
      <c r="F1136" s="3">
        <v>-45632000</v>
      </c>
      <c r="G1136" s="3">
        <v>0</v>
      </c>
      <c r="H1136" s="3">
        <v>0</v>
      </c>
      <c r="I1136" s="3">
        <v>0</v>
      </c>
      <c r="J1136" s="3"/>
      <c r="K1136" s="3"/>
      <c r="L1136" s="3"/>
      <c r="M1136" s="3"/>
      <c r="N1136" s="3"/>
      <c r="O1136" s="3"/>
      <c r="P1136" s="3"/>
      <c r="Q1136" s="3"/>
      <c r="R1136" s="3"/>
      <c r="S1136" s="3"/>
      <c r="T1136" s="3">
        <v>750000000</v>
      </c>
      <c r="U1136" s="3">
        <v>1000000000</v>
      </c>
      <c r="V1136" s="3">
        <v>136377000</v>
      </c>
      <c r="W1136" s="3">
        <v>1135786000</v>
      </c>
      <c r="X1136" s="3">
        <v>1927785000</v>
      </c>
      <c r="Y1136" s="3">
        <v>403923000</v>
      </c>
      <c r="Z1136" s="3">
        <v>477999000</v>
      </c>
      <c r="AA1136" s="3">
        <v>959482000</v>
      </c>
      <c r="AB1136" s="3">
        <v>-55541000</v>
      </c>
      <c r="AC1136" s="3">
        <v>-55541000</v>
      </c>
      <c r="AD1136" s="3"/>
      <c r="AE1136" t="s">
        <v>6199</v>
      </c>
      <c r="AF1136" t="s">
        <v>1802</v>
      </c>
    </row>
    <row r="1137" spans="1:32" x14ac:dyDescent="0.3">
      <c r="A1137" t="s">
        <v>1826</v>
      </c>
      <c r="B1137" s="1" t="s">
        <v>1205</v>
      </c>
      <c r="C1137" s="5" t="s">
        <v>3202</v>
      </c>
      <c r="D1137" s="2" t="s">
        <v>4720</v>
      </c>
      <c r="E1137" s="1" t="s">
        <v>1398</v>
      </c>
      <c r="F1137" s="3"/>
      <c r="G1137" s="3"/>
      <c r="H1137" s="3"/>
      <c r="I1137" s="3"/>
      <c r="J1137" s="3"/>
      <c r="K1137" s="3">
        <v>1802998.7422511899</v>
      </c>
      <c r="L1137" s="3">
        <v>-21127940.826645501</v>
      </c>
      <c r="M1137" s="3">
        <v>-102807008.33838101</v>
      </c>
      <c r="N1137" s="3">
        <v>-48172586.362300999</v>
      </c>
      <c r="O1137" s="3">
        <v>30525669.492322199</v>
      </c>
      <c r="P1137" s="3">
        <v>-464845590.17063099</v>
      </c>
      <c r="Q1137" s="3">
        <v>-105214099.933677</v>
      </c>
      <c r="R1137" s="3">
        <v>-142293561.99934801</v>
      </c>
      <c r="S1137" s="3">
        <v>-174547004.76911399</v>
      </c>
      <c r="T1137" s="3">
        <v>-937341058.52256405</v>
      </c>
      <c r="U1137" s="3">
        <v>-971210349.79400802</v>
      </c>
      <c r="V1137" s="3">
        <v>-589356430.52058804</v>
      </c>
      <c r="W1137" s="3">
        <v>-1349450377.62183</v>
      </c>
      <c r="X1137" s="3">
        <v>-1600038142.2116201</v>
      </c>
      <c r="Y1137" s="3">
        <v>295624062.13497901</v>
      </c>
      <c r="Z1137" s="3">
        <v>-486304753.42747402</v>
      </c>
      <c r="AA1137" s="3">
        <v>-654975543.018098</v>
      </c>
      <c r="AB1137" s="3">
        <v>420018431.18982601</v>
      </c>
      <c r="AC1137" s="3"/>
      <c r="AD1137" s="3"/>
      <c r="AE1137" t="s">
        <v>6200</v>
      </c>
      <c r="AF1137" t="s">
        <v>613</v>
      </c>
    </row>
    <row r="1138" spans="1:32" x14ac:dyDescent="0.3">
      <c r="A1138" t="s">
        <v>1826</v>
      </c>
      <c r="B1138" s="1" t="s">
        <v>1205</v>
      </c>
      <c r="C1138" s="5" t="s">
        <v>3203</v>
      </c>
      <c r="D1138" s="2" t="s">
        <v>4721</v>
      </c>
      <c r="E1138" s="1" t="s">
        <v>1770</v>
      </c>
      <c r="F1138" s="3"/>
      <c r="G1138" s="3"/>
      <c r="H1138" s="3">
        <v>14.9</v>
      </c>
      <c r="I1138" s="3"/>
      <c r="J1138" s="3"/>
      <c r="K1138" s="3"/>
      <c r="L1138" s="3"/>
      <c r="M1138" s="3"/>
      <c r="N1138" s="3">
        <v>18.8</v>
      </c>
      <c r="O1138" s="3"/>
      <c r="P1138" s="3"/>
      <c r="Q1138" s="3"/>
      <c r="R1138" s="3"/>
      <c r="S1138" s="3"/>
      <c r="T1138" s="3"/>
      <c r="U1138" s="3">
        <v>17.600000000000001</v>
      </c>
      <c r="V1138" s="3"/>
      <c r="W1138" s="3"/>
      <c r="X1138" s="3">
        <v>5.5</v>
      </c>
      <c r="Y1138" s="3"/>
      <c r="Z1138" s="3"/>
      <c r="AA1138" s="3">
        <v>4.7</v>
      </c>
      <c r="AB1138" s="3"/>
      <c r="AC1138" s="3"/>
      <c r="AD1138" s="3"/>
      <c r="AE1138" t="s">
        <v>6201</v>
      </c>
      <c r="AF1138" t="s">
        <v>512</v>
      </c>
    </row>
    <row r="1139" spans="1:32" x14ac:dyDescent="0.3">
      <c r="A1139" t="s">
        <v>1826</v>
      </c>
      <c r="B1139" s="1" t="s">
        <v>1205</v>
      </c>
      <c r="C1139" s="5" t="s">
        <v>3204</v>
      </c>
      <c r="D1139" s="2" t="s">
        <v>4722</v>
      </c>
      <c r="E1139" s="1" t="s">
        <v>426</v>
      </c>
      <c r="F1139" s="3"/>
      <c r="G1139" s="3"/>
      <c r="H1139" s="3">
        <v>26.7</v>
      </c>
      <c r="I1139" s="3"/>
      <c r="J1139" s="3"/>
      <c r="K1139" s="3"/>
      <c r="L1139" s="3"/>
      <c r="M1139" s="3"/>
      <c r="N1139" s="3">
        <v>29.8</v>
      </c>
      <c r="O1139" s="3"/>
      <c r="P1139" s="3"/>
      <c r="Q1139" s="3"/>
      <c r="R1139" s="3"/>
      <c r="S1139" s="3"/>
      <c r="T1139" s="3"/>
      <c r="U1139" s="3">
        <v>28.9</v>
      </c>
      <c r="V1139" s="3"/>
      <c r="W1139" s="3"/>
      <c r="X1139" s="3">
        <v>13.4</v>
      </c>
      <c r="Y1139" s="3"/>
      <c r="Z1139" s="3"/>
      <c r="AA1139" s="3">
        <v>12.3</v>
      </c>
      <c r="AB1139" s="3"/>
      <c r="AC1139" s="3"/>
      <c r="AD1139" s="3"/>
      <c r="AE1139" t="s">
        <v>6202</v>
      </c>
      <c r="AF1139" t="s">
        <v>1858</v>
      </c>
    </row>
    <row r="1140" spans="1:32" x14ac:dyDescent="0.3">
      <c r="A1140" t="s">
        <v>1826</v>
      </c>
      <c r="B1140" s="1" t="s">
        <v>1205</v>
      </c>
      <c r="C1140" s="5" t="s">
        <v>3205</v>
      </c>
      <c r="D1140" s="2" t="s">
        <v>4723</v>
      </c>
      <c r="E1140" s="1" t="s">
        <v>1383</v>
      </c>
      <c r="F1140" s="3"/>
      <c r="G1140" s="3"/>
      <c r="H1140" s="3">
        <v>53.1</v>
      </c>
      <c r="I1140" s="3"/>
      <c r="J1140" s="3"/>
      <c r="K1140" s="3"/>
      <c r="L1140" s="3"/>
      <c r="M1140" s="3"/>
      <c r="N1140" s="3">
        <v>54.5</v>
      </c>
      <c r="O1140" s="3"/>
      <c r="P1140" s="3"/>
      <c r="Q1140" s="3"/>
      <c r="R1140" s="3"/>
      <c r="S1140" s="3"/>
      <c r="T1140" s="3"/>
      <c r="U1140" s="3">
        <v>54.7</v>
      </c>
      <c r="V1140" s="3"/>
      <c r="W1140" s="3"/>
      <c r="X1140" s="3">
        <v>38.6</v>
      </c>
      <c r="Y1140" s="3"/>
      <c r="Z1140" s="3"/>
      <c r="AA1140" s="3">
        <v>38.6</v>
      </c>
      <c r="AB1140" s="3"/>
      <c r="AC1140" s="3"/>
      <c r="AD1140" s="3"/>
      <c r="AE1140" t="s">
        <v>6203</v>
      </c>
      <c r="AF1140" t="s">
        <v>338</v>
      </c>
    </row>
    <row r="1141" spans="1:32" x14ac:dyDescent="0.3">
      <c r="A1141" t="s">
        <v>1826</v>
      </c>
      <c r="B1141" s="1" t="s">
        <v>1205</v>
      </c>
      <c r="C1141" s="5" t="s">
        <v>3206</v>
      </c>
      <c r="D1141" s="2" t="s">
        <v>4724</v>
      </c>
      <c r="E1141" s="1" t="s">
        <v>816</v>
      </c>
      <c r="F1141" s="3"/>
      <c r="G1141" s="3"/>
      <c r="H1141" s="3">
        <v>44.7</v>
      </c>
      <c r="I1141" s="3"/>
      <c r="J1141" s="3"/>
      <c r="K1141" s="3"/>
      <c r="L1141" s="3"/>
      <c r="M1141" s="3"/>
      <c r="N1141" s="3">
        <v>47.9</v>
      </c>
      <c r="O1141" s="3"/>
      <c r="P1141" s="3"/>
      <c r="Q1141" s="3"/>
      <c r="R1141" s="3"/>
      <c r="S1141" s="3"/>
      <c r="T1141" s="3"/>
      <c r="U1141" s="3">
        <v>47.5</v>
      </c>
      <c r="V1141" s="3"/>
      <c r="W1141" s="3"/>
      <c r="X1141" s="3">
        <v>22.7</v>
      </c>
      <c r="Y1141" s="3"/>
      <c r="Z1141" s="3"/>
      <c r="AA1141" s="3">
        <v>20.9</v>
      </c>
      <c r="AB1141" s="3"/>
      <c r="AC1141" s="3"/>
      <c r="AD1141" s="3"/>
      <c r="AE1141" t="s">
        <v>6204</v>
      </c>
      <c r="AF1141" t="s">
        <v>232</v>
      </c>
    </row>
    <row r="1142" spans="1:32" x14ac:dyDescent="0.3">
      <c r="A1142" t="s">
        <v>1826</v>
      </c>
      <c r="B1142" s="1" t="s">
        <v>1205</v>
      </c>
      <c r="C1142" s="5" t="s">
        <v>3207</v>
      </c>
      <c r="D1142" s="2" t="s">
        <v>4725</v>
      </c>
      <c r="E1142" s="1" t="s">
        <v>137</v>
      </c>
      <c r="F1142" s="3"/>
      <c r="G1142" s="3"/>
      <c r="H1142" s="3">
        <v>65.5</v>
      </c>
      <c r="I1142" s="3"/>
      <c r="J1142" s="3"/>
      <c r="K1142" s="3"/>
      <c r="L1142" s="3"/>
      <c r="M1142" s="3"/>
      <c r="N1142" s="3">
        <v>65</v>
      </c>
      <c r="O1142" s="3"/>
      <c r="P1142" s="3"/>
      <c r="Q1142" s="3"/>
      <c r="R1142" s="3"/>
      <c r="S1142" s="3"/>
      <c r="T1142" s="3"/>
      <c r="U1142" s="3">
        <v>65.599999999999994</v>
      </c>
      <c r="V1142" s="3"/>
      <c r="W1142" s="3"/>
      <c r="X1142" s="3">
        <v>42.2</v>
      </c>
      <c r="Y1142" s="3"/>
      <c r="Z1142" s="3"/>
      <c r="AA1142" s="3">
        <v>41.7</v>
      </c>
      <c r="AB1142" s="3"/>
      <c r="AC1142" s="3"/>
      <c r="AD1142" s="3"/>
      <c r="AE1142" t="s">
        <v>6205</v>
      </c>
      <c r="AF1142" t="s">
        <v>1329</v>
      </c>
    </row>
    <row r="1143" spans="1:32" x14ac:dyDescent="0.3">
      <c r="A1143" t="s">
        <v>1826</v>
      </c>
      <c r="B1143" s="1" t="s">
        <v>1205</v>
      </c>
      <c r="C1143" s="5" t="s">
        <v>3208</v>
      </c>
      <c r="D1143" s="2" t="s">
        <v>4726</v>
      </c>
      <c r="E1143" s="1" t="s">
        <v>997</v>
      </c>
      <c r="F1143" s="3"/>
      <c r="G1143" s="3"/>
      <c r="H1143" s="3">
        <v>88.8</v>
      </c>
      <c r="I1143" s="3"/>
      <c r="J1143" s="3"/>
      <c r="K1143" s="3"/>
      <c r="L1143" s="3"/>
      <c r="M1143" s="3"/>
      <c r="N1143" s="3">
        <v>89.1</v>
      </c>
      <c r="O1143" s="3"/>
      <c r="P1143" s="3"/>
      <c r="Q1143" s="3"/>
      <c r="R1143" s="3"/>
      <c r="S1143" s="3"/>
      <c r="T1143" s="3"/>
      <c r="U1143" s="3">
        <v>90.2</v>
      </c>
      <c r="V1143" s="3"/>
      <c r="W1143" s="3"/>
      <c r="X1143" s="3">
        <v>79.599999999999994</v>
      </c>
      <c r="Y1143" s="3"/>
      <c r="Z1143" s="3"/>
      <c r="AA1143" s="3">
        <v>80.900000000000006</v>
      </c>
      <c r="AB1143" s="3"/>
      <c r="AC1143" s="3"/>
      <c r="AD1143" s="3"/>
      <c r="AE1143" t="s">
        <v>6206</v>
      </c>
      <c r="AF1143" t="s">
        <v>1953</v>
      </c>
    </row>
    <row r="1144" spans="1:32" x14ac:dyDescent="0.3">
      <c r="A1144" t="s">
        <v>1826</v>
      </c>
      <c r="B1144" s="1" t="s">
        <v>1205</v>
      </c>
      <c r="C1144" s="5" t="s">
        <v>3209</v>
      </c>
      <c r="D1144" s="2" t="s">
        <v>4727</v>
      </c>
      <c r="E1144" s="1" t="s">
        <v>424</v>
      </c>
      <c r="F1144" s="3"/>
      <c r="G1144" s="3"/>
      <c r="H1144" s="3"/>
      <c r="I1144" s="3"/>
      <c r="J1144" s="3"/>
      <c r="K1144" s="3"/>
      <c r="L1144" s="3"/>
      <c r="M1144" s="3"/>
      <c r="N1144" s="3"/>
      <c r="O1144" s="3"/>
      <c r="P1144" s="3"/>
      <c r="Q1144" s="3"/>
      <c r="R1144" s="3"/>
      <c r="S1144" s="3"/>
      <c r="T1144" s="3"/>
      <c r="U1144" s="3">
        <v>44.4</v>
      </c>
      <c r="V1144" s="3"/>
      <c r="W1144" s="3"/>
      <c r="X1144" s="3">
        <v>39.5</v>
      </c>
      <c r="Y1144" s="3"/>
      <c r="Z1144" s="3"/>
      <c r="AA1144" s="3">
        <v>37.5</v>
      </c>
      <c r="AB1144" s="3"/>
      <c r="AC1144" s="3"/>
      <c r="AD1144" s="3"/>
      <c r="AE1144" t="s">
        <v>6207</v>
      </c>
      <c r="AF1144" t="s">
        <v>916</v>
      </c>
    </row>
    <row r="1145" spans="1:32" x14ac:dyDescent="0.3">
      <c r="A1145" t="s">
        <v>1826</v>
      </c>
      <c r="B1145" s="1" t="s">
        <v>1205</v>
      </c>
      <c r="C1145" s="5" t="s">
        <v>3210</v>
      </c>
      <c r="D1145" s="2" t="s">
        <v>4728</v>
      </c>
      <c r="E1145" s="1" t="s">
        <v>191</v>
      </c>
      <c r="F1145" s="3"/>
      <c r="G1145" s="3"/>
      <c r="H1145" s="3">
        <v>44.7</v>
      </c>
      <c r="I1145" s="3"/>
      <c r="J1145" s="3"/>
      <c r="K1145" s="3"/>
      <c r="L1145" s="3"/>
      <c r="M1145" s="3"/>
      <c r="N1145" s="3">
        <v>47.9</v>
      </c>
      <c r="O1145" s="3"/>
      <c r="P1145" s="3"/>
      <c r="Q1145" s="3"/>
      <c r="R1145" s="3"/>
      <c r="S1145" s="3"/>
      <c r="T1145" s="3"/>
      <c r="U1145" s="3">
        <v>47.5</v>
      </c>
      <c r="V1145" s="3"/>
      <c r="W1145" s="3"/>
      <c r="X1145" s="3">
        <v>34.799999999999997</v>
      </c>
      <c r="Y1145" s="3"/>
      <c r="Z1145" s="3"/>
      <c r="AA1145" s="3">
        <v>32.5</v>
      </c>
      <c r="AB1145" s="3"/>
      <c r="AC1145" s="3"/>
      <c r="AD1145" s="3"/>
      <c r="AE1145" t="s">
        <v>6208</v>
      </c>
      <c r="AF1145" t="s">
        <v>1948</v>
      </c>
    </row>
    <row r="1146" spans="1:32" x14ac:dyDescent="0.3">
      <c r="A1146" t="s">
        <v>1826</v>
      </c>
      <c r="B1146" s="1" t="s">
        <v>1205</v>
      </c>
      <c r="C1146" s="5" t="s">
        <v>3211</v>
      </c>
      <c r="D1146" s="2" t="s">
        <v>4729</v>
      </c>
      <c r="E1146" s="1" t="s">
        <v>1073</v>
      </c>
      <c r="F1146" s="3">
        <v>-45632000</v>
      </c>
      <c r="G1146" s="3">
        <v>0</v>
      </c>
      <c r="H1146" s="3">
        <v>0</v>
      </c>
      <c r="I1146" s="3">
        <v>0</v>
      </c>
      <c r="J1146" s="3"/>
      <c r="K1146" s="3"/>
      <c r="L1146" s="3"/>
      <c r="M1146" s="3"/>
      <c r="N1146" s="3"/>
      <c r="O1146" s="3"/>
      <c r="P1146" s="3"/>
      <c r="Q1146" s="3"/>
      <c r="R1146" s="3"/>
      <c r="S1146" s="3"/>
      <c r="T1146" s="3">
        <v>750000000</v>
      </c>
      <c r="U1146" s="3">
        <v>1000000000</v>
      </c>
      <c r="V1146" s="3">
        <v>136377000</v>
      </c>
      <c r="W1146" s="3">
        <v>1135786000</v>
      </c>
      <c r="X1146" s="3">
        <v>1927785000</v>
      </c>
      <c r="Y1146" s="3">
        <v>403923000</v>
      </c>
      <c r="Z1146" s="3">
        <v>477999000</v>
      </c>
      <c r="AA1146" s="3">
        <v>959482000</v>
      </c>
      <c r="AB1146" s="3">
        <v>-55541000</v>
      </c>
      <c r="AC1146" s="3">
        <v>-55541000</v>
      </c>
      <c r="AD1146" s="3"/>
      <c r="AE1146" t="s">
        <v>6209</v>
      </c>
      <c r="AF1146" t="s">
        <v>252</v>
      </c>
    </row>
    <row r="1147" spans="1:32" x14ac:dyDescent="0.3">
      <c r="A1147" t="s">
        <v>1826</v>
      </c>
      <c r="B1147" s="1" t="s">
        <v>1205</v>
      </c>
      <c r="C1147" s="5" t="s">
        <v>3212</v>
      </c>
      <c r="D1147" s="2" t="s">
        <v>4730</v>
      </c>
      <c r="E1147" s="1" t="s">
        <v>1414</v>
      </c>
      <c r="F1147" s="3">
        <v>-4475000</v>
      </c>
      <c r="G1147" s="3">
        <v>0</v>
      </c>
      <c r="H1147" s="3">
        <v>-20000</v>
      </c>
      <c r="I1147" s="3">
        <v>0</v>
      </c>
      <c r="J1147" s="3">
        <v>652000</v>
      </c>
      <c r="K1147" s="3">
        <v>-33000</v>
      </c>
      <c r="L1147" s="3">
        <v>-282000</v>
      </c>
      <c r="M1147" s="3">
        <v>0</v>
      </c>
      <c r="N1147" s="3">
        <v>0</v>
      </c>
      <c r="O1147" s="3">
        <v>0</v>
      </c>
      <c r="P1147" s="3">
        <v>86000</v>
      </c>
      <c r="Q1147" s="3">
        <v>-94000</v>
      </c>
      <c r="R1147" s="3">
        <v>0</v>
      </c>
      <c r="S1147" s="3">
        <v>50015000</v>
      </c>
      <c r="T1147" s="3">
        <v>-49880000</v>
      </c>
      <c r="U1147" s="3">
        <v>-945000</v>
      </c>
      <c r="V1147" s="3">
        <v>0</v>
      </c>
      <c r="W1147" s="3">
        <v>5661000</v>
      </c>
      <c r="X1147" s="3">
        <v>797600000</v>
      </c>
      <c r="Y1147" s="3">
        <v>1401275000</v>
      </c>
      <c r="Z1147" s="3">
        <v>1060924000</v>
      </c>
      <c r="AA1147" s="3">
        <v>894337000</v>
      </c>
      <c r="AB1147" s="3">
        <v>2272147000</v>
      </c>
      <c r="AC1147" s="3">
        <v>424419000</v>
      </c>
      <c r="AD1147" s="3"/>
      <c r="AE1147" t="s">
        <v>6210</v>
      </c>
      <c r="AF1147" t="s">
        <v>252</v>
      </c>
    </row>
    <row r="1148" spans="1:32" x14ac:dyDescent="0.3">
      <c r="A1148" t="s">
        <v>1826</v>
      </c>
      <c r="B1148" s="1" t="s">
        <v>1205</v>
      </c>
      <c r="C1148" s="5" t="s">
        <v>3213</v>
      </c>
      <c r="D1148" s="2" t="s">
        <v>4731</v>
      </c>
      <c r="E1148" s="1" t="s">
        <v>1628</v>
      </c>
      <c r="F1148" s="3">
        <v>599488000</v>
      </c>
      <c r="G1148" s="3">
        <v>498649000</v>
      </c>
      <c r="H1148" s="3">
        <v>479113000</v>
      </c>
      <c r="I1148" s="3">
        <v>480814000</v>
      </c>
      <c r="J1148" s="3">
        <v>478786000</v>
      </c>
      <c r="K1148" s="3">
        <v>422532000</v>
      </c>
      <c r="L1148" s="3">
        <v>456159000</v>
      </c>
      <c r="M1148" s="3">
        <v>479081000</v>
      </c>
      <c r="N1148" s="3">
        <v>117003000</v>
      </c>
      <c r="O1148" s="3">
        <v>41958000</v>
      </c>
      <c r="P1148" s="3">
        <v>14219000</v>
      </c>
      <c r="Q1148" s="3">
        <v>0</v>
      </c>
      <c r="R1148" s="3"/>
      <c r="S1148" s="3"/>
      <c r="T1148" s="3"/>
      <c r="U1148" s="3"/>
      <c r="V1148" s="3"/>
      <c r="W1148" s="3"/>
      <c r="X1148" s="3">
        <v>17273000</v>
      </c>
      <c r="Y1148" s="3">
        <v>29900000</v>
      </c>
      <c r="Z1148" s="3">
        <v>62266000</v>
      </c>
      <c r="AA1148" s="3">
        <v>91162000</v>
      </c>
      <c r="AB1148" s="3">
        <v>116478000</v>
      </c>
      <c r="AC1148" s="3">
        <v>157730000</v>
      </c>
      <c r="AD1148" s="3"/>
      <c r="AE1148" t="s">
        <v>6211</v>
      </c>
      <c r="AF1148" t="s">
        <v>252</v>
      </c>
    </row>
    <row r="1149" spans="1:32" x14ac:dyDescent="0.3">
      <c r="A1149" t="s">
        <v>1826</v>
      </c>
      <c r="B1149" s="1" t="s">
        <v>1205</v>
      </c>
      <c r="C1149" s="5" t="s">
        <v>3214</v>
      </c>
      <c r="D1149" s="2" t="s">
        <v>4732</v>
      </c>
      <c r="E1149" s="1" t="s">
        <v>1923</v>
      </c>
      <c r="F1149" s="3">
        <v>1365630000</v>
      </c>
      <c r="G1149" s="3">
        <v>1318095000</v>
      </c>
      <c r="H1149" s="3">
        <v>1588873000</v>
      </c>
      <c r="I1149" s="3">
        <v>1786343000</v>
      </c>
      <c r="J1149" s="3">
        <v>1903831000</v>
      </c>
      <c r="K1149" s="3">
        <v>1762560000</v>
      </c>
      <c r="L1149" s="3">
        <v>1847230000</v>
      </c>
      <c r="M1149" s="3">
        <v>1909044000</v>
      </c>
      <c r="N1149" s="3">
        <v>1796665000</v>
      </c>
      <c r="O1149" s="3">
        <v>1781291000</v>
      </c>
      <c r="P1149" s="3">
        <v>1749019000</v>
      </c>
      <c r="Q1149" s="3">
        <v>1712912000</v>
      </c>
      <c r="R1149" s="3">
        <v>118223000</v>
      </c>
      <c r="S1149" s="3">
        <v>168459000</v>
      </c>
      <c r="T1149" s="3">
        <v>239934000</v>
      </c>
      <c r="U1149" s="3">
        <v>394318000</v>
      </c>
      <c r="V1149" s="3">
        <v>521828000</v>
      </c>
      <c r="W1149" s="3">
        <v>780587000</v>
      </c>
      <c r="X1149" s="3">
        <v>865360000</v>
      </c>
      <c r="Y1149" s="3">
        <v>1174245000</v>
      </c>
      <c r="Z1149" s="3">
        <v>1820162000</v>
      </c>
      <c r="AA1149" s="3">
        <v>2396926000</v>
      </c>
      <c r="AB1149" s="3">
        <v>3000553000</v>
      </c>
      <c r="AC1149" s="3">
        <v>4031392000</v>
      </c>
      <c r="AD1149" s="3"/>
      <c r="AE1149" t="s">
        <v>6212</v>
      </c>
      <c r="AF1149" t="s">
        <v>252</v>
      </c>
    </row>
    <row r="1150" spans="1:32" x14ac:dyDescent="0.3">
      <c r="A1150" t="s">
        <v>1826</v>
      </c>
      <c r="B1150" s="1" t="s">
        <v>1205</v>
      </c>
      <c r="C1150" s="5" t="s">
        <v>3215</v>
      </c>
      <c r="D1150" s="2" t="s">
        <v>4733</v>
      </c>
      <c r="E1150" s="1" t="s">
        <v>508</v>
      </c>
      <c r="F1150" s="3">
        <v>-130563345.7</v>
      </c>
      <c r="G1150" s="3">
        <v>-178136062.90000001</v>
      </c>
      <c r="H1150" s="3">
        <v>-95409514.799999997</v>
      </c>
      <c r="I1150" s="3">
        <v>-148899986.09999999</v>
      </c>
      <c r="J1150" s="3">
        <v>-7957822.2000000002</v>
      </c>
      <c r="K1150" s="3">
        <v>1509014.2</v>
      </c>
      <c r="L1150" s="3">
        <v>75047421.5</v>
      </c>
      <c r="M1150" s="3">
        <v>-54395554.299999997</v>
      </c>
      <c r="N1150" s="3">
        <v>-550983232.39999998</v>
      </c>
      <c r="O1150" s="3">
        <v>-448053241.89999998</v>
      </c>
      <c r="P1150" s="3">
        <v>-220259636.59999999</v>
      </c>
      <c r="Q1150" s="3">
        <v>344642069.19999999</v>
      </c>
      <c r="R1150" s="3">
        <v>-133372709.8</v>
      </c>
      <c r="S1150" s="3">
        <v>499495639.80000001</v>
      </c>
      <c r="T1150" s="3">
        <v>299183285</v>
      </c>
      <c r="U1150" s="3">
        <v>1532753233</v>
      </c>
      <c r="V1150" s="3">
        <v>42939320.200000003</v>
      </c>
      <c r="W1150" s="3">
        <v>540139436</v>
      </c>
      <c r="X1150" s="3">
        <v>327844900.10000002</v>
      </c>
      <c r="Y1150" s="3">
        <v>768891655.29999995</v>
      </c>
      <c r="Z1150" s="3">
        <v>1550623682.3</v>
      </c>
      <c r="AA1150" s="3">
        <v>2540906665.5</v>
      </c>
      <c r="AB1150" s="3">
        <v>1898273110.0999999</v>
      </c>
      <c r="AC1150" s="3">
        <v>1799862850.5</v>
      </c>
      <c r="AD1150" s="3"/>
      <c r="AE1150" t="s">
        <v>6213</v>
      </c>
      <c r="AF1150" t="s">
        <v>252</v>
      </c>
    </row>
    <row r="1151" spans="1:32" x14ac:dyDescent="0.3">
      <c r="A1151" t="s">
        <v>1826</v>
      </c>
      <c r="B1151" s="1" t="s">
        <v>1205</v>
      </c>
      <c r="C1151" s="5" t="s">
        <v>3216</v>
      </c>
      <c r="D1151" s="2" t="s">
        <v>4734</v>
      </c>
      <c r="E1151" s="1" t="s">
        <v>1700</v>
      </c>
      <c r="F1151" s="3">
        <v>0</v>
      </c>
      <c r="G1151" s="3">
        <v>0</v>
      </c>
      <c r="H1151" s="3">
        <v>-828000</v>
      </c>
      <c r="I1151" s="3">
        <v>0</v>
      </c>
      <c r="J1151" s="3"/>
      <c r="K1151" s="3"/>
      <c r="L1151" s="3"/>
      <c r="M1151" s="3"/>
      <c r="N1151" s="3"/>
      <c r="O1151" s="3"/>
      <c r="P1151" s="3">
        <v>25979000</v>
      </c>
      <c r="Q1151" s="3">
        <v>25178000</v>
      </c>
      <c r="R1151" s="3">
        <v>2418000</v>
      </c>
      <c r="S1151" s="3">
        <v>4894000</v>
      </c>
      <c r="T1151" s="3"/>
      <c r="U1151" s="3">
        <v>-7500000</v>
      </c>
      <c r="V1151" s="3">
        <v>-8500000</v>
      </c>
      <c r="W1151" s="3">
        <v>-8500000</v>
      </c>
      <c r="X1151" s="3">
        <v>-8500000</v>
      </c>
      <c r="Y1151" s="3">
        <v>-8500000</v>
      </c>
      <c r="Z1151" s="3">
        <v>-8500000</v>
      </c>
      <c r="AA1151" s="3">
        <v>-8500000</v>
      </c>
      <c r="AB1151" s="3">
        <v>2067000</v>
      </c>
      <c r="AC1151" s="3">
        <v>-1273000</v>
      </c>
      <c r="AD1151" s="3"/>
      <c r="AE1151" t="s">
        <v>6214</v>
      </c>
      <c r="AF1151" t="s">
        <v>252</v>
      </c>
    </row>
    <row r="1152" spans="1:32" x14ac:dyDescent="0.3">
      <c r="A1152" t="s">
        <v>1826</v>
      </c>
      <c r="B1152" s="1" t="s">
        <v>1205</v>
      </c>
      <c r="C1152" s="5" t="s">
        <v>3217</v>
      </c>
      <c r="D1152" s="2" t="s">
        <v>4735</v>
      </c>
      <c r="E1152" s="1" t="s">
        <v>475</v>
      </c>
      <c r="F1152" s="3">
        <v>-50107000</v>
      </c>
      <c r="G1152" s="3">
        <v>0</v>
      </c>
      <c r="H1152" s="3">
        <v>-848000</v>
      </c>
      <c r="I1152" s="3">
        <v>0</v>
      </c>
      <c r="J1152" s="3">
        <v>652000</v>
      </c>
      <c r="K1152" s="3">
        <v>-33000</v>
      </c>
      <c r="L1152" s="3">
        <v>-282000</v>
      </c>
      <c r="M1152" s="3">
        <v>0</v>
      </c>
      <c r="N1152" s="3">
        <v>0</v>
      </c>
      <c r="O1152" s="3">
        <v>0</v>
      </c>
      <c r="P1152" s="3">
        <v>26066000</v>
      </c>
      <c r="Q1152" s="3">
        <v>25084000</v>
      </c>
      <c r="R1152" s="3">
        <v>2418000</v>
      </c>
      <c r="S1152" s="3">
        <v>54909000</v>
      </c>
      <c r="T1152" s="3">
        <v>700120000</v>
      </c>
      <c r="U1152" s="3">
        <v>991555000</v>
      </c>
      <c r="V1152" s="3">
        <v>127877000</v>
      </c>
      <c r="W1152" s="3">
        <v>1132947000</v>
      </c>
      <c r="X1152" s="3">
        <v>2716885000</v>
      </c>
      <c r="Y1152" s="3">
        <v>1796698000</v>
      </c>
      <c r="Z1152" s="3">
        <v>1530423000</v>
      </c>
      <c r="AA1152" s="3">
        <v>1845319000</v>
      </c>
      <c r="AB1152" s="3">
        <v>2218672000</v>
      </c>
      <c r="AC1152" s="3">
        <v>367606000</v>
      </c>
      <c r="AD1152" s="3"/>
      <c r="AE1152" t="s">
        <v>6215</v>
      </c>
      <c r="AF1152" t="s">
        <v>252</v>
      </c>
    </row>
    <row r="1153" spans="1:32" x14ac:dyDescent="0.3">
      <c r="A1153" t="s">
        <v>1826</v>
      </c>
      <c r="B1153" s="1" t="s">
        <v>1205</v>
      </c>
      <c r="C1153" s="5" t="s">
        <v>3218</v>
      </c>
      <c r="D1153" s="2" t="s">
        <v>4736</v>
      </c>
      <c r="E1153" s="1" t="s">
        <v>401</v>
      </c>
      <c r="F1153" s="3">
        <v>218.59046136171</v>
      </c>
      <c r="G1153" s="3">
        <v>228.47609996524901</v>
      </c>
      <c r="H1153" s="3">
        <v>235.28881310215499</v>
      </c>
      <c r="I1153" s="3">
        <v>238.29712910980601</v>
      </c>
      <c r="J1153" s="3">
        <v>226.24770112944299</v>
      </c>
      <c r="K1153" s="3">
        <v>222.22413754252801</v>
      </c>
      <c r="L1153" s="3">
        <v>218.50696175978601</v>
      </c>
      <c r="M1153" s="3">
        <v>219.313877480033</v>
      </c>
      <c r="N1153" s="3">
        <v>226.72905553672501</v>
      </c>
      <c r="O1153" s="3">
        <v>228.060807058379</v>
      </c>
      <c r="P1153" s="3">
        <v>228.738872831951</v>
      </c>
      <c r="Q1153" s="3">
        <v>236.91058349609401</v>
      </c>
      <c r="R1153" s="3">
        <v>240.008982097851</v>
      </c>
      <c r="S1153" s="3">
        <v>243.763112885742</v>
      </c>
      <c r="T1153" s="3">
        <v>241.335175375635</v>
      </c>
      <c r="U1153" s="3">
        <v>243.63529107497499</v>
      </c>
      <c r="V1153" s="3">
        <v>243.62623391478201</v>
      </c>
      <c r="W1153" s="3">
        <v>243.18557739257801</v>
      </c>
      <c r="X1153" s="3">
        <v>239.31900024414099</v>
      </c>
      <c r="Y1153" s="3">
        <v>227.48310852050801</v>
      </c>
      <c r="Z1153" s="3">
        <v>226.30870056152301</v>
      </c>
      <c r="AA1153" s="3">
        <v>225.28880310058599</v>
      </c>
      <c r="AB1153" s="3">
        <v>216.604679458737</v>
      </c>
      <c r="AC1153" s="3">
        <v>214.41554584557099</v>
      </c>
      <c r="AD1153" s="3">
        <v>214.691686543874</v>
      </c>
      <c r="AE1153" t="s">
        <v>6216</v>
      </c>
      <c r="AF1153" t="s">
        <v>1534</v>
      </c>
    </row>
    <row r="1154" spans="1:32" x14ac:dyDescent="0.3">
      <c r="A1154" t="s">
        <v>1826</v>
      </c>
      <c r="B1154" s="1" t="s">
        <v>1205</v>
      </c>
      <c r="C1154" s="5" t="s">
        <v>3219</v>
      </c>
      <c r="D1154" s="2" t="s">
        <v>4737</v>
      </c>
      <c r="E1154" s="1" t="s">
        <v>1983</v>
      </c>
      <c r="F1154" s="3">
        <v>228.03894699906101</v>
      </c>
      <c r="G1154" s="3">
        <v>231.443930600176</v>
      </c>
      <c r="H1154" s="3">
        <v>234.84141422588101</v>
      </c>
      <c r="I1154" s="3">
        <v>237.199040027601</v>
      </c>
      <c r="J1154" s="3">
        <v>234.38240272389001</v>
      </c>
      <c r="K1154" s="3">
        <v>235.500180435658</v>
      </c>
      <c r="L1154" s="3">
        <v>233.769158460196</v>
      </c>
      <c r="M1154" s="3">
        <v>231.585704001377</v>
      </c>
      <c r="N1154" s="3">
        <v>237.093109979362</v>
      </c>
      <c r="O1154" s="3">
        <v>240.36489349239901</v>
      </c>
      <c r="P1154" s="3">
        <v>239.38681566988501</v>
      </c>
      <c r="Q1154" s="3">
        <v>243.460861206055</v>
      </c>
      <c r="R1154" s="3">
        <v>234.728786675583</v>
      </c>
      <c r="S1154" s="3">
        <v>242.50312448151001</v>
      </c>
      <c r="T1154" s="3">
        <v>240.994617156511</v>
      </c>
      <c r="U1154" s="3">
        <v>243.253099013189</v>
      </c>
      <c r="V1154" s="3">
        <v>242.30076539446</v>
      </c>
      <c r="W1154" s="3">
        <v>242.66499328613301</v>
      </c>
      <c r="X1154" s="3">
        <v>238.76063537597699</v>
      </c>
      <c r="Y1154" s="3">
        <v>232.10954284668</v>
      </c>
      <c r="Z1154" s="3">
        <v>235.66371154785199</v>
      </c>
      <c r="AA1154" s="3">
        <v>238.539962768555</v>
      </c>
      <c r="AB1154" s="3">
        <v>232.51779635532299</v>
      </c>
      <c r="AC1154" s="3">
        <v>233.12251281397801</v>
      </c>
      <c r="AD1154" s="3">
        <v>234.292881406585</v>
      </c>
      <c r="AE1154" t="s">
        <v>6217</v>
      </c>
      <c r="AF1154" t="s">
        <v>1422</v>
      </c>
    </row>
    <row r="1155" spans="1:32" x14ac:dyDescent="0.3">
      <c r="A1155" t="s">
        <v>1826</v>
      </c>
      <c r="B1155" s="1" t="s">
        <v>1205</v>
      </c>
      <c r="C1155" s="5" t="s">
        <v>3220</v>
      </c>
      <c r="D1155" s="2" t="s">
        <v>4738</v>
      </c>
      <c r="E1155" s="1" t="s">
        <v>1990</v>
      </c>
      <c r="F1155" s="3">
        <v>87.6</v>
      </c>
      <c r="G1155" s="3"/>
      <c r="H1155" s="3"/>
      <c r="I1155" s="3"/>
      <c r="J1155" s="3"/>
      <c r="K1155" s="3">
        <v>87.3</v>
      </c>
      <c r="L1155" s="3">
        <v>84.8</v>
      </c>
      <c r="M1155" s="3"/>
      <c r="N1155" s="3"/>
      <c r="O1155" s="3"/>
      <c r="P1155" s="3"/>
      <c r="Q1155" s="3"/>
      <c r="R1155" s="3">
        <v>90.6</v>
      </c>
      <c r="S1155" s="3"/>
      <c r="T1155" s="3"/>
      <c r="U1155" s="3"/>
      <c r="V1155" s="3">
        <v>93.2</v>
      </c>
      <c r="W1155" s="3"/>
      <c r="X1155" s="3"/>
      <c r="Y1155" s="3"/>
      <c r="Z1155" s="3"/>
      <c r="AA1155" s="3"/>
      <c r="AB1155" s="3"/>
      <c r="AC1155" s="3"/>
      <c r="AD1155" s="3"/>
      <c r="AE1155" t="s">
        <v>6218</v>
      </c>
      <c r="AF1155" t="s">
        <v>1141</v>
      </c>
    </row>
    <row r="1156" spans="1:32" x14ac:dyDescent="0.3">
      <c r="A1156" t="s">
        <v>1826</v>
      </c>
      <c r="B1156" s="1" t="s">
        <v>1205</v>
      </c>
      <c r="C1156" s="5" t="s">
        <v>3221</v>
      </c>
      <c r="D1156" s="2" t="s">
        <v>4739</v>
      </c>
      <c r="E1156" s="1" t="s">
        <v>635</v>
      </c>
      <c r="F1156" s="3">
        <v>3</v>
      </c>
      <c r="G1156" s="3">
        <v>3</v>
      </c>
      <c r="H1156" s="3">
        <v>3</v>
      </c>
      <c r="I1156" s="3">
        <v>3</v>
      </c>
      <c r="J1156" s="3">
        <v>3</v>
      </c>
      <c r="K1156" s="3">
        <v>3</v>
      </c>
      <c r="L1156" s="3">
        <v>3</v>
      </c>
      <c r="M1156" s="3">
        <v>3</v>
      </c>
      <c r="N1156" s="3">
        <v>3</v>
      </c>
      <c r="O1156" s="3">
        <v>3</v>
      </c>
      <c r="P1156" s="3">
        <v>3</v>
      </c>
      <c r="Q1156" s="3">
        <v>3</v>
      </c>
      <c r="R1156" s="3">
        <v>3</v>
      </c>
      <c r="S1156" s="3">
        <v>3</v>
      </c>
      <c r="T1156" s="3">
        <v>3</v>
      </c>
      <c r="U1156" s="3">
        <v>3</v>
      </c>
      <c r="V1156" s="3">
        <v>3</v>
      </c>
      <c r="W1156" s="3">
        <v>3</v>
      </c>
      <c r="X1156" s="3">
        <v>3</v>
      </c>
      <c r="Y1156" s="3">
        <v>3</v>
      </c>
      <c r="Z1156" s="3">
        <v>3</v>
      </c>
      <c r="AA1156" s="3">
        <v>3</v>
      </c>
      <c r="AB1156" s="3">
        <v>3</v>
      </c>
      <c r="AC1156" s="3">
        <v>3</v>
      </c>
      <c r="AD1156" s="3"/>
      <c r="AE1156" t="s">
        <v>6219</v>
      </c>
      <c r="AF1156" t="s">
        <v>998</v>
      </c>
    </row>
    <row r="1157" spans="1:32" x14ac:dyDescent="0.3">
      <c r="A1157" t="s">
        <v>1826</v>
      </c>
      <c r="B1157" s="1" t="s">
        <v>1205</v>
      </c>
      <c r="C1157" s="5" t="s">
        <v>3222</v>
      </c>
      <c r="D1157" s="2" t="s">
        <v>4740</v>
      </c>
      <c r="E1157" s="1" t="s">
        <v>1915</v>
      </c>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v>147.33473845414892</v>
      </c>
      <c r="AD1157" s="3"/>
      <c r="AE1157" t="s">
        <v>6220</v>
      </c>
      <c r="AF1157" t="s">
        <v>252</v>
      </c>
    </row>
    <row r="1158" spans="1:32" x14ac:dyDescent="0.3">
      <c r="A1158" t="s">
        <v>1826</v>
      </c>
      <c r="B1158" s="1" t="s">
        <v>1205</v>
      </c>
      <c r="C1158" s="5" t="s">
        <v>3223</v>
      </c>
      <c r="D1158" s="2" t="s">
        <v>4741</v>
      </c>
      <c r="E1158" s="1" t="s">
        <v>1505</v>
      </c>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v>35.107540109102395</v>
      </c>
      <c r="AD1158" s="3"/>
      <c r="AE1158" t="s">
        <v>6221</v>
      </c>
      <c r="AF1158" t="s">
        <v>252</v>
      </c>
    </row>
    <row r="1159" spans="1:32" x14ac:dyDescent="0.3">
      <c r="A1159" t="s">
        <v>1826</v>
      </c>
      <c r="B1159" s="1" t="s">
        <v>1205</v>
      </c>
      <c r="C1159" s="5" t="s">
        <v>3224</v>
      </c>
      <c r="D1159" s="2" t="s">
        <v>4742</v>
      </c>
      <c r="E1159" s="1" t="s">
        <v>763</v>
      </c>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v>26576227604.799999</v>
      </c>
      <c r="AD1159" s="3"/>
      <c r="AE1159" t="s">
        <v>6222</v>
      </c>
      <c r="AF1159" t="s">
        <v>252</v>
      </c>
    </row>
    <row r="1160" spans="1:32" x14ac:dyDescent="0.3">
      <c r="A1160" t="s">
        <v>1826</v>
      </c>
      <c r="B1160" s="1" t="s">
        <v>1205</v>
      </c>
      <c r="C1160" s="5" t="s">
        <v>3225</v>
      </c>
      <c r="D1160" s="2" t="s">
        <v>4743</v>
      </c>
      <c r="E1160" s="1" t="s">
        <v>1883</v>
      </c>
      <c r="F1160" s="3">
        <v>80</v>
      </c>
      <c r="G1160" s="3">
        <v>79.3</v>
      </c>
      <c r="H1160" s="3">
        <v>78.599999999999994</v>
      </c>
      <c r="I1160" s="3">
        <v>77.900000000000006</v>
      </c>
      <c r="J1160" s="3">
        <v>77.2</v>
      </c>
      <c r="K1160" s="3">
        <v>76.599999999999994</v>
      </c>
      <c r="L1160" s="3">
        <v>76</v>
      </c>
      <c r="M1160" s="3">
        <v>75.400000000000006</v>
      </c>
      <c r="N1160" s="3">
        <v>75</v>
      </c>
      <c r="O1160" s="3">
        <v>74.599999999999994</v>
      </c>
      <c r="P1160" s="3">
        <v>74.400000000000006</v>
      </c>
      <c r="Q1160" s="3">
        <v>74.3</v>
      </c>
      <c r="R1160" s="3">
        <v>74.3</v>
      </c>
      <c r="S1160" s="3">
        <v>74.3</v>
      </c>
      <c r="T1160" s="3">
        <v>74.3</v>
      </c>
      <c r="U1160" s="3">
        <v>74.2</v>
      </c>
      <c r="V1160" s="3">
        <v>74</v>
      </c>
      <c r="W1160" s="3">
        <v>73.599999999999994</v>
      </c>
      <c r="X1160" s="3">
        <v>73</v>
      </c>
      <c r="Y1160" s="3">
        <v>72.2</v>
      </c>
      <c r="Z1160" s="3"/>
      <c r="AA1160" s="3"/>
      <c r="AB1160" s="3"/>
      <c r="AC1160" s="3"/>
      <c r="AD1160" s="3"/>
      <c r="AE1160" t="s">
        <v>6223</v>
      </c>
      <c r="AF1160" t="s">
        <v>248</v>
      </c>
    </row>
    <row r="1161" spans="1:32" x14ac:dyDescent="0.3">
      <c r="A1161" t="s">
        <v>1826</v>
      </c>
      <c r="B1161" s="1" t="s">
        <v>1205</v>
      </c>
      <c r="C1161" s="5" t="s">
        <v>3226</v>
      </c>
      <c r="D1161" s="2" t="s">
        <v>4744</v>
      </c>
      <c r="E1161" s="1" t="s">
        <v>1208</v>
      </c>
      <c r="F1161" s="3">
        <v>54.8</v>
      </c>
      <c r="G1161" s="3">
        <v>54.4</v>
      </c>
      <c r="H1161" s="3">
        <v>53.9</v>
      </c>
      <c r="I1161" s="3">
        <v>53.5</v>
      </c>
      <c r="J1161" s="3">
        <v>53.1</v>
      </c>
      <c r="K1161" s="3">
        <v>52.7</v>
      </c>
      <c r="L1161" s="3">
        <v>52.2</v>
      </c>
      <c r="M1161" s="3">
        <v>51.7</v>
      </c>
      <c r="N1161" s="3">
        <v>51.2</v>
      </c>
      <c r="O1161" s="3">
        <v>50.6</v>
      </c>
      <c r="P1161" s="3">
        <v>50.1</v>
      </c>
      <c r="Q1161" s="3">
        <v>49.7</v>
      </c>
      <c r="R1161" s="3">
        <v>49.4</v>
      </c>
      <c r="S1161" s="3">
        <v>49.1</v>
      </c>
      <c r="T1161" s="3">
        <v>49</v>
      </c>
      <c r="U1161" s="3">
        <v>48.9</v>
      </c>
      <c r="V1161" s="3">
        <v>48.9</v>
      </c>
      <c r="W1161" s="3">
        <v>49</v>
      </c>
      <c r="X1161" s="3">
        <v>49.1</v>
      </c>
      <c r="Y1161" s="3">
        <v>49.2</v>
      </c>
      <c r="Z1161" s="3">
        <v>49.4</v>
      </c>
      <c r="AA1161" s="3">
        <v>49.7</v>
      </c>
      <c r="AB1161" s="3">
        <v>50.2</v>
      </c>
      <c r="AC1161" s="3">
        <v>50.8</v>
      </c>
      <c r="AD1161" s="3"/>
      <c r="AE1161" t="s">
        <v>6224</v>
      </c>
      <c r="AF1161" t="s">
        <v>542</v>
      </c>
    </row>
    <row r="1162" spans="1:32" x14ac:dyDescent="0.3">
      <c r="A1162" t="s">
        <v>1826</v>
      </c>
      <c r="B1162" s="1" t="s">
        <v>1205</v>
      </c>
      <c r="C1162" s="5" t="s">
        <v>3227</v>
      </c>
      <c r="D1162" s="2" t="s">
        <v>4745</v>
      </c>
      <c r="E1162" s="1" t="s">
        <v>750</v>
      </c>
      <c r="F1162" s="3">
        <v>57.9</v>
      </c>
      <c r="G1162" s="3">
        <v>57.6</v>
      </c>
      <c r="H1162" s="3">
        <v>57.3</v>
      </c>
      <c r="I1162" s="3">
        <v>56.9</v>
      </c>
      <c r="J1162" s="3">
        <v>56.6</v>
      </c>
      <c r="K1162" s="3">
        <v>56.3</v>
      </c>
      <c r="L1162" s="3">
        <v>56</v>
      </c>
      <c r="M1162" s="3">
        <v>55.7</v>
      </c>
      <c r="N1162" s="3">
        <v>55.5</v>
      </c>
      <c r="O1162" s="3">
        <v>55.4</v>
      </c>
      <c r="P1162" s="3">
        <v>55.2</v>
      </c>
      <c r="Q1162" s="3">
        <v>55.1</v>
      </c>
      <c r="R1162" s="3">
        <v>55.1</v>
      </c>
      <c r="S1162" s="3">
        <v>55.1</v>
      </c>
      <c r="T1162" s="3">
        <v>55.2</v>
      </c>
      <c r="U1162" s="3">
        <v>55.3</v>
      </c>
      <c r="V1162" s="3">
        <v>55.5</v>
      </c>
      <c r="W1162" s="3">
        <v>55.6</v>
      </c>
      <c r="X1162" s="3">
        <v>55.8</v>
      </c>
      <c r="Y1162" s="3">
        <v>56</v>
      </c>
      <c r="Z1162" s="3">
        <v>56.2</v>
      </c>
      <c r="AA1162" s="3">
        <v>56.5</v>
      </c>
      <c r="AB1162" s="3">
        <v>56.9</v>
      </c>
      <c r="AC1162" s="3">
        <v>57.3</v>
      </c>
      <c r="AD1162" s="3"/>
      <c r="AE1162" t="s">
        <v>6225</v>
      </c>
      <c r="AF1162" t="s">
        <v>2035</v>
      </c>
    </row>
    <row r="1163" spans="1:32" x14ac:dyDescent="0.3">
      <c r="A1163" t="s">
        <v>1826</v>
      </c>
      <c r="B1163" s="1" t="s">
        <v>1205</v>
      </c>
      <c r="C1163" s="5" t="s">
        <v>3228</v>
      </c>
      <c r="D1163" s="2" t="s">
        <v>4746</v>
      </c>
      <c r="E1163" s="1" t="s">
        <v>652</v>
      </c>
      <c r="F1163" s="3">
        <v>55.2</v>
      </c>
      <c r="G1163" s="3">
        <v>54.7</v>
      </c>
      <c r="H1163" s="3">
        <v>54.3</v>
      </c>
      <c r="I1163" s="3">
        <v>53.9</v>
      </c>
      <c r="J1163" s="3">
        <v>53.5</v>
      </c>
      <c r="K1163" s="3">
        <v>53.1</v>
      </c>
      <c r="L1163" s="3">
        <v>52.6</v>
      </c>
      <c r="M1163" s="3">
        <v>52.2</v>
      </c>
      <c r="N1163" s="3">
        <v>51.7</v>
      </c>
      <c r="O1163" s="3">
        <v>51.1</v>
      </c>
      <c r="P1163" s="3">
        <v>50.7</v>
      </c>
      <c r="Q1163" s="3">
        <v>50.3</v>
      </c>
      <c r="R1163" s="3">
        <v>50</v>
      </c>
      <c r="S1163" s="3">
        <v>49.8</v>
      </c>
      <c r="T1163" s="3">
        <v>49.6</v>
      </c>
      <c r="U1163" s="3">
        <v>49.6</v>
      </c>
      <c r="V1163" s="3">
        <v>49.6</v>
      </c>
      <c r="W1163" s="3">
        <v>49.6</v>
      </c>
      <c r="X1163" s="3">
        <v>49.7</v>
      </c>
      <c r="Y1163" s="3">
        <v>49.8</v>
      </c>
      <c r="Z1163" s="3">
        <v>50</v>
      </c>
      <c r="AA1163" s="3">
        <v>50.3</v>
      </c>
      <c r="AB1163" s="3">
        <v>50.8</v>
      </c>
      <c r="AC1163" s="3">
        <v>51.4</v>
      </c>
      <c r="AD1163" s="3"/>
      <c r="AE1163" t="s">
        <v>6226</v>
      </c>
      <c r="AF1163" t="s">
        <v>542</v>
      </c>
    </row>
    <row r="1164" spans="1:32" x14ac:dyDescent="0.3">
      <c r="A1164" t="s">
        <v>1826</v>
      </c>
      <c r="B1164" s="1" t="s">
        <v>1205</v>
      </c>
      <c r="C1164" s="5" t="s">
        <v>3229</v>
      </c>
      <c r="D1164" s="2" t="s">
        <v>4747</v>
      </c>
      <c r="E1164" s="1" t="s">
        <v>2022</v>
      </c>
      <c r="F1164" s="3">
        <v>20.7</v>
      </c>
      <c r="G1164" s="3"/>
      <c r="H1164" s="3"/>
      <c r="I1164" s="3"/>
      <c r="J1164" s="3"/>
      <c r="K1164" s="3">
        <v>16.7</v>
      </c>
      <c r="L1164" s="3"/>
      <c r="M1164" s="3">
        <v>15.4</v>
      </c>
      <c r="N1164" s="3"/>
      <c r="O1164" s="3"/>
      <c r="P1164" s="3">
        <v>13.7</v>
      </c>
      <c r="Q1164" s="3"/>
      <c r="R1164" s="3"/>
      <c r="S1164" s="3"/>
      <c r="T1164" s="3"/>
      <c r="U1164" s="3">
        <v>11.4</v>
      </c>
      <c r="V1164" s="3"/>
      <c r="W1164" s="3"/>
      <c r="X1164" s="3"/>
      <c r="Y1164" s="3"/>
      <c r="Z1164" s="3">
        <v>9.4</v>
      </c>
      <c r="AA1164" s="3">
        <v>9.1</v>
      </c>
      <c r="AB1164" s="3">
        <v>8.8000000000000007</v>
      </c>
      <c r="AC1164" s="3"/>
      <c r="AD1164" s="3"/>
      <c r="AE1164" t="s">
        <v>6227</v>
      </c>
      <c r="AF1164" t="s">
        <v>1473</v>
      </c>
    </row>
    <row r="1165" spans="1:32" x14ac:dyDescent="0.3">
      <c r="A1165" t="s">
        <v>1826</v>
      </c>
      <c r="B1165" s="1" t="s">
        <v>1205</v>
      </c>
      <c r="C1165" s="5" t="s">
        <v>3230</v>
      </c>
      <c r="D1165" s="2" t="s">
        <v>4748</v>
      </c>
      <c r="E1165" s="1" t="s">
        <v>1304</v>
      </c>
      <c r="F1165" s="3">
        <v>3</v>
      </c>
      <c r="G1165" s="3"/>
      <c r="H1165" s="3"/>
      <c r="I1165" s="3"/>
      <c r="J1165" s="3"/>
      <c r="K1165" s="3">
        <v>2.2000000000000002</v>
      </c>
      <c r="L1165" s="3"/>
      <c r="M1165" s="3">
        <v>1.9</v>
      </c>
      <c r="N1165" s="3"/>
      <c r="O1165" s="3"/>
      <c r="P1165" s="3">
        <v>1.6</v>
      </c>
      <c r="Q1165" s="3"/>
      <c r="R1165" s="3"/>
      <c r="S1165" s="3"/>
      <c r="T1165" s="3"/>
      <c r="U1165" s="3">
        <v>1.2</v>
      </c>
      <c r="V1165" s="3"/>
      <c r="W1165" s="3"/>
      <c r="X1165" s="3"/>
      <c r="Y1165" s="3"/>
      <c r="Z1165" s="3">
        <v>0.9</v>
      </c>
      <c r="AA1165" s="3">
        <v>0.8</v>
      </c>
      <c r="AB1165" s="3">
        <v>0.8</v>
      </c>
      <c r="AC1165" s="3"/>
      <c r="AD1165" s="3"/>
      <c r="AE1165" t="s">
        <v>6228</v>
      </c>
      <c r="AF1165" t="s">
        <v>1473</v>
      </c>
    </row>
    <row r="1166" spans="1:32" x14ac:dyDescent="0.3">
      <c r="A1166" t="s">
        <v>1826</v>
      </c>
      <c r="B1166" s="1" t="s">
        <v>1205</v>
      </c>
      <c r="C1166" s="5" t="s">
        <v>3231</v>
      </c>
      <c r="D1166" s="2" t="s">
        <v>4749</v>
      </c>
      <c r="E1166" s="1" t="s">
        <v>2053</v>
      </c>
      <c r="F1166" s="3">
        <v>38.5</v>
      </c>
      <c r="G1166" s="3"/>
      <c r="H1166" s="3"/>
      <c r="I1166" s="3"/>
      <c r="J1166" s="3"/>
      <c r="K1166" s="3">
        <v>31.3</v>
      </c>
      <c r="L1166" s="3"/>
      <c r="M1166" s="3">
        <v>28.9</v>
      </c>
      <c r="N1166" s="3"/>
      <c r="O1166" s="3"/>
      <c r="P1166" s="3">
        <v>25.9</v>
      </c>
      <c r="Q1166" s="3"/>
      <c r="R1166" s="3"/>
      <c r="S1166" s="3"/>
      <c r="T1166" s="3"/>
      <c r="U1166" s="3">
        <v>21.6</v>
      </c>
      <c r="V1166" s="3"/>
      <c r="W1166" s="3"/>
      <c r="X1166" s="3"/>
      <c r="Y1166" s="3"/>
      <c r="Z1166" s="3">
        <v>18</v>
      </c>
      <c r="AA1166" s="3">
        <v>17.399999999999999</v>
      </c>
      <c r="AB1166" s="3">
        <v>16.899999999999999</v>
      </c>
      <c r="AC1166" s="3"/>
      <c r="AD1166" s="3"/>
      <c r="AE1166" t="s">
        <v>6229</v>
      </c>
      <c r="AF1166" t="s">
        <v>229</v>
      </c>
    </row>
    <row r="1167" spans="1:32" x14ac:dyDescent="0.3">
      <c r="A1167" t="s">
        <v>1826</v>
      </c>
      <c r="B1167" s="1" t="s">
        <v>1205</v>
      </c>
      <c r="C1167" s="5" t="s">
        <v>3232</v>
      </c>
      <c r="D1167" s="2" t="s">
        <v>4750</v>
      </c>
      <c r="E1167" s="1" t="s">
        <v>1265</v>
      </c>
      <c r="F1167" s="3">
        <v>3.4</v>
      </c>
      <c r="G1167" s="3">
        <v>3</v>
      </c>
      <c r="H1167" s="3">
        <v>2.7</v>
      </c>
      <c r="I1167" s="3">
        <v>2.4</v>
      </c>
      <c r="J1167" s="3">
        <v>2.2000000000000002</v>
      </c>
      <c r="K1167" s="3">
        <v>2</v>
      </c>
      <c r="L1167" s="3">
        <v>1.8</v>
      </c>
      <c r="M1167" s="3">
        <v>1.7</v>
      </c>
      <c r="N1167" s="3">
        <v>1.6</v>
      </c>
      <c r="O1167" s="3">
        <v>1.6</v>
      </c>
      <c r="P1167" s="3">
        <v>1.5</v>
      </c>
      <c r="Q1167" s="3">
        <v>1.5</v>
      </c>
      <c r="R1167" s="3">
        <v>1.4</v>
      </c>
      <c r="S1167" s="3">
        <v>1.4</v>
      </c>
      <c r="T1167" s="3">
        <v>1.3</v>
      </c>
      <c r="U1167" s="3">
        <v>1.3</v>
      </c>
      <c r="V1167" s="3">
        <v>1.2</v>
      </c>
      <c r="W1167" s="3">
        <v>1.1000000000000001</v>
      </c>
      <c r="X1167" s="3">
        <v>1.1000000000000001</v>
      </c>
      <c r="Y1167" s="3">
        <v>1</v>
      </c>
      <c r="Z1167" s="3">
        <v>0.9</v>
      </c>
      <c r="AA1167" s="3">
        <v>0.8</v>
      </c>
      <c r="AB1167" s="3">
        <v>0.8</v>
      </c>
      <c r="AC1167" s="3"/>
      <c r="AD1167" s="3"/>
      <c r="AE1167" t="s">
        <v>6230</v>
      </c>
      <c r="AF1167" t="s">
        <v>143</v>
      </c>
    </row>
    <row r="1168" spans="1:32" x14ac:dyDescent="0.3">
      <c r="A1168" t="s">
        <v>1826</v>
      </c>
      <c r="B1168" s="1" t="s">
        <v>1205</v>
      </c>
      <c r="C1168" s="5" t="s">
        <v>3233</v>
      </c>
      <c r="D1168" s="2" t="s">
        <v>4751</v>
      </c>
      <c r="E1168" s="1" t="s">
        <v>2059</v>
      </c>
      <c r="F1168" s="3">
        <v>0.5</v>
      </c>
      <c r="G1168" s="3">
        <v>0.5</v>
      </c>
      <c r="H1168" s="3">
        <v>0.5</v>
      </c>
      <c r="I1168" s="3">
        <v>0.4</v>
      </c>
      <c r="J1168" s="3">
        <v>0.5</v>
      </c>
      <c r="K1168" s="3">
        <v>0.5</v>
      </c>
      <c r="L1168" s="3">
        <v>0.5</v>
      </c>
      <c r="M1168" s="3">
        <v>0.5</v>
      </c>
      <c r="N1168" s="3">
        <v>0.5</v>
      </c>
      <c r="O1168" s="3">
        <v>0.6</v>
      </c>
      <c r="P1168" s="3">
        <v>0.6</v>
      </c>
      <c r="Q1168" s="3">
        <v>0.6</v>
      </c>
      <c r="R1168" s="3">
        <v>0.6</v>
      </c>
      <c r="S1168" s="3">
        <v>0.7</v>
      </c>
      <c r="T1168" s="3">
        <v>0.7</v>
      </c>
      <c r="U1168" s="3">
        <v>0.6</v>
      </c>
      <c r="V1168" s="3">
        <v>0.6</v>
      </c>
      <c r="W1168" s="3">
        <v>0.6</v>
      </c>
      <c r="X1168" s="3">
        <v>0.6</v>
      </c>
      <c r="Y1168" s="3">
        <v>0.6</v>
      </c>
      <c r="Z1168" s="3">
        <v>0.5</v>
      </c>
      <c r="AA1168" s="3">
        <v>0.5</v>
      </c>
      <c r="AB1168" s="3">
        <v>0.5</v>
      </c>
      <c r="AC1168" s="3"/>
      <c r="AD1168" s="3"/>
      <c r="AE1168" t="s">
        <v>6231</v>
      </c>
      <c r="AF1168" t="s">
        <v>143</v>
      </c>
    </row>
    <row r="1169" spans="1:32" x14ac:dyDescent="0.3">
      <c r="A1169" t="s">
        <v>1826</v>
      </c>
      <c r="B1169" s="1" t="s">
        <v>1205</v>
      </c>
      <c r="C1169" s="5" t="s">
        <v>3234</v>
      </c>
      <c r="D1169" s="2" t="s">
        <v>4752</v>
      </c>
      <c r="E1169" s="1" t="s">
        <v>898</v>
      </c>
      <c r="F1169" s="3">
        <v>6.6</v>
      </c>
      <c r="G1169" s="3">
        <v>6.3</v>
      </c>
      <c r="H1169" s="3">
        <v>5.9</v>
      </c>
      <c r="I1169" s="3">
        <v>5.5</v>
      </c>
      <c r="J1169" s="3">
        <v>5.2</v>
      </c>
      <c r="K1169" s="3">
        <v>4.8</v>
      </c>
      <c r="L1169" s="3">
        <v>4.5</v>
      </c>
      <c r="M1169" s="3">
        <v>4.2</v>
      </c>
      <c r="N1169" s="3">
        <v>3.9</v>
      </c>
      <c r="O1169" s="3">
        <v>3.7</v>
      </c>
      <c r="P1169" s="3">
        <v>3.5</v>
      </c>
      <c r="Q1169" s="3">
        <v>3.4</v>
      </c>
      <c r="R1169" s="3">
        <v>3.2</v>
      </c>
      <c r="S1169" s="3">
        <v>3</v>
      </c>
      <c r="T1169" s="3">
        <v>2.9</v>
      </c>
      <c r="U1169" s="3">
        <v>2.7</v>
      </c>
      <c r="V1169" s="3">
        <v>2.6</v>
      </c>
      <c r="W1169" s="3">
        <v>2.4</v>
      </c>
      <c r="X1169" s="3">
        <v>2.2999999999999998</v>
      </c>
      <c r="Y1169" s="3">
        <v>2.2000000000000002</v>
      </c>
      <c r="Z1169" s="3">
        <v>2.1</v>
      </c>
      <c r="AA1169" s="3">
        <v>1.9</v>
      </c>
      <c r="AB1169" s="3">
        <v>1.8</v>
      </c>
      <c r="AC1169" s="3"/>
      <c r="AD1169" s="3"/>
      <c r="AE1169" t="s">
        <v>6232</v>
      </c>
      <c r="AF1169" t="s">
        <v>709</v>
      </c>
    </row>
    <row r="1170" spans="1:32" x14ac:dyDescent="0.3">
      <c r="A1170" t="s">
        <v>1826</v>
      </c>
      <c r="B1170" s="1" t="s">
        <v>1205</v>
      </c>
      <c r="C1170" s="5" t="s">
        <v>3235</v>
      </c>
      <c r="D1170" s="2" t="s">
        <v>4753</v>
      </c>
      <c r="E1170" s="1" t="s">
        <v>1678</v>
      </c>
      <c r="F1170" s="3"/>
      <c r="G1170" s="3"/>
      <c r="H1170" s="3"/>
      <c r="I1170" s="3"/>
      <c r="J1170" s="3"/>
      <c r="K1170" s="3"/>
      <c r="L1170" s="3"/>
      <c r="M1170" s="3"/>
      <c r="N1170" s="3"/>
      <c r="O1170" s="3"/>
      <c r="P1170" s="3"/>
      <c r="Q1170" s="3"/>
      <c r="R1170" s="3"/>
      <c r="S1170" s="3"/>
      <c r="T1170" s="3"/>
      <c r="U1170" s="3">
        <v>34.1</v>
      </c>
      <c r="V1170" s="3">
        <v>35.700000000000003</v>
      </c>
      <c r="W1170" s="3">
        <v>37</v>
      </c>
      <c r="X1170" s="3">
        <v>38.200000000000003</v>
      </c>
      <c r="Y1170" s="3">
        <v>39.5</v>
      </c>
      <c r="Z1170" s="3">
        <v>40.4</v>
      </c>
      <c r="AA1170" s="3">
        <v>41</v>
      </c>
      <c r="AB1170" s="3">
        <v>39.4</v>
      </c>
      <c r="AC1170" s="3"/>
      <c r="AD1170" s="3"/>
      <c r="AE1170" t="s">
        <v>6233</v>
      </c>
      <c r="AF1170" t="s">
        <v>1011</v>
      </c>
    </row>
    <row r="1171" spans="1:32" x14ac:dyDescent="0.3">
      <c r="A1171" t="s">
        <v>1826</v>
      </c>
      <c r="B1171" s="1" t="s">
        <v>1205</v>
      </c>
      <c r="C1171" s="5" t="s">
        <v>3236</v>
      </c>
      <c r="D1171" s="2" t="s">
        <v>4754</v>
      </c>
      <c r="E1171" s="1" t="s">
        <v>1759</v>
      </c>
      <c r="F1171" s="3"/>
      <c r="G1171" s="3"/>
      <c r="H1171" s="3"/>
      <c r="I1171" s="3"/>
      <c r="J1171" s="3"/>
      <c r="K1171" s="3"/>
      <c r="L1171" s="3"/>
      <c r="M1171" s="3">
        <v>4.9000000000000004</v>
      </c>
      <c r="N1171" s="3"/>
      <c r="O1171" s="3"/>
      <c r="P1171" s="3"/>
      <c r="Q1171" s="3">
        <v>1.6</v>
      </c>
      <c r="R1171" s="3">
        <v>3.2</v>
      </c>
      <c r="S1171" s="3"/>
      <c r="T1171" s="3"/>
      <c r="U1171" s="3"/>
      <c r="V1171" s="3">
        <v>1.5</v>
      </c>
      <c r="W1171" s="3"/>
      <c r="X1171" s="3"/>
      <c r="Y1171" s="3"/>
      <c r="Z1171" s="3"/>
      <c r="AA1171" s="3">
        <v>3.4</v>
      </c>
      <c r="AB1171" s="3"/>
      <c r="AC1171" s="3"/>
      <c r="AD1171" s="3"/>
      <c r="AE1171" t="s">
        <v>6234</v>
      </c>
      <c r="AF1171" t="s">
        <v>1687</v>
      </c>
    </row>
    <row r="1172" spans="1:32" x14ac:dyDescent="0.3">
      <c r="A1172" t="s">
        <v>1826</v>
      </c>
      <c r="B1172" s="1" t="s">
        <v>1205</v>
      </c>
      <c r="C1172" s="5" t="s">
        <v>3237</v>
      </c>
      <c r="D1172" s="2" t="s">
        <v>4755</v>
      </c>
      <c r="E1172" s="1" t="s">
        <v>935</v>
      </c>
      <c r="F1172" s="3">
        <v>3.8</v>
      </c>
      <c r="G1172" s="3">
        <v>3.7</v>
      </c>
      <c r="H1172" s="3">
        <v>3.7</v>
      </c>
      <c r="I1172" s="3">
        <v>3.5</v>
      </c>
      <c r="J1172" s="3">
        <v>3.4</v>
      </c>
      <c r="K1172" s="3">
        <v>3.3</v>
      </c>
      <c r="L1172" s="3">
        <v>3.1</v>
      </c>
      <c r="M1172" s="3">
        <v>3</v>
      </c>
      <c r="N1172" s="3">
        <v>2.8</v>
      </c>
      <c r="O1172" s="3">
        <v>2.7</v>
      </c>
      <c r="P1172" s="3">
        <v>2.6</v>
      </c>
      <c r="Q1172" s="3">
        <v>2.4</v>
      </c>
      <c r="R1172" s="3">
        <v>2.2999999999999998</v>
      </c>
      <c r="S1172" s="3">
        <v>2.2999999999999998</v>
      </c>
      <c r="T1172" s="3">
        <v>2.2000000000000002</v>
      </c>
      <c r="U1172" s="3">
        <v>2.2000000000000002</v>
      </c>
      <c r="V1172" s="3">
        <v>2.2000000000000002</v>
      </c>
      <c r="W1172" s="3">
        <v>2.2000000000000002</v>
      </c>
      <c r="X1172" s="3">
        <v>2.2000000000000002</v>
      </c>
      <c r="Y1172" s="3">
        <v>2.2999999999999998</v>
      </c>
      <c r="Z1172" s="3">
        <v>2.4</v>
      </c>
      <c r="AA1172" s="3">
        <v>2.6</v>
      </c>
      <c r="AB1172" s="3">
        <v>2.8</v>
      </c>
      <c r="AC1172" s="3">
        <v>3.1</v>
      </c>
      <c r="AD1172" s="3">
        <v>3.5</v>
      </c>
      <c r="AE1172" t="s">
        <v>6234</v>
      </c>
      <c r="AF1172" t="s">
        <v>1687</v>
      </c>
    </row>
    <row r="1173" spans="1:32" x14ac:dyDescent="0.3">
      <c r="A1173" t="s">
        <v>1826</v>
      </c>
      <c r="B1173" s="1" t="s">
        <v>1205</v>
      </c>
      <c r="C1173" s="5" t="s">
        <v>3238</v>
      </c>
      <c r="D1173" s="2" t="s">
        <v>4756</v>
      </c>
      <c r="E1173" s="1" t="s">
        <v>1751</v>
      </c>
      <c r="F1173" s="3"/>
      <c r="G1173" s="3"/>
      <c r="H1173" s="3"/>
      <c r="I1173" s="3"/>
      <c r="J1173" s="3"/>
      <c r="K1173" s="3"/>
      <c r="L1173" s="3"/>
      <c r="M1173" s="3">
        <v>4.9000000000000004</v>
      </c>
      <c r="N1173" s="3"/>
      <c r="O1173" s="3"/>
      <c r="P1173" s="3"/>
      <c r="Q1173" s="3">
        <v>1.2</v>
      </c>
      <c r="R1173" s="3">
        <v>3</v>
      </c>
      <c r="S1173" s="3"/>
      <c r="T1173" s="3"/>
      <c r="U1173" s="3"/>
      <c r="V1173" s="3">
        <v>1.1000000000000001</v>
      </c>
      <c r="W1173" s="3"/>
      <c r="X1173" s="3"/>
      <c r="Y1173" s="3"/>
      <c r="Z1173" s="3"/>
      <c r="AA1173" s="3">
        <v>3.1</v>
      </c>
      <c r="AB1173" s="3"/>
      <c r="AC1173" s="3"/>
      <c r="AD1173" s="3"/>
      <c r="AE1173" t="s">
        <v>6235</v>
      </c>
      <c r="AF1173" t="s">
        <v>1687</v>
      </c>
    </row>
    <row r="1174" spans="1:32" x14ac:dyDescent="0.3">
      <c r="A1174" t="s">
        <v>1826</v>
      </c>
      <c r="B1174" s="1" t="s">
        <v>1205</v>
      </c>
      <c r="C1174" s="5" t="s">
        <v>3239</v>
      </c>
      <c r="D1174" s="2" t="s">
        <v>4757</v>
      </c>
      <c r="E1174" s="1" t="s">
        <v>499</v>
      </c>
      <c r="F1174" s="3">
        <v>3.5</v>
      </c>
      <c r="G1174" s="3">
        <v>3.5</v>
      </c>
      <c r="H1174" s="3">
        <v>3.4</v>
      </c>
      <c r="I1174" s="3">
        <v>3.3</v>
      </c>
      <c r="J1174" s="3">
        <v>3.2</v>
      </c>
      <c r="K1174" s="3">
        <v>3</v>
      </c>
      <c r="L1174" s="3">
        <v>2.9</v>
      </c>
      <c r="M1174" s="3">
        <v>2.7</v>
      </c>
      <c r="N1174" s="3">
        <v>2.6</v>
      </c>
      <c r="O1174" s="3">
        <v>2.5</v>
      </c>
      <c r="P1174" s="3">
        <v>2.4</v>
      </c>
      <c r="Q1174" s="3">
        <v>2.2999999999999998</v>
      </c>
      <c r="R1174" s="3">
        <v>2.2000000000000002</v>
      </c>
      <c r="S1174" s="3">
        <v>2.1</v>
      </c>
      <c r="T1174" s="3">
        <v>2.1</v>
      </c>
      <c r="U1174" s="3">
        <v>2</v>
      </c>
      <c r="V1174" s="3">
        <v>2</v>
      </c>
      <c r="W1174" s="3">
        <v>2</v>
      </c>
      <c r="X1174" s="3">
        <v>2.1</v>
      </c>
      <c r="Y1174" s="3">
        <v>2.2000000000000002</v>
      </c>
      <c r="Z1174" s="3">
        <v>2.2999999999999998</v>
      </c>
      <c r="AA1174" s="3">
        <v>2.4</v>
      </c>
      <c r="AB1174" s="3">
        <v>2.6</v>
      </c>
      <c r="AC1174" s="3">
        <v>2.9</v>
      </c>
      <c r="AD1174" s="3">
        <v>3.3</v>
      </c>
      <c r="AE1174" t="s">
        <v>6235</v>
      </c>
    </row>
    <row r="1175" spans="1:32" x14ac:dyDescent="0.3">
      <c r="A1175" t="s">
        <v>1826</v>
      </c>
      <c r="B1175" s="1" t="s">
        <v>1205</v>
      </c>
      <c r="C1175" s="5" t="s">
        <v>3240</v>
      </c>
      <c r="D1175" s="2" t="s">
        <v>4758</v>
      </c>
      <c r="E1175" s="1" t="s">
        <v>1918</v>
      </c>
      <c r="F1175" s="3"/>
      <c r="G1175" s="3"/>
      <c r="H1175" s="3"/>
      <c r="I1175" s="3"/>
      <c r="J1175" s="3"/>
      <c r="K1175" s="3"/>
      <c r="L1175" s="3"/>
      <c r="M1175" s="3">
        <v>5</v>
      </c>
      <c r="N1175" s="3"/>
      <c r="O1175" s="3"/>
      <c r="P1175" s="3"/>
      <c r="Q1175" s="3">
        <v>1.9</v>
      </c>
      <c r="R1175" s="3">
        <v>3.5</v>
      </c>
      <c r="S1175" s="3"/>
      <c r="T1175" s="3"/>
      <c r="U1175" s="3"/>
      <c r="V1175" s="3">
        <v>1.8</v>
      </c>
      <c r="W1175" s="3"/>
      <c r="X1175" s="3"/>
      <c r="Y1175" s="3"/>
      <c r="Z1175" s="3"/>
      <c r="AA1175" s="3">
        <v>3.8</v>
      </c>
      <c r="AB1175" s="3"/>
      <c r="AC1175" s="3"/>
      <c r="AD1175" s="3"/>
      <c r="AE1175" t="s">
        <v>6236</v>
      </c>
      <c r="AF1175" t="s">
        <v>1687</v>
      </c>
    </row>
    <row r="1176" spans="1:32" x14ac:dyDescent="0.3">
      <c r="A1176" t="s">
        <v>1826</v>
      </c>
      <c r="B1176" s="1" t="s">
        <v>1205</v>
      </c>
      <c r="C1176" s="5" t="s">
        <v>3241</v>
      </c>
      <c r="D1176" s="2" t="s">
        <v>4759</v>
      </c>
      <c r="E1176" s="1" t="s">
        <v>665</v>
      </c>
      <c r="F1176" s="3">
        <v>4.0999999999999996</v>
      </c>
      <c r="G1176" s="3">
        <v>4</v>
      </c>
      <c r="H1176" s="3">
        <v>3.9</v>
      </c>
      <c r="I1176" s="3">
        <v>3.8</v>
      </c>
      <c r="J1176" s="3">
        <v>3.6</v>
      </c>
      <c r="K1176" s="3">
        <v>3.5</v>
      </c>
      <c r="L1176" s="3">
        <v>3.3</v>
      </c>
      <c r="M1176" s="3">
        <v>3.2</v>
      </c>
      <c r="N1176" s="3">
        <v>3</v>
      </c>
      <c r="O1176" s="3">
        <v>2.9</v>
      </c>
      <c r="P1176" s="3">
        <v>2.7</v>
      </c>
      <c r="Q1176" s="3">
        <v>2.6</v>
      </c>
      <c r="R1176" s="3">
        <v>2.5</v>
      </c>
      <c r="S1176" s="3">
        <v>2.4</v>
      </c>
      <c r="T1176" s="3">
        <v>2.4</v>
      </c>
      <c r="U1176" s="3">
        <v>2.2999999999999998</v>
      </c>
      <c r="V1176" s="3">
        <v>2.2999999999999998</v>
      </c>
      <c r="W1176" s="3">
        <v>2.2999999999999998</v>
      </c>
      <c r="X1176" s="3">
        <v>2.4</v>
      </c>
      <c r="Y1176" s="3">
        <v>2.5</v>
      </c>
      <c r="Z1176" s="3">
        <v>2.6</v>
      </c>
      <c r="AA1176" s="3">
        <v>2.8</v>
      </c>
      <c r="AB1176" s="3">
        <v>3</v>
      </c>
      <c r="AC1176" s="3">
        <v>3.3</v>
      </c>
      <c r="AD1176" s="3">
        <v>3.8</v>
      </c>
      <c r="AE1176" t="s">
        <v>6236</v>
      </c>
    </row>
    <row r="1177" spans="1:32" x14ac:dyDescent="0.3">
      <c r="A1177" t="s">
        <v>1826</v>
      </c>
      <c r="B1177" s="1" t="s">
        <v>1205</v>
      </c>
      <c r="C1177" s="5" t="s">
        <v>3242</v>
      </c>
      <c r="D1177" s="2" t="s">
        <v>4760</v>
      </c>
      <c r="E1177" s="1" t="s">
        <v>1587</v>
      </c>
      <c r="F1177" s="3"/>
      <c r="G1177" s="3"/>
      <c r="H1177" s="3"/>
      <c r="I1177" s="3"/>
      <c r="J1177" s="3"/>
      <c r="K1177" s="3"/>
      <c r="L1177" s="3"/>
      <c r="M1177" s="3"/>
      <c r="N1177" s="3"/>
      <c r="O1177" s="3"/>
      <c r="P1177" s="3"/>
      <c r="Q1177" s="3"/>
      <c r="R1177" s="3"/>
      <c r="S1177" s="3"/>
      <c r="T1177" s="3"/>
      <c r="U1177" s="3">
        <v>6.2</v>
      </c>
      <c r="V1177" s="3">
        <v>7.5</v>
      </c>
      <c r="W1177" s="3">
        <v>8.4</v>
      </c>
      <c r="X1177" s="3">
        <v>9.1</v>
      </c>
      <c r="Y1177" s="3">
        <v>9</v>
      </c>
      <c r="Z1177" s="3">
        <v>9.1</v>
      </c>
      <c r="AA1177" s="3">
        <v>9.4</v>
      </c>
      <c r="AB1177" s="3">
        <v>8.9</v>
      </c>
      <c r="AC1177" s="3"/>
      <c r="AD1177" s="3"/>
      <c r="AE1177" t="s">
        <v>6237</v>
      </c>
      <c r="AF1177" t="s">
        <v>388</v>
      </c>
    </row>
    <row r="1178" spans="1:32" x14ac:dyDescent="0.3">
      <c r="A1178" t="s">
        <v>1826</v>
      </c>
      <c r="B1178" s="1" t="s">
        <v>1205</v>
      </c>
      <c r="C1178" s="5" t="s">
        <v>3243</v>
      </c>
      <c r="D1178" s="2" t="s">
        <v>4761</v>
      </c>
      <c r="E1178" s="1" t="s">
        <v>495</v>
      </c>
      <c r="F1178" s="3"/>
      <c r="G1178" s="3"/>
      <c r="H1178" s="3"/>
      <c r="I1178" s="3"/>
      <c r="J1178" s="3"/>
      <c r="K1178" s="3"/>
      <c r="L1178" s="3"/>
      <c r="M1178" s="3">
        <v>5.7</v>
      </c>
      <c r="N1178" s="3"/>
      <c r="O1178" s="3"/>
      <c r="P1178" s="3"/>
      <c r="Q1178" s="3">
        <v>0.8</v>
      </c>
      <c r="R1178" s="3">
        <v>1.8</v>
      </c>
      <c r="S1178" s="3"/>
      <c r="T1178" s="3"/>
      <c r="U1178" s="3"/>
      <c r="V1178" s="3">
        <v>1.2</v>
      </c>
      <c r="W1178" s="3"/>
      <c r="X1178" s="3"/>
      <c r="Y1178" s="3"/>
      <c r="Z1178" s="3"/>
      <c r="AA1178" s="3">
        <v>2.4</v>
      </c>
      <c r="AB1178" s="3"/>
      <c r="AC1178" s="3"/>
      <c r="AD1178" s="3"/>
      <c r="AE1178" t="s">
        <v>6238</v>
      </c>
      <c r="AF1178" t="s">
        <v>1735</v>
      </c>
    </row>
    <row r="1179" spans="1:32" ht="28.8" x14ac:dyDescent="0.3">
      <c r="A1179" t="s">
        <v>1826</v>
      </c>
      <c r="B1179" s="1" t="s">
        <v>1205</v>
      </c>
      <c r="C1179" s="5" t="s">
        <v>3244</v>
      </c>
      <c r="D1179" s="2" t="s">
        <v>4762</v>
      </c>
      <c r="E1179" s="1" t="s">
        <v>1893</v>
      </c>
      <c r="F1179" s="3"/>
      <c r="G1179" s="3"/>
      <c r="H1179" s="3"/>
      <c r="I1179" s="3"/>
      <c r="J1179" s="3"/>
      <c r="K1179" s="3"/>
      <c r="L1179" s="3"/>
      <c r="M1179" s="3">
        <v>4.3</v>
      </c>
      <c r="N1179" s="3"/>
      <c r="O1179" s="3"/>
      <c r="P1179" s="3"/>
      <c r="Q1179" s="3">
        <v>0.8</v>
      </c>
      <c r="R1179" s="3">
        <v>1.3</v>
      </c>
      <c r="S1179" s="3"/>
      <c r="T1179" s="3"/>
      <c r="U1179" s="3"/>
      <c r="V1179" s="3">
        <v>1</v>
      </c>
      <c r="W1179" s="3"/>
      <c r="X1179" s="3"/>
      <c r="Y1179" s="3"/>
      <c r="Z1179" s="3"/>
      <c r="AA1179" s="3">
        <v>1.9</v>
      </c>
      <c r="AB1179" s="3"/>
      <c r="AC1179" s="3"/>
      <c r="AD1179" s="3"/>
      <c r="AE1179" t="s">
        <v>6239</v>
      </c>
      <c r="AF1179" t="s">
        <v>1735</v>
      </c>
    </row>
    <row r="1180" spans="1:32" ht="28.8" x14ac:dyDescent="0.3">
      <c r="A1180" t="s">
        <v>1826</v>
      </c>
      <c r="B1180" s="1" t="s">
        <v>1205</v>
      </c>
      <c r="C1180" s="5" t="s">
        <v>3245</v>
      </c>
      <c r="D1180" s="2" t="s">
        <v>4763</v>
      </c>
      <c r="E1180" s="1" t="s">
        <v>26</v>
      </c>
      <c r="F1180" s="3"/>
      <c r="G1180" s="3"/>
      <c r="H1180" s="3"/>
      <c r="I1180" s="3"/>
      <c r="J1180" s="3"/>
      <c r="K1180" s="3"/>
      <c r="L1180" s="3"/>
      <c r="M1180" s="3">
        <v>6.9</v>
      </c>
      <c r="N1180" s="3"/>
      <c r="O1180" s="3"/>
      <c r="P1180" s="3"/>
      <c r="Q1180" s="3">
        <v>0.8</v>
      </c>
      <c r="R1180" s="3">
        <v>2.2999999999999998</v>
      </c>
      <c r="S1180" s="3"/>
      <c r="T1180" s="3"/>
      <c r="U1180" s="3"/>
      <c r="V1180" s="3">
        <v>1.5</v>
      </c>
      <c r="W1180" s="3"/>
      <c r="X1180" s="3"/>
      <c r="Y1180" s="3"/>
      <c r="Z1180" s="3"/>
      <c r="AA1180" s="3">
        <v>2.9</v>
      </c>
      <c r="AB1180" s="3"/>
      <c r="AC1180" s="3"/>
      <c r="AD1180" s="3"/>
      <c r="AE1180" t="s">
        <v>6240</v>
      </c>
      <c r="AF1180" t="s">
        <v>1735</v>
      </c>
    </row>
    <row r="1181" spans="1:32" x14ac:dyDescent="0.3">
      <c r="A1181" t="s">
        <v>1826</v>
      </c>
      <c r="B1181" s="1" t="s">
        <v>1205</v>
      </c>
      <c r="C1181" s="5" t="s">
        <v>3246</v>
      </c>
      <c r="D1181" s="2" t="s">
        <v>4764</v>
      </c>
      <c r="E1181" s="1" t="s">
        <v>778</v>
      </c>
      <c r="F1181" s="3"/>
      <c r="G1181" s="3"/>
      <c r="H1181" s="3"/>
      <c r="I1181" s="3"/>
      <c r="J1181" s="3"/>
      <c r="K1181" s="3"/>
      <c r="L1181" s="3"/>
      <c r="M1181" s="3">
        <v>39</v>
      </c>
      <c r="N1181" s="3"/>
      <c r="O1181" s="3"/>
      <c r="P1181" s="3"/>
      <c r="Q1181" s="3">
        <v>27.2</v>
      </c>
      <c r="R1181" s="3">
        <v>29.9</v>
      </c>
      <c r="S1181" s="3"/>
      <c r="T1181" s="3"/>
      <c r="U1181" s="3"/>
      <c r="V1181" s="3">
        <v>21.6</v>
      </c>
      <c r="W1181" s="3"/>
      <c r="X1181" s="3"/>
      <c r="Y1181" s="3"/>
      <c r="Z1181" s="3"/>
      <c r="AA1181" s="3">
        <v>23.4</v>
      </c>
      <c r="AB1181" s="3"/>
      <c r="AC1181" s="3"/>
      <c r="AD1181" s="3"/>
      <c r="AE1181" t="s">
        <v>6241</v>
      </c>
      <c r="AF1181" t="s">
        <v>1830</v>
      </c>
    </row>
    <row r="1182" spans="1:32" ht="28.8" x14ac:dyDescent="0.3">
      <c r="A1182" t="s">
        <v>1826</v>
      </c>
      <c r="B1182" s="1" t="s">
        <v>1205</v>
      </c>
      <c r="C1182" s="5" t="s">
        <v>3247</v>
      </c>
      <c r="D1182" s="2" t="s">
        <v>4765</v>
      </c>
      <c r="E1182" s="1" t="s">
        <v>1369</v>
      </c>
      <c r="F1182" s="3">
        <v>32.4</v>
      </c>
      <c r="G1182" s="3">
        <v>32.5</v>
      </c>
      <c r="H1182" s="3">
        <v>32.6</v>
      </c>
      <c r="I1182" s="3">
        <v>32.5</v>
      </c>
      <c r="J1182" s="3">
        <v>32.4</v>
      </c>
      <c r="K1182" s="3">
        <v>32.299999999999997</v>
      </c>
      <c r="L1182" s="3">
        <v>32.200000000000003</v>
      </c>
      <c r="M1182" s="3">
        <v>31.9</v>
      </c>
      <c r="N1182" s="3">
        <v>31.5</v>
      </c>
      <c r="O1182" s="3">
        <v>30.9</v>
      </c>
      <c r="P1182" s="3">
        <v>30.1</v>
      </c>
      <c r="Q1182" s="3">
        <v>29.4</v>
      </c>
      <c r="R1182" s="3">
        <v>28.7</v>
      </c>
      <c r="S1182" s="3">
        <v>28</v>
      </c>
      <c r="T1182" s="3">
        <v>27.2</v>
      </c>
      <c r="U1182" s="3">
        <v>26.5</v>
      </c>
      <c r="V1182" s="3">
        <v>25.6</v>
      </c>
      <c r="W1182" s="3">
        <v>24.6</v>
      </c>
      <c r="X1182" s="3">
        <v>23.5</v>
      </c>
      <c r="Y1182" s="3">
        <v>22.6</v>
      </c>
      <c r="Z1182" s="3">
        <v>21.7</v>
      </c>
      <c r="AA1182" s="3">
        <v>21.1</v>
      </c>
      <c r="AB1182" s="3">
        <v>20.7</v>
      </c>
      <c r="AC1182" s="3">
        <v>20.5</v>
      </c>
      <c r="AD1182" s="3">
        <v>20.3</v>
      </c>
      <c r="AE1182" t="s">
        <v>6241</v>
      </c>
      <c r="AF1182" t="s">
        <v>1830</v>
      </c>
    </row>
    <row r="1183" spans="1:32" ht="28.8" x14ac:dyDescent="0.3">
      <c r="A1183" t="s">
        <v>1826</v>
      </c>
      <c r="B1183" s="1" t="s">
        <v>1205</v>
      </c>
      <c r="C1183" s="5" t="s">
        <v>3248</v>
      </c>
      <c r="D1183" s="2" t="s">
        <v>4766</v>
      </c>
      <c r="E1183" s="1" t="s">
        <v>1609</v>
      </c>
      <c r="F1183" s="3"/>
      <c r="G1183" s="3"/>
      <c r="H1183" s="3"/>
      <c r="I1183" s="3"/>
      <c r="J1183" s="3"/>
      <c r="K1183" s="3"/>
      <c r="L1183" s="3"/>
      <c r="M1183" s="3">
        <v>37.799999999999997</v>
      </c>
      <c r="N1183" s="3"/>
      <c r="O1183" s="3"/>
      <c r="P1183" s="3"/>
      <c r="Q1183" s="3">
        <v>23.8</v>
      </c>
      <c r="R1183" s="3">
        <v>27.2</v>
      </c>
      <c r="S1183" s="3"/>
      <c r="T1183" s="3"/>
      <c r="U1183" s="3"/>
      <c r="V1183" s="3">
        <v>19.899999999999999</v>
      </c>
      <c r="W1183" s="3"/>
      <c r="X1183" s="3"/>
      <c r="Y1183" s="3"/>
      <c r="Z1183" s="3"/>
      <c r="AA1183" s="3">
        <v>22.6</v>
      </c>
      <c r="AB1183" s="3"/>
      <c r="AC1183" s="3"/>
      <c r="AD1183" s="3"/>
      <c r="AE1183" t="s">
        <v>6242</v>
      </c>
      <c r="AF1183" t="s">
        <v>1830</v>
      </c>
    </row>
    <row r="1184" spans="1:32" ht="28.8" x14ac:dyDescent="0.3">
      <c r="A1184" t="s">
        <v>1826</v>
      </c>
      <c r="B1184" s="1" t="s">
        <v>1205</v>
      </c>
      <c r="C1184" s="5" t="s">
        <v>3249</v>
      </c>
      <c r="D1184" s="2" t="s">
        <v>4767</v>
      </c>
      <c r="E1184" s="1" t="s">
        <v>1133</v>
      </c>
      <c r="F1184" s="3">
        <v>30.1</v>
      </c>
      <c r="G1184" s="3">
        <v>30.1</v>
      </c>
      <c r="H1184" s="3">
        <v>30.1</v>
      </c>
      <c r="I1184" s="3">
        <v>30</v>
      </c>
      <c r="J1184" s="3">
        <v>29.9</v>
      </c>
      <c r="K1184" s="3">
        <v>29.9</v>
      </c>
      <c r="L1184" s="3">
        <v>29.7</v>
      </c>
      <c r="M1184" s="3">
        <v>29.5</v>
      </c>
      <c r="N1184" s="3">
        <v>29.1</v>
      </c>
      <c r="O1184" s="3">
        <v>28.5</v>
      </c>
      <c r="P1184" s="3">
        <v>27.7</v>
      </c>
      <c r="Q1184" s="3">
        <v>27</v>
      </c>
      <c r="R1184" s="3">
        <v>26.4</v>
      </c>
      <c r="S1184" s="3">
        <v>25.7</v>
      </c>
      <c r="T1184" s="3">
        <v>25</v>
      </c>
      <c r="U1184" s="3">
        <v>24.3</v>
      </c>
      <c r="V1184" s="3">
        <v>23.5</v>
      </c>
      <c r="W1184" s="3">
        <v>22.4</v>
      </c>
      <c r="X1184" s="3">
        <v>21.5</v>
      </c>
      <c r="Y1184" s="3">
        <v>20.5</v>
      </c>
      <c r="Z1184" s="3">
        <v>19.7</v>
      </c>
      <c r="AA1184" s="3">
        <v>19.100000000000001</v>
      </c>
      <c r="AB1184" s="3">
        <v>18.7</v>
      </c>
      <c r="AC1184" s="3">
        <v>18.5</v>
      </c>
      <c r="AD1184" s="3">
        <v>18.3</v>
      </c>
      <c r="AE1184" t="s">
        <v>6242</v>
      </c>
    </row>
    <row r="1185" spans="1:32" ht="28.8" x14ac:dyDescent="0.3">
      <c r="A1185" t="s">
        <v>1826</v>
      </c>
      <c r="B1185" s="1" t="s">
        <v>1205</v>
      </c>
      <c r="C1185" s="5" t="s">
        <v>3250</v>
      </c>
      <c r="D1185" s="2" t="s">
        <v>4768</v>
      </c>
      <c r="E1185" s="1" t="s">
        <v>1805</v>
      </c>
      <c r="F1185" s="3"/>
      <c r="G1185" s="3"/>
      <c r="H1185" s="3"/>
      <c r="I1185" s="3"/>
      <c r="J1185" s="3"/>
      <c r="K1185" s="3"/>
      <c r="L1185" s="3"/>
      <c r="M1185" s="3">
        <v>40.1</v>
      </c>
      <c r="N1185" s="3"/>
      <c r="O1185" s="3"/>
      <c r="P1185" s="3"/>
      <c r="Q1185" s="3">
        <v>30.7</v>
      </c>
      <c r="R1185" s="3">
        <v>32.700000000000003</v>
      </c>
      <c r="S1185" s="3"/>
      <c r="T1185" s="3"/>
      <c r="U1185" s="3"/>
      <c r="V1185" s="3">
        <v>23.3</v>
      </c>
      <c r="W1185" s="3"/>
      <c r="X1185" s="3"/>
      <c r="Y1185" s="3"/>
      <c r="Z1185" s="3"/>
      <c r="AA1185" s="3">
        <v>24.3</v>
      </c>
      <c r="AB1185" s="3"/>
      <c r="AC1185" s="3"/>
      <c r="AD1185" s="3"/>
      <c r="AE1185" t="s">
        <v>6243</v>
      </c>
      <c r="AF1185" t="s">
        <v>1830</v>
      </c>
    </row>
    <row r="1186" spans="1:32" ht="28.8" x14ac:dyDescent="0.3">
      <c r="A1186" t="s">
        <v>1826</v>
      </c>
      <c r="B1186" s="1" t="s">
        <v>1205</v>
      </c>
      <c r="C1186" s="5" t="s">
        <v>3251</v>
      </c>
      <c r="D1186" s="2" t="s">
        <v>4769</v>
      </c>
      <c r="E1186" s="1" t="s">
        <v>1886</v>
      </c>
      <c r="F1186" s="3">
        <v>34.799999999999997</v>
      </c>
      <c r="G1186" s="3">
        <v>34.9</v>
      </c>
      <c r="H1186" s="3">
        <v>35</v>
      </c>
      <c r="I1186" s="3">
        <v>34.9</v>
      </c>
      <c r="J1186" s="3">
        <v>34.799999999999997</v>
      </c>
      <c r="K1186" s="3">
        <v>34.799999999999997</v>
      </c>
      <c r="L1186" s="3">
        <v>34.700000000000003</v>
      </c>
      <c r="M1186" s="3">
        <v>34.4</v>
      </c>
      <c r="N1186" s="3">
        <v>33.9</v>
      </c>
      <c r="O1186" s="3">
        <v>33.200000000000003</v>
      </c>
      <c r="P1186" s="3">
        <v>32.4</v>
      </c>
      <c r="Q1186" s="3">
        <v>31.6</v>
      </c>
      <c r="R1186" s="3">
        <v>30.9</v>
      </c>
      <c r="S1186" s="3">
        <v>30.2</v>
      </c>
      <c r="T1186" s="3">
        <v>29.4</v>
      </c>
      <c r="U1186" s="3">
        <v>28.6</v>
      </c>
      <c r="V1186" s="3">
        <v>27.7</v>
      </c>
      <c r="W1186" s="3">
        <v>26.6</v>
      </c>
      <c r="X1186" s="3">
        <v>25.6</v>
      </c>
      <c r="Y1186" s="3">
        <v>24.6</v>
      </c>
      <c r="Z1186" s="3">
        <v>23.7</v>
      </c>
      <c r="AA1186" s="3">
        <v>23</v>
      </c>
      <c r="AB1186" s="3">
        <v>22.7</v>
      </c>
      <c r="AC1186" s="3">
        <v>22.5</v>
      </c>
      <c r="AD1186" s="3">
        <v>22.3</v>
      </c>
      <c r="AE1186" t="s">
        <v>6243</v>
      </c>
    </row>
    <row r="1187" spans="1:32" x14ac:dyDescent="0.3">
      <c r="A1187" t="s">
        <v>1826</v>
      </c>
      <c r="B1187" s="1" t="s">
        <v>1205</v>
      </c>
      <c r="C1187" s="5" t="s">
        <v>3252</v>
      </c>
      <c r="D1187" s="2" t="s">
        <v>4770</v>
      </c>
      <c r="E1187" s="1" t="s">
        <v>468</v>
      </c>
      <c r="F1187" s="3"/>
      <c r="G1187" s="3">
        <v>20.2</v>
      </c>
      <c r="H1187" s="3">
        <v>20.9</v>
      </c>
      <c r="I1187" s="3">
        <v>20.7</v>
      </c>
      <c r="J1187" s="3">
        <v>20</v>
      </c>
      <c r="K1187" s="3">
        <v>19.3</v>
      </c>
      <c r="L1187" s="3">
        <v>18.899999999999999</v>
      </c>
      <c r="M1187" s="3">
        <v>18.5</v>
      </c>
      <c r="N1187" s="3">
        <v>18.100000000000001</v>
      </c>
      <c r="O1187" s="3">
        <v>17.600000000000001</v>
      </c>
      <c r="P1187" s="3">
        <v>16.600000000000001</v>
      </c>
      <c r="Q1187" s="3">
        <v>15.6</v>
      </c>
      <c r="R1187" s="3">
        <v>14.6</v>
      </c>
      <c r="S1187" s="3">
        <v>14.6</v>
      </c>
      <c r="T1187" s="3">
        <v>13.9</v>
      </c>
      <c r="U1187" s="3">
        <v>13.2</v>
      </c>
      <c r="V1187" s="3">
        <v>11.9</v>
      </c>
      <c r="W1187" s="3">
        <v>11</v>
      </c>
      <c r="X1187" s="3">
        <v>10.199999999999999</v>
      </c>
      <c r="Y1187" s="3">
        <v>9.5</v>
      </c>
      <c r="Z1187" s="3">
        <v>8.8000000000000007</v>
      </c>
      <c r="AA1187" s="3">
        <v>9.1</v>
      </c>
      <c r="AB1187" s="3">
        <v>9.6</v>
      </c>
      <c r="AC1187" s="3"/>
      <c r="AD1187" s="3"/>
      <c r="AE1187" t="s">
        <v>6244</v>
      </c>
      <c r="AF1187" t="s">
        <v>1639</v>
      </c>
    </row>
    <row r="1188" spans="1:32" x14ac:dyDescent="0.3">
      <c r="A1188" t="s">
        <v>1826</v>
      </c>
      <c r="B1188" s="1" t="s">
        <v>1205</v>
      </c>
      <c r="C1188" s="5" t="s">
        <v>3253</v>
      </c>
      <c r="D1188" s="2" t="s">
        <v>4771</v>
      </c>
      <c r="E1188" s="1" t="s">
        <v>957</v>
      </c>
      <c r="F1188" s="3"/>
      <c r="G1188" s="3"/>
      <c r="H1188" s="3"/>
      <c r="I1188" s="3"/>
      <c r="J1188" s="3"/>
      <c r="K1188" s="3"/>
      <c r="L1188" s="3"/>
      <c r="M1188" s="3">
        <v>28.4</v>
      </c>
      <c r="N1188" s="3"/>
      <c r="O1188" s="3"/>
      <c r="P1188" s="3"/>
      <c r="Q1188" s="3">
        <v>15.5</v>
      </c>
      <c r="R1188" s="3">
        <v>15.7</v>
      </c>
      <c r="S1188" s="3"/>
      <c r="T1188" s="3"/>
      <c r="U1188" s="3"/>
      <c r="V1188" s="3">
        <v>12.8</v>
      </c>
      <c r="W1188" s="3"/>
      <c r="X1188" s="3"/>
      <c r="Y1188" s="3"/>
      <c r="Z1188" s="3"/>
      <c r="AA1188" s="3">
        <v>13.6</v>
      </c>
      <c r="AB1188" s="3"/>
      <c r="AC1188" s="3"/>
      <c r="AD1188" s="3"/>
      <c r="AE1188" t="s">
        <v>6245</v>
      </c>
      <c r="AF1188" t="s">
        <v>1577</v>
      </c>
    </row>
    <row r="1189" spans="1:32" ht="28.8" x14ac:dyDescent="0.3">
      <c r="A1189" t="s">
        <v>1826</v>
      </c>
      <c r="B1189" s="1" t="s">
        <v>1205</v>
      </c>
      <c r="C1189" s="5" t="s">
        <v>3254</v>
      </c>
      <c r="D1189" s="2" t="s">
        <v>4772</v>
      </c>
      <c r="E1189" s="1" t="s">
        <v>913</v>
      </c>
      <c r="F1189" s="3"/>
      <c r="G1189" s="3"/>
      <c r="H1189" s="3"/>
      <c r="I1189" s="3"/>
      <c r="J1189" s="3"/>
      <c r="K1189" s="3"/>
      <c r="L1189" s="3"/>
      <c r="M1189" s="3">
        <v>27.4</v>
      </c>
      <c r="N1189" s="3"/>
      <c r="O1189" s="3"/>
      <c r="P1189" s="3"/>
      <c r="Q1189" s="3">
        <v>13.7</v>
      </c>
      <c r="R1189" s="3">
        <v>12.9</v>
      </c>
      <c r="S1189" s="3"/>
      <c r="T1189" s="3"/>
      <c r="U1189" s="3"/>
      <c r="V1189" s="3">
        <v>11.6</v>
      </c>
      <c r="W1189" s="3"/>
      <c r="X1189" s="3"/>
      <c r="Y1189" s="3"/>
      <c r="Z1189" s="3"/>
      <c r="AA1189" s="3">
        <v>13.4</v>
      </c>
      <c r="AB1189" s="3"/>
      <c r="AC1189" s="3"/>
      <c r="AD1189" s="3"/>
      <c r="AE1189" t="s">
        <v>6246</v>
      </c>
      <c r="AF1189" t="s">
        <v>1577</v>
      </c>
    </row>
    <row r="1190" spans="1:32" ht="28.8" x14ac:dyDescent="0.3">
      <c r="A1190" t="s">
        <v>1826</v>
      </c>
      <c r="B1190" s="1" t="s">
        <v>1205</v>
      </c>
      <c r="C1190" s="5" t="s">
        <v>3255</v>
      </c>
      <c r="D1190" s="2" t="s">
        <v>4773</v>
      </c>
      <c r="E1190" s="1" t="s">
        <v>1101</v>
      </c>
      <c r="F1190" s="3"/>
      <c r="G1190" s="3"/>
      <c r="H1190" s="3"/>
      <c r="I1190" s="3"/>
      <c r="J1190" s="3"/>
      <c r="K1190" s="3"/>
      <c r="L1190" s="3"/>
      <c r="M1190" s="3">
        <v>29</v>
      </c>
      <c r="N1190" s="3"/>
      <c r="O1190" s="3"/>
      <c r="P1190" s="3"/>
      <c r="Q1190" s="3">
        <v>17.2</v>
      </c>
      <c r="R1190" s="3">
        <v>18.7</v>
      </c>
      <c r="S1190" s="3"/>
      <c r="T1190" s="3"/>
      <c r="U1190" s="3"/>
      <c r="V1190" s="3">
        <v>14</v>
      </c>
      <c r="W1190" s="3"/>
      <c r="X1190" s="3"/>
      <c r="Y1190" s="3"/>
      <c r="Z1190" s="3"/>
      <c r="AA1190" s="3">
        <v>13.8</v>
      </c>
      <c r="AB1190" s="3"/>
      <c r="AC1190" s="3"/>
      <c r="AD1190" s="3"/>
      <c r="AE1190" t="s">
        <v>6247</v>
      </c>
      <c r="AF1190" t="s">
        <v>1577</v>
      </c>
    </row>
    <row r="1191" spans="1:32" x14ac:dyDescent="0.3">
      <c r="A1191" t="s">
        <v>1826</v>
      </c>
      <c r="B1191" s="1" t="s">
        <v>1205</v>
      </c>
      <c r="C1191" s="5" t="s">
        <v>3256</v>
      </c>
      <c r="D1191" s="2" t="s">
        <v>4774</v>
      </c>
      <c r="E1191" s="1" t="s">
        <v>1382</v>
      </c>
      <c r="F1191" s="3"/>
      <c r="G1191" s="3"/>
      <c r="H1191" s="3"/>
      <c r="I1191" s="3"/>
      <c r="J1191" s="3"/>
      <c r="K1191" s="3"/>
      <c r="L1191" s="3"/>
      <c r="M1191" s="3">
        <v>14.3</v>
      </c>
      <c r="N1191" s="3"/>
      <c r="O1191" s="3"/>
      <c r="P1191" s="3"/>
      <c r="Q1191" s="3">
        <v>5.3</v>
      </c>
      <c r="R1191" s="3">
        <v>7.6</v>
      </c>
      <c r="S1191" s="3"/>
      <c r="T1191" s="3"/>
      <c r="U1191" s="3"/>
      <c r="V1191" s="3">
        <v>6.1</v>
      </c>
      <c r="W1191" s="3"/>
      <c r="X1191" s="3"/>
      <c r="Y1191" s="3"/>
      <c r="Z1191" s="3"/>
      <c r="AA1191" s="3">
        <v>8.1</v>
      </c>
      <c r="AB1191" s="3"/>
      <c r="AC1191" s="3"/>
      <c r="AD1191" s="3"/>
      <c r="AE1191" t="s">
        <v>6248</v>
      </c>
      <c r="AF1191" t="s">
        <v>1735</v>
      </c>
    </row>
    <row r="1192" spans="1:32" x14ac:dyDescent="0.3">
      <c r="A1192" t="s">
        <v>1826</v>
      </c>
      <c r="B1192" s="1" t="s">
        <v>1205</v>
      </c>
      <c r="C1192" s="5" t="s">
        <v>3257</v>
      </c>
      <c r="D1192" s="2" t="s">
        <v>4775</v>
      </c>
      <c r="E1192" s="1" t="s">
        <v>1450</v>
      </c>
      <c r="F1192" s="3"/>
      <c r="G1192" s="3"/>
      <c r="H1192" s="3"/>
      <c r="I1192" s="3"/>
      <c r="J1192" s="3"/>
      <c r="K1192" s="3"/>
      <c r="L1192" s="3"/>
      <c r="M1192" s="3">
        <v>12.7</v>
      </c>
      <c r="N1192" s="3"/>
      <c r="O1192" s="3"/>
      <c r="P1192" s="3"/>
      <c r="Q1192" s="3">
        <v>4.3</v>
      </c>
      <c r="R1192" s="3">
        <v>6</v>
      </c>
      <c r="S1192" s="3"/>
      <c r="T1192" s="3"/>
      <c r="U1192" s="3"/>
      <c r="V1192" s="3">
        <v>5.5</v>
      </c>
      <c r="W1192" s="3"/>
      <c r="X1192" s="3"/>
      <c r="Y1192" s="3"/>
      <c r="Z1192" s="3"/>
      <c r="AA1192" s="3">
        <v>7.1</v>
      </c>
      <c r="AB1192" s="3"/>
      <c r="AC1192" s="3"/>
      <c r="AD1192" s="3"/>
      <c r="AE1192" t="s">
        <v>6249</v>
      </c>
      <c r="AF1192" t="s">
        <v>1735</v>
      </c>
    </row>
    <row r="1193" spans="1:32" ht="28.8" x14ac:dyDescent="0.3">
      <c r="A1193" t="s">
        <v>1826</v>
      </c>
      <c r="B1193" s="1" t="s">
        <v>1205</v>
      </c>
      <c r="C1193" s="5" t="s">
        <v>3258</v>
      </c>
      <c r="D1193" s="2" t="s">
        <v>4776</v>
      </c>
      <c r="E1193" s="1" t="s">
        <v>176</v>
      </c>
      <c r="F1193" s="3"/>
      <c r="G1193" s="3"/>
      <c r="H1193" s="3"/>
      <c r="I1193" s="3"/>
      <c r="J1193" s="3"/>
      <c r="K1193" s="3"/>
      <c r="L1193" s="3"/>
      <c r="M1193" s="3">
        <v>15.5</v>
      </c>
      <c r="N1193" s="3"/>
      <c r="O1193" s="3"/>
      <c r="P1193" s="3"/>
      <c r="Q1193" s="3">
        <v>6.3</v>
      </c>
      <c r="R1193" s="3">
        <v>9.3000000000000007</v>
      </c>
      <c r="S1193" s="3"/>
      <c r="T1193" s="3"/>
      <c r="U1193" s="3"/>
      <c r="V1193" s="3">
        <v>6.6</v>
      </c>
      <c r="W1193" s="3"/>
      <c r="X1193" s="3"/>
      <c r="Y1193" s="3"/>
      <c r="Z1193" s="3"/>
      <c r="AA1193" s="3">
        <v>9</v>
      </c>
      <c r="AB1193" s="3"/>
      <c r="AC1193" s="3"/>
      <c r="AD1193" s="3"/>
      <c r="AE1193" t="s">
        <v>6250</v>
      </c>
      <c r="AF1193" t="s">
        <v>1735</v>
      </c>
    </row>
    <row r="1194" spans="1:32" x14ac:dyDescent="0.3">
      <c r="A1194" t="s">
        <v>1826</v>
      </c>
      <c r="B1194" s="1" t="s">
        <v>1205</v>
      </c>
      <c r="C1194" s="5" t="s">
        <v>3259</v>
      </c>
      <c r="D1194" s="2" t="s">
        <v>4777</v>
      </c>
      <c r="E1194" s="1" t="s">
        <v>2012</v>
      </c>
      <c r="F1194" s="3">
        <v>0.30778373158389627</v>
      </c>
      <c r="G1194" s="3">
        <v>0.31195633485597146</v>
      </c>
      <c r="H1194" s="3">
        <v>0.3391730241611135</v>
      </c>
      <c r="I1194" s="3">
        <v>0.41092979279719377</v>
      </c>
      <c r="J1194" s="3">
        <v>0.42903732975861486</v>
      </c>
      <c r="K1194" s="3">
        <v>0.42147105316284572</v>
      </c>
      <c r="L1194" s="3">
        <v>0.4182546783760579</v>
      </c>
      <c r="M1194" s="3">
        <v>0.45820816468269165</v>
      </c>
      <c r="N1194" s="3">
        <v>0.50836106433614658</v>
      </c>
      <c r="O1194" s="3">
        <v>0.48493301395452215</v>
      </c>
      <c r="P1194" s="3">
        <v>0.46229087602465163</v>
      </c>
      <c r="Q1194" s="3">
        <v>0.50272949442211001</v>
      </c>
      <c r="R1194" s="3">
        <v>0.47009304210782515</v>
      </c>
      <c r="S1194" s="3">
        <v>0.49354788106852659</v>
      </c>
      <c r="T1194" s="3">
        <v>0.48877284591528997</v>
      </c>
      <c r="U1194" s="3">
        <v>0.41209484166021187</v>
      </c>
      <c r="V1194" s="3">
        <v>0.41111023545529862</v>
      </c>
      <c r="W1194" s="3">
        <v>0.41881124673497383</v>
      </c>
      <c r="X1194" s="3">
        <v>0.43085881059690001</v>
      </c>
      <c r="Y1194" s="3">
        <v>0.38825538942465315</v>
      </c>
      <c r="Z1194" s="3">
        <v>0.39317964404211497</v>
      </c>
      <c r="AA1194" s="3">
        <v>0.40626932511377928</v>
      </c>
      <c r="AB1194" s="3">
        <v>0.34725661042596501</v>
      </c>
      <c r="AC1194" s="3">
        <v>0.35348868911930936</v>
      </c>
      <c r="AD1194" s="3">
        <v>0.35407495925247839</v>
      </c>
      <c r="AE1194" t="s">
        <v>6251</v>
      </c>
      <c r="AF1194" t="s">
        <v>618</v>
      </c>
    </row>
    <row r="1195" spans="1:32" x14ac:dyDescent="0.3">
      <c r="A1195" t="s">
        <v>1826</v>
      </c>
      <c r="B1195" s="1" t="s">
        <v>1205</v>
      </c>
      <c r="C1195" s="5" t="s">
        <v>3260</v>
      </c>
      <c r="D1195" s="2" t="s">
        <v>4778</v>
      </c>
      <c r="E1195" s="1" t="s">
        <v>1027</v>
      </c>
      <c r="F1195" s="3">
        <v>33.351718902587898</v>
      </c>
      <c r="G1195" s="3">
        <v>37.498031616210902</v>
      </c>
      <c r="H1195" s="3"/>
      <c r="I1195" s="3"/>
      <c r="J1195" s="3"/>
      <c r="K1195" s="3"/>
      <c r="L1195" s="3">
        <v>32.599498748779297</v>
      </c>
      <c r="M1195" s="3">
        <v>35.838581085205099</v>
      </c>
      <c r="N1195" s="3"/>
      <c r="O1195" s="3">
        <v>37.3548583984375</v>
      </c>
      <c r="P1195" s="3"/>
      <c r="Q1195" s="3">
        <v>46.706821441650398</v>
      </c>
      <c r="R1195" s="3">
        <v>45.870849609375</v>
      </c>
      <c r="S1195" s="3">
        <v>46.272010803222699</v>
      </c>
      <c r="T1195" s="3">
        <v>47.547290802002003</v>
      </c>
      <c r="U1195" s="3">
        <v>53.077468872070298</v>
      </c>
      <c r="V1195" s="3">
        <v>56.685081481933601</v>
      </c>
      <c r="W1195" s="3">
        <v>61.946720123291001</v>
      </c>
      <c r="X1195" s="3">
        <v>65.800079345703097</v>
      </c>
      <c r="Y1195" s="3">
        <v>70.670890808105497</v>
      </c>
      <c r="Z1195" s="3">
        <v>73.650337219238295</v>
      </c>
      <c r="AA1195" s="3">
        <v>72.143218994140597</v>
      </c>
      <c r="AB1195" s="3">
        <v>68.164482116699205</v>
      </c>
      <c r="AC1195" s="3">
        <v>80.136322021484403</v>
      </c>
      <c r="AD1195" s="3"/>
      <c r="AE1195" t="s">
        <v>6252</v>
      </c>
      <c r="AF1195" t="s">
        <v>1933</v>
      </c>
    </row>
    <row r="1196" spans="1:32" x14ac:dyDescent="0.3">
      <c r="A1196" t="s">
        <v>1826</v>
      </c>
      <c r="B1196" s="1" t="s">
        <v>1205</v>
      </c>
      <c r="C1196" s="5" t="s">
        <v>3261</v>
      </c>
      <c r="D1196" s="2" t="s">
        <v>4779</v>
      </c>
      <c r="E1196" s="1" t="s">
        <v>1800</v>
      </c>
      <c r="F1196" s="3">
        <v>52.275081634521499</v>
      </c>
      <c r="G1196" s="3">
        <v>56.525150299072301</v>
      </c>
      <c r="H1196" s="3"/>
      <c r="I1196" s="3"/>
      <c r="J1196" s="3"/>
      <c r="K1196" s="3"/>
      <c r="L1196" s="3">
        <v>52.734199523925803</v>
      </c>
      <c r="M1196" s="3">
        <v>51.480400085449197</v>
      </c>
      <c r="N1196" s="3"/>
      <c r="O1196" s="3">
        <v>51.801101684570298</v>
      </c>
      <c r="P1196" s="3"/>
      <c r="Q1196" s="3">
        <v>56.849220275878899</v>
      </c>
      <c r="R1196" s="3">
        <v>59.5212211608887</v>
      </c>
      <c r="S1196" s="3">
        <v>57.102241516113303</v>
      </c>
      <c r="T1196" s="3">
        <v>58.516441345214801</v>
      </c>
      <c r="U1196" s="3">
        <v>62.903881072997997</v>
      </c>
      <c r="V1196" s="3">
        <v>65.903526306152301</v>
      </c>
      <c r="W1196" s="3">
        <v>73.240333557128906</v>
      </c>
      <c r="X1196" s="3">
        <v>74.158660888671903</v>
      </c>
      <c r="Y1196" s="3">
        <v>76.257591247558594</v>
      </c>
      <c r="Z1196" s="3">
        <v>77.489669799804702</v>
      </c>
      <c r="AA1196" s="3">
        <v>75.249137878417997</v>
      </c>
      <c r="AB1196" s="3">
        <v>69.021926879882798</v>
      </c>
      <c r="AC1196" s="3">
        <v>80.318840026855497</v>
      </c>
      <c r="AD1196" s="3"/>
      <c r="AE1196" t="s">
        <v>6252</v>
      </c>
      <c r="AF1196" t="s">
        <v>663</v>
      </c>
    </row>
    <row r="1197" spans="1:32" x14ac:dyDescent="0.3">
      <c r="A1197" t="s">
        <v>1826</v>
      </c>
      <c r="B1197" s="1" t="s">
        <v>1205</v>
      </c>
      <c r="C1197" s="5" t="s">
        <v>3262</v>
      </c>
      <c r="D1197" s="2" t="s">
        <v>4780</v>
      </c>
      <c r="E1197" s="1" t="s">
        <v>1557</v>
      </c>
      <c r="F1197" s="3">
        <v>42.879810333252003</v>
      </c>
      <c r="G1197" s="3">
        <v>47.0666313171387</v>
      </c>
      <c r="H1197" s="3"/>
      <c r="I1197" s="3"/>
      <c r="J1197" s="3"/>
      <c r="K1197" s="3"/>
      <c r="L1197" s="3">
        <v>42.714588165283203</v>
      </c>
      <c r="M1197" s="3">
        <v>43.701530456542997</v>
      </c>
      <c r="N1197" s="3"/>
      <c r="O1197" s="3">
        <v>44.638919830322301</v>
      </c>
      <c r="P1197" s="3"/>
      <c r="Q1197" s="3">
        <v>51.844528198242202</v>
      </c>
      <c r="R1197" s="3">
        <v>52.800289154052699</v>
      </c>
      <c r="S1197" s="3">
        <v>51.781558990478501</v>
      </c>
      <c r="T1197" s="3">
        <v>53.127540588378899</v>
      </c>
      <c r="U1197" s="3">
        <v>58.073360443115199</v>
      </c>
      <c r="V1197" s="3">
        <v>61.367378234863303</v>
      </c>
      <c r="W1197" s="3">
        <v>67.676490783691406</v>
      </c>
      <c r="X1197" s="3">
        <v>70.033470153808594</v>
      </c>
      <c r="Y1197" s="3">
        <v>73.4945068359375</v>
      </c>
      <c r="Z1197" s="3">
        <v>75.585983276367202</v>
      </c>
      <c r="AA1197" s="3">
        <v>73.705368041992202</v>
      </c>
      <c r="AB1197" s="3">
        <v>68.594703674316406</v>
      </c>
      <c r="AC1197" s="3">
        <v>80.227890014648395</v>
      </c>
      <c r="AD1197" s="3"/>
      <c r="AE1197" t="s">
        <v>6252</v>
      </c>
      <c r="AF1197" t="s">
        <v>1933</v>
      </c>
    </row>
    <row r="1198" spans="1:32" x14ac:dyDescent="0.3">
      <c r="A1198" t="s">
        <v>1826</v>
      </c>
      <c r="B1198" s="1" t="s">
        <v>1205</v>
      </c>
      <c r="C1198" s="5" t="s">
        <v>3263</v>
      </c>
      <c r="D1198" s="2" t="s">
        <v>4781</v>
      </c>
      <c r="E1198" s="1" t="s">
        <v>1772</v>
      </c>
      <c r="F1198" s="3">
        <v>6</v>
      </c>
      <c r="G1198" s="3">
        <v>6</v>
      </c>
      <c r="H1198" s="3">
        <v>6</v>
      </c>
      <c r="I1198" s="3">
        <v>6</v>
      </c>
      <c r="J1198" s="3">
        <v>6</v>
      </c>
      <c r="K1198" s="3">
        <v>6</v>
      </c>
      <c r="L1198" s="3">
        <v>6</v>
      </c>
      <c r="M1198" s="3">
        <v>6</v>
      </c>
      <c r="N1198" s="3">
        <v>6</v>
      </c>
      <c r="O1198" s="3">
        <v>6</v>
      </c>
      <c r="P1198" s="3">
        <v>6</v>
      </c>
      <c r="Q1198" s="3">
        <v>6</v>
      </c>
      <c r="R1198" s="3">
        <v>6</v>
      </c>
      <c r="S1198" s="3">
        <v>6</v>
      </c>
      <c r="T1198" s="3">
        <v>6</v>
      </c>
      <c r="U1198" s="3">
        <v>6</v>
      </c>
      <c r="V1198" s="3">
        <v>6</v>
      </c>
      <c r="W1198" s="3">
        <v>6</v>
      </c>
      <c r="X1198" s="3">
        <v>6</v>
      </c>
      <c r="Y1198" s="3">
        <v>6</v>
      </c>
      <c r="Z1198" s="3">
        <v>6</v>
      </c>
      <c r="AA1198" s="3">
        <v>6</v>
      </c>
      <c r="AB1198" s="3">
        <v>6</v>
      </c>
      <c r="AC1198" s="3">
        <v>6</v>
      </c>
      <c r="AD1198" s="3"/>
      <c r="AE1198" t="s">
        <v>6253</v>
      </c>
      <c r="AF1198" t="s">
        <v>583</v>
      </c>
    </row>
    <row r="1199" spans="1:32" x14ac:dyDescent="0.3">
      <c r="A1199" t="s">
        <v>1826</v>
      </c>
      <c r="B1199" s="1" t="s">
        <v>1205</v>
      </c>
      <c r="C1199" s="5" t="s">
        <v>3264</v>
      </c>
      <c r="D1199" s="2" t="s">
        <v>4782</v>
      </c>
      <c r="E1199" s="1" t="s">
        <v>888</v>
      </c>
      <c r="F1199" s="3">
        <v>1943101</v>
      </c>
      <c r="G1199" s="3">
        <v>2046861</v>
      </c>
      <c r="H1199" s="3">
        <v>2116223</v>
      </c>
      <c r="I1199" s="3">
        <v>2046165</v>
      </c>
      <c r="J1199" s="3"/>
      <c r="K1199" s="3"/>
      <c r="L1199" s="3">
        <v>2111975</v>
      </c>
      <c r="M1199" s="3">
        <v>2179801</v>
      </c>
      <c r="N1199" s="3">
        <v>2356240</v>
      </c>
      <c r="O1199" s="3">
        <v>2383359</v>
      </c>
      <c r="P1199" s="3"/>
      <c r="Q1199" s="3">
        <v>2757613</v>
      </c>
      <c r="R1199" s="3">
        <v>2920791</v>
      </c>
      <c r="S1199" s="3">
        <v>3021417</v>
      </c>
      <c r="T1199" s="3">
        <v>3176874</v>
      </c>
      <c r="U1199" s="3">
        <v>3370558</v>
      </c>
      <c r="V1199" s="3">
        <v>3617219</v>
      </c>
      <c r="W1199" s="3">
        <v>3772136</v>
      </c>
      <c r="X1199" s="3">
        <v>3900222</v>
      </c>
      <c r="Y1199" s="3">
        <v>4003884</v>
      </c>
      <c r="Z1199" s="3">
        <v>4101430</v>
      </c>
      <c r="AA1199" s="3">
        <v>4102825</v>
      </c>
      <c r="AB1199" s="3">
        <v>4252503</v>
      </c>
      <c r="AC1199" s="3">
        <v>4632737</v>
      </c>
      <c r="AD1199" s="3"/>
      <c r="AE1199" t="s">
        <v>6254</v>
      </c>
      <c r="AF1199" t="s">
        <v>1232</v>
      </c>
    </row>
    <row r="1200" spans="1:32" x14ac:dyDescent="0.3">
      <c r="A1200" t="s">
        <v>1826</v>
      </c>
      <c r="B1200" s="1" t="s">
        <v>1205</v>
      </c>
      <c r="C1200" s="5" t="s">
        <v>3265</v>
      </c>
      <c r="D1200" s="2" t="s">
        <v>4783</v>
      </c>
      <c r="E1200" s="1" t="s">
        <v>488</v>
      </c>
      <c r="F1200" s="3">
        <v>42.706009999999999</v>
      </c>
      <c r="G1200" s="3">
        <v>43.215490000000003</v>
      </c>
      <c r="H1200" s="3">
        <v>42.342469999999999</v>
      </c>
      <c r="I1200" s="3">
        <v>44.199910000000003</v>
      </c>
      <c r="J1200" s="3"/>
      <c r="K1200" s="3"/>
      <c r="L1200" s="3">
        <v>44.084380000000003</v>
      </c>
      <c r="M1200" s="3">
        <v>44.14096</v>
      </c>
      <c r="N1200" s="3">
        <v>44.10145</v>
      </c>
      <c r="O1200" s="3">
        <v>44.700400000000002</v>
      </c>
      <c r="P1200" s="3"/>
      <c r="Q1200" s="3">
        <v>45.322600000000001</v>
      </c>
      <c r="R1200" s="3">
        <v>45.687449999999998</v>
      </c>
      <c r="S1200" s="3">
        <v>46.133920000000003</v>
      </c>
      <c r="T1200" s="3">
        <v>46.366329999999998</v>
      </c>
      <c r="U1200" s="3">
        <v>46.711880000000001</v>
      </c>
      <c r="V1200" s="3">
        <v>47.136099999999999</v>
      </c>
      <c r="W1200" s="3">
        <v>47.535029999999999</v>
      </c>
      <c r="X1200" s="3">
        <v>47.90466</v>
      </c>
      <c r="Y1200" s="3"/>
      <c r="Z1200" s="3"/>
      <c r="AA1200" s="3"/>
      <c r="AB1200" s="3"/>
      <c r="AC1200" s="3"/>
      <c r="AD1200" s="3"/>
      <c r="AE1200" t="s">
        <v>6255</v>
      </c>
      <c r="AF1200" t="s">
        <v>1214</v>
      </c>
    </row>
    <row r="1201" spans="1:32" x14ac:dyDescent="0.3">
      <c r="A1201" t="s">
        <v>1826</v>
      </c>
      <c r="B1201" s="1" t="s">
        <v>1205</v>
      </c>
      <c r="C1201" s="5" t="s">
        <v>3266</v>
      </c>
      <c r="D1201" s="2" t="s">
        <v>4784</v>
      </c>
      <c r="E1201" s="1" t="s">
        <v>1459</v>
      </c>
      <c r="F1201" s="3">
        <v>43205</v>
      </c>
      <c r="G1201" s="3">
        <v>44424</v>
      </c>
      <c r="H1201" s="3">
        <v>48227</v>
      </c>
      <c r="I1201" s="3">
        <v>48308</v>
      </c>
      <c r="J1201" s="3"/>
      <c r="K1201" s="3"/>
      <c r="L1201" s="3">
        <v>45804</v>
      </c>
      <c r="M1201" s="3">
        <v>53161</v>
      </c>
      <c r="N1201" s="3">
        <v>56248</v>
      </c>
      <c r="O1201" s="3">
        <v>56575</v>
      </c>
      <c r="P1201" s="3"/>
      <c r="Q1201" s="3">
        <v>56455</v>
      </c>
      <c r="R1201" s="3">
        <v>70016</v>
      </c>
      <c r="S1201" s="3">
        <v>73691</v>
      </c>
      <c r="T1201" s="3">
        <v>74703</v>
      </c>
      <c r="U1201" s="3">
        <v>80155</v>
      </c>
      <c r="V1201" s="3">
        <v>85109</v>
      </c>
      <c r="W1201" s="3">
        <v>88910</v>
      </c>
      <c r="X1201" s="3">
        <v>93257</v>
      </c>
      <c r="Y1201" s="3">
        <v>96255</v>
      </c>
      <c r="Z1201" s="3">
        <v>101085</v>
      </c>
      <c r="AA1201" s="3">
        <v>100263</v>
      </c>
      <c r="AB1201" s="3">
        <v>101670</v>
      </c>
      <c r="AC1201" s="3">
        <v>105502</v>
      </c>
      <c r="AD1201" s="3"/>
      <c r="AE1201" t="s">
        <v>6256</v>
      </c>
      <c r="AF1201" t="s">
        <v>1207</v>
      </c>
    </row>
    <row r="1202" spans="1:32" x14ac:dyDescent="0.3">
      <c r="A1202" t="s">
        <v>1826</v>
      </c>
      <c r="B1202" s="1" t="s">
        <v>1205</v>
      </c>
      <c r="C1202" s="5" t="s">
        <v>3267</v>
      </c>
      <c r="D1202" s="2" t="s">
        <v>4785</v>
      </c>
      <c r="E1202" s="1" t="s">
        <v>1195</v>
      </c>
      <c r="F1202" s="3">
        <v>20.1805305480957</v>
      </c>
      <c r="G1202" s="3">
        <v>20.482170104980501</v>
      </c>
      <c r="H1202" s="3">
        <v>21.7782592773438</v>
      </c>
      <c r="I1202" s="3">
        <v>23.989820480346701</v>
      </c>
      <c r="J1202" s="3"/>
      <c r="K1202" s="3"/>
      <c r="L1202" s="3">
        <v>23.150819778442401</v>
      </c>
      <c r="M1202" s="3">
        <v>24.499160766601602</v>
      </c>
      <c r="N1202" s="3">
        <v>22.871919631958001</v>
      </c>
      <c r="O1202" s="3">
        <v>23.446750640869102</v>
      </c>
      <c r="P1202" s="3"/>
      <c r="Q1202" s="3">
        <v>27.017980575561499</v>
      </c>
      <c r="R1202" s="3">
        <v>24.4115600585938</v>
      </c>
      <c r="S1202" s="3">
        <v>25.026119232177699</v>
      </c>
      <c r="T1202" s="3">
        <v>25.658939361572301</v>
      </c>
      <c r="U1202" s="3">
        <v>27.757469177246101</v>
      </c>
      <c r="V1202" s="3">
        <v>28.0240592956543</v>
      </c>
      <c r="W1202" s="3">
        <v>29.766059875488299</v>
      </c>
      <c r="X1202" s="3">
        <v>30.245449066162099</v>
      </c>
      <c r="Y1202" s="3">
        <v>31.599399566650401</v>
      </c>
      <c r="Z1202" s="3">
        <v>32.463771820068402</v>
      </c>
      <c r="AA1202" s="3">
        <v>34.995960235595703</v>
      </c>
      <c r="AB1202" s="3">
        <v>36.017509460449197</v>
      </c>
      <c r="AC1202" s="3">
        <v>37.048591613769503</v>
      </c>
      <c r="AD1202" s="3"/>
      <c r="AE1202" t="s">
        <v>6257</v>
      </c>
      <c r="AF1202" t="s">
        <v>215</v>
      </c>
    </row>
    <row r="1203" spans="1:32" x14ac:dyDescent="0.3">
      <c r="A1203" t="s">
        <v>1826</v>
      </c>
      <c r="B1203" s="1" t="s">
        <v>1205</v>
      </c>
      <c r="C1203" s="5" t="s">
        <v>3268</v>
      </c>
      <c r="D1203" s="2" t="s">
        <v>4786</v>
      </c>
      <c r="E1203" s="1" t="s">
        <v>786</v>
      </c>
      <c r="F1203" s="3"/>
      <c r="G1203" s="3"/>
      <c r="H1203" s="3"/>
      <c r="I1203" s="3"/>
      <c r="J1203" s="3"/>
      <c r="K1203" s="3"/>
      <c r="L1203" s="3"/>
      <c r="M1203" s="3">
        <v>97.756200000000007</v>
      </c>
      <c r="N1203" s="3">
        <v>92.155900000000003</v>
      </c>
      <c r="O1203" s="3">
        <v>107.5487</v>
      </c>
      <c r="P1203" s="3">
        <v>119.34699999999999</v>
      </c>
      <c r="Q1203" s="3">
        <v>101.24590000000001</v>
      </c>
      <c r="R1203" s="3">
        <v>107.27849999999999</v>
      </c>
      <c r="S1203" s="3">
        <v>102.4122</v>
      </c>
      <c r="T1203" s="3">
        <v>103.83710000000001</v>
      </c>
      <c r="U1203" s="3">
        <v>94.137600000000006</v>
      </c>
      <c r="V1203" s="3">
        <v>97.354900000000001</v>
      </c>
      <c r="W1203" s="3"/>
      <c r="X1203" s="3"/>
      <c r="Y1203" s="3"/>
      <c r="Z1203" s="3"/>
      <c r="AA1203" s="3"/>
      <c r="AB1203" s="3"/>
      <c r="AC1203" s="3"/>
      <c r="AD1203" s="3"/>
      <c r="AE1203" t="s">
        <v>6258</v>
      </c>
    </row>
    <row r="1204" spans="1:32" x14ac:dyDescent="0.3">
      <c r="A1204" t="s">
        <v>1826</v>
      </c>
      <c r="B1204" s="1" t="s">
        <v>1205</v>
      </c>
      <c r="C1204" s="5" t="s">
        <v>3269</v>
      </c>
      <c r="D1204" s="2" t="s">
        <v>4787</v>
      </c>
      <c r="E1204" s="1" t="s">
        <v>1508</v>
      </c>
      <c r="F1204" s="3"/>
      <c r="G1204" s="3"/>
      <c r="H1204" s="3"/>
      <c r="I1204" s="3"/>
      <c r="J1204" s="3"/>
      <c r="K1204" s="3">
        <v>847440328.408638</v>
      </c>
      <c r="L1204" s="3">
        <v>907250673.42380404</v>
      </c>
      <c r="M1204" s="3">
        <v>1028845192.0345</v>
      </c>
      <c r="N1204" s="3">
        <v>1143266173.2930901</v>
      </c>
      <c r="O1204" s="3">
        <v>1163684107.0159199</v>
      </c>
      <c r="P1204" s="3">
        <v>1132398479.57776</v>
      </c>
      <c r="Q1204" s="3">
        <v>1197479818.2382801</v>
      </c>
      <c r="R1204" s="3">
        <v>1128119842.72244</v>
      </c>
      <c r="S1204" s="3">
        <v>1108558663.33025</v>
      </c>
      <c r="T1204" s="3">
        <v>1146361371.7753501</v>
      </c>
      <c r="U1204" s="3">
        <v>1233072083.12621</v>
      </c>
      <c r="V1204" s="3">
        <v>1357930248.2890301</v>
      </c>
      <c r="W1204" s="3">
        <v>1836231389.29632</v>
      </c>
      <c r="X1204" s="3">
        <v>1979113750.17152</v>
      </c>
      <c r="Y1204" s="3">
        <v>2064310567.0855401</v>
      </c>
      <c r="Z1204" s="3">
        <v>2246013578.80234</v>
      </c>
      <c r="AA1204" s="3">
        <v>2780336938.8814802</v>
      </c>
      <c r="AB1204" s="3">
        <v>2945265287.3020902</v>
      </c>
      <c r="AC1204" s="3"/>
      <c r="AD1204" s="3"/>
      <c r="AE1204" t="s">
        <v>6259</v>
      </c>
      <c r="AF1204" t="s">
        <v>613</v>
      </c>
    </row>
    <row r="1205" spans="1:32" x14ac:dyDescent="0.3">
      <c r="A1205" t="s">
        <v>1826</v>
      </c>
      <c r="B1205" s="1" t="s">
        <v>1205</v>
      </c>
      <c r="C1205" s="5" t="s">
        <v>3270</v>
      </c>
      <c r="D1205" s="2" t="s">
        <v>4788</v>
      </c>
      <c r="E1205" s="1" t="s">
        <v>1266</v>
      </c>
      <c r="F1205" s="3"/>
      <c r="G1205" s="3"/>
      <c r="H1205" s="3"/>
      <c r="I1205" s="3"/>
      <c r="J1205" s="3"/>
      <c r="K1205" s="3">
        <v>193973215.49542299</v>
      </c>
      <c r="L1205" s="3">
        <v>196347566.259947</v>
      </c>
      <c r="M1205" s="3">
        <v>218352773.66728401</v>
      </c>
      <c r="N1205" s="3">
        <v>237559432.42630801</v>
      </c>
      <c r="O1205" s="3">
        <v>222783930.115778</v>
      </c>
      <c r="P1205" s="3">
        <v>217503897.60614699</v>
      </c>
      <c r="Q1205" s="3">
        <v>207879544.85602</v>
      </c>
      <c r="R1205" s="3">
        <v>207707782.84197199</v>
      </c>
      <c r="S1205" s="3">
        <v>207293712.69565001</v>
      </c>
      <c r="T1205" s="3">
        <v>236343853.42587101</v>
      </c>
      <c r="U1205" s="3">
        <v>225818620.395307</v>
      </c>
      <c r="V1205" s="3">
        <v>281699220.79163301</v>
      </c>
      <c r="W1205" s="3">
        <v>297093196.83693397</v>
      </c>
      <c r="X1205" s="3">
        <v>350045550.99818999</v>
      </c>
      <c r="Y1205" s="3">
        <v>381873651.40228498</v>
      </c>
      <c r="Z1205" s="3">
        <v>399606090.20615298</v>
      </c>
      <c r="AA1205" s="3">
        <v>543010109.98539305</v>
      </c>
      <c r="AB1205" s="3">
        <v>646286911.41719306</v>
      </c>
      <c r="AC1205" s="3"/>
      <c r="AD1205" s="3"/>
      <c r="AE1205" t="s">
        <v>6260</v>
      </c>
      <c r="AF1205" t="s">
        <v>613</v>
      </c>
    </row>
    <row r="1206" spans="1:32" x14ac:dyDescent="0.3">
      <c r="A1206" t="s">
        <v>1826</v>
      </c>
      <c r="B1206" s="1" t="s">
        <v>1205</v>
      </c>
      <c r="C1206" s="5" t="s">
        <v>3271</v>
      </c>
      <c r="D1206" s="2" t="s">
        <v>4789</v>
      </c>
      <c r="E1206" s="1" t="s">
        <v>377</v>
      </c>
      <c r="F1206" s="3"/>
      <c r="G1206" s="3"/>
      <c r="H1206" s="3"/>
      <c r="I1206" s="3"/>
      <c r="J1206" s="3"/>
      <c r="K1206" s="3"/>
      <c r="L1206" s="3"/>
      <c r="M1206" s="3"/>
      <c r="N1206" s="3"/>
      <c r="O1206" s="3"/>
      <c r="P1206" s="3"/>
      <c r="Q1206" s="3"/>
      <c r="R1206" s="3"/>
      <c r="S1206" s="3"/>
      <c r="T1206" s="3">
        <v>8.6999969482421804</v>
      </c>
      <c r="U1206" s="3"/>
      <c r="V1206" s="3"/>
      <c r="W1206" s="3"/>
      <c r="X1206" s="3"/>
      <c r="Y1206" s="3">
        <v>8.6999969482421804</v>
      </c>
      <c r="Z1206" s="3"/>
      <c r="AA1206" s="3"/>
      <c r="AB1206" s="3"/>
      <c r="AC1206" s="3"/>
      <c r="AD1206" s="3"/>
      <c r="AE1206" t="s">
        <v>6261</v>
      </c>
      <c r="AF1206" t="s">
        <v>877</v>
      </c>
    </row>
    <row r="1207" spans="1:32" x14ac:dyDescent="0.3">
      <c r="A1207" t="s">
        <v>1826</v>
      </c>
      <c r="B1207" s="1" t="s">
        <v>1205</v>
      </c>
      <c r="C1207" s="5" t="s">
        <v>3272</v>
      </c>
      <c r="D1207" s="2" t="s">
        <v>4790</v>
      </c>
      <c r="E1207" s="1" t="s">
        <v>2056</v>
      </c>
      <c r="F1207" s="3">
        <v>6</v>
      </c>
      <c r="G1207" s="3">
        <v>6</v>
      </c>
      <c r="H1207" s="3">
        <v>6</v>
      </c>
      <c r="I1207" s="3">
        <v>6</v>
      </c>
      <c r="J1207" s="3">
        <v>6</v>
      </c>
      <c r="K1207" s="3">
        <v>6</v>
      </c>
      <c r="L1207" s="3">
        <v>6</v>
      </c>
      <c r="M1207" s="3">
        <v>6</v>
      </c>
      <c r="N1207" s="3">
        <v>6</v>
      </c>
      <c r="O1207" s="3">
        <v>6</v>
      </c>
      <c r="P1207" s="3">
        <v>6</v>
      </c>
      <c r="Q1207" s="3">
        <v>6</v>
      </c>
      <c r="R1207" s="3">
        <v>6</v>
      </c>
      <c r="S1207" s="3">
        <v>6</v>
      </c>
      <c r="T1207" s="3">
        <v>6</v>
      </c>
      <c r="U1207" s="3">
        <v>6</v>
      </c>
      <c r="V1207" s="3">
        <v>6</v>
      </c>
      <c r="W1207" s="3">
        <v>6</v>
      </c>
      <c r="X1207" s="3">
        <v>6</v>
      </c>
      <c r="Y1207" s="3">
        <v>6</v>
      </c>
      <c r="Z1207" s="3">
        <v>6</v>
      </c>
      <c r="AA1207" s="3">
        <v>6</v>
      </c>
      <c r="AB1207" s="3">
        <v>6</v>
      </c>
      <c r="AC1207" s="3">
        <v>6</v>
      </c>
      <c r="AD1207" s="3"/>
      <c r="AE1207" t="s">
        <v>6262</v>
      </c>
      <c r="AF1207" t="s">
        <v>517</v>
      </c>
    </row>
    <row r="1208" spans="1:32" x14ac:dyDescent="0.3">
      <c r="A1208" t="s">
        <v>1826</v>
      </c>
      <c r="B1208" s="1" t="s">
        <v>1205</v>
      </c>
      <c r="C1208" s="5" t="s">
        <v>3273</v>
      </c>
      <c r="D1208" s="2" t="s">
        <v>4791</v>
      </c>
      <c r="E1208" s="1" t="s">
        <v>1330</v>
      </c>
      <c r="F1208" s="3">
        <v>9.4</v>
      </c>
      <c r="G1208" s="3">
        <v>9.3000000000000007</v>
      </c>
      <c r="H1208" s="3">
        <v>9.1999999999999993</v>
      </c>
      <c r="I1208" s="3">
        <v>9.1</v>
      </c>
      <c r="J1208" s="3">
        <v>9</v>
      </c>
      <c r="K1208" s="3">
        <v>8.9</v>
      </c>
      <c r="L1208" s="3">
        <v>8.8000000000000007</v>
      </c>
      <c r="M1208" s="3">
        <v>8.8000000000000007</v>
      </c>
      <c r="N1208" s="3">
        <v>8.6999999999999993</v>
      </c>
      <c r="O1208" s="3">
        <v>8.6999999999999993</v>
      </c>
      <c r="P1208" s="3">
        <v>8.6</v>
      </c>
      <c r="Q1208" s="3">
        <v>8.5</v>
      </c>
      <c r="R1208" s="3">
        <v>8.4</v>
      </c>
      <c r="S1208" s="3">
        <v>8.3000000000000007</v>
      </c>
      <c r="T1208" s="3">
        <v>8.1999999999999993</v>
      </c>
      <c r="U1208" s="3">
        <v>8.1</v>
      </c>
      <c r="V1208" s="3">
        <v>7.9</v>
      </c>
      <c r="W1208" s="3">
        <v>7.8</v>
      </c>
      <c r="X1208" s="3">
        <v>7.6</v>
      </c>
      <c r="Y1208" s="3">
        <v>7.5</v>
      </c>
      <c r="Z1208" s="3">
        <v>7.4</v>
      </c>
      <c r="AA1208" s="3">
        <v>7.2</v>
      </c>
      <c r="AB1208" s="3">
        <v>7.1</v>
      </c>
      <c r="AC1208" s="3">
        <v>6.9</v>
      </c>
      <c r="AD1208" s="3"/>
      <c r="AE1208" t="s">
        <v>6263</v>
      </c>
      <c r="AF1208" t="s">
        <v>1390</v>
      </c>
    </row>
    <row r="1209" spans="1:32" x14ac:dyDescent="0.3">
      <c r="A1209" t="s">
        <v>1826</v>
      </c>
      <c r="B1209" s="1" t="s">
        <v>1205</v>
      </c>
      <c r="C1209" s="5" t="s">
        <v>3274</v>
      </c>
      <c r="D1209" s="2" t="s">
        <v>4792</v>
      </c>
      <c r="E1209" s="1" t="s">
        <v>1111</v>
      </c>
      <c r="F1209" s="3">
        <v>13</v>
      </c>
      <c r="G1209" s="3">
        <v>12.9</v>
      </c>
      <c r="H1209" s="3">
        <v>12.7</v>
      </c>
      <c r="I1209" s="3">
        <v>12.5</v>
      </c>
      <c r="J1209" s="3">
        <v>12.3</v>
      </c>
      <c r="K1209" s="3">
        <v>12.1</v>
      </c>
      <c r="L1209" s="3">
        <v>11.9</v>
      </c>
      <c r="M1209" s="3">
        <v>11.6</v>
      </c>
      <c r="N1209" s="3">
        <v>11.3</v>
      </c>
      <c r="O1209" s="3">
        <v>11</v>
      </c>
      <c r="P1209" s="3">
        <v>10.6</v>
      </c>
      <c r="Q1209" s="3">
        <v>10.3</v>
      </c>
      <c r="R1209" s="3">
        <v>9.9</v>
      </c>
      <c r="S1209" s="3">
        <v>9.6</v>
      </c>
      <c r="T1209" s="3">
        <v>9.3000000000000007</v>
      </c>
      <c r="U1209" s="3">
        <v>9</v>
      </c>
      <c r="V1209" s="3">
        <v>8.6999999999999993</v>
      </c>
      <c r="W1209" s="3">
        <v>8.3000000000000007</v>
      </c>
      <c r="X1209" s="3">
        <v>8</v>
      </c>
      <c r="Y1209" s="3">
        <v>7.7</v>
      </c>
      <c r="Z1209" s="3">
        <v>7.4</v>
      </c>
      <c r="AA1209" s="3">
        <v>7.2</v>
      </c>
      <c r="AB1209" s="3">
        <v>6.9</v>
      </c>
      <c r="AC1209" s="3">
        <v>6.7</v>
      </c>
      <c r="AD1209" s="3"/>
      <c r="AE1209" t="s">
        <v>6264</v>
      </c>
      <c r="AF1209" t="s">
        <v>1390</v>
      </c>
    </row>
    <row r="1210" spans="1:32" x14ac:dyDescent="0.3">
      <c r="A1210" t="s">
        <v>1826</v>
      </c>
      <c r="B1210" s="1" t="s">
        <v>1205</v>
      </c>
      <c r="C1210" s="5" t="s">
        <v>3275</v>
      </c>
      <c r="D1210" s="2" t="s">
        <v>4793</v>
      </c>
      <c r="E1210" s="1" t="s">
        <v>1746</v>
      </c>
      <c r="F1210" s="3">
        <v>14.8</v>
      </c>
      <c r="G1210" s="3">
        <v>14.6</v>
      </c>
      <c r="H1210" s="3">
        <v>14.3</v>
      </c>
      <c r="I1210" s="3">
        <v>14.1</v>
      </c>
      <c r="J1210" s="3">
        <v>13.9</v>
      </c>
      <c r="K1210" s="3">
        <v>13.7</v>
      </c>
      <c r="L1210" s="3">
        <v>13.5</v>
      </c>
      <c r="M1210" s="3">
        <v>13.3</v>
      </c>
      <c r="N1210" s="3">
        <v>13.2</v>
      </c>
      <c r="O1210" s="3">
        <v>12.9</v>
      </c>
      <c r="P1210" s="3">
        <v>12.7</v>
      </c>
      <c r="Q1210" s="3">
        <v>12.5</v>
      </c>
      <c r="R1210" s="3">
        <v>12.2</v>
      </c>
      <c r="S1210" s="3">
        <v>11.9</v>
      </c>
      <c r="T1210" s="3">
        <v>11.6</v>
      </c>
      <c r="U1210" s="3">
        <v>11.3</v>
      </c>
      <c r="V1210" s="3">
        <v>10.9</v>
      </c>
      <c r="W1210" s="3">
        <v>10.6</v>
      </c>
      <c r="X1210" s="3">
        <v>10.3</v>
      </c>
      <c r="Y1210" s="3">
        <v>10</v>
      </c>
      <c r="Z1210" s="3">
        <v>9.6999999999999993</v>
      </c>
      <c r="AA1210" s="3">
        <v>9.4</v>
      </c>
      <c r="AB1210" s="3">
        <v>9.1</v>
      </c>
      <c r="AC1210" s="3">
        <v>8.9</v>
      </c>
      <c r="AD1210" s="3"/>
      <c r="AE1210" t="s">
        <v>6265</v>
      </c>
      <c r="AF1210" t="s">
        <v>1390</v>
      </c>
    </row>
    <row r="1211" spans="1:32" x14ac:dyDescent="0.3">
      <c r="A1211" t="s">
        <v>1826</v>
      </c>
      <c r="B1211" s="1" t="s">
        <v>1205</v>
      </c>
      <c r="C1211" s="5" t="s">
        <v>3276</v>
      </c>
      <c r="D1211" s="2" t="s">
        <v>4794</v>
      </c>
      <c r="E1211" s="1" t="s">
        <v>696</v>
      </c>
      <c r="F1211" s="3">
        <v>19.600000000000001</v>
      </c>
      <c r="G1211" s="3">
        <v>19.3</v>
      </c>
      <c r="H1211" s="3">
        <v>18.899999999999999</v>
      </c>
      <c r="I1211" s="3">
        <v>18.399999999999999</v>
      </c>
      <c r="J1211" s="3">
        <v>18</v>
      </c>
      <c r="K1211" s="3">
        <v>17.399999999999999</v>
      </c>
      <c r="L1211" s="3">
        <v>16.899999999999999</v>
      </c>
      <c r="M1211" s="3">
        <v>16.3</v>
      </c>
      <c r="N1211" s="3">
        <v>15.7</v>
      </c>
      <c r="O1211" s="3">
        <v>15.1</v>
      </c>
      <c r="P1211" s="3">
        <v>14.5</v>
      </c>
      <c r="Q1211" s="3">
        <v>13.9</v>
      </c>
      <c r="R1211" s="3">
        <v>13.3</v>
      </c>
      <c r="S1211" s="3">
        <v>12.8</v>
      </c>
      <c r="T1211" s="3">
        <v>12.2</v>
      </c>
      <c r="U1211" s="3">
        <v>11.7</v>
      </c>
      <c r="V1211" s="3">
        <v>11.2</v>
      </c>
      <c r="W1211" s="3">
        <v>10.7</v>
      </c>
      <c r="X1211" s="3">
        <v>10.199999999999999</v>
      </c>
      <c r="Y1211" s="3">
        <v>9.6999999999999993</v>
      </c>
      <c r="Z1211" s="3">
        <v>9.3000000000000007</v>
      </c>
      <c r="AA1211" s="3">
        <v>8.9</v>
      </c>
      <c r="AB1211" s="3">
        <v>8.6</v>
      </c>
      <c r="AC1211" s="3">
        <v>8.5</v>
      </c>
      <c r="AD1211" s="3"/>
      <c r="AE1211" t="s">
        <v>6266</v>
      </c>
      <c r="AF1211" t="s">
        <v>1390</v>
      </c>
    </row>
    <row r="1212" spans="1:32" x14ac:dyDescent="0.3">
      <c r="A1212" t="s">
        <v>1826</v>
      </c>
      <c r="B1212" s="1" t="s">
        <v>1205</v>
      </c>
      <c r="C1212" s="5" t="s">
        <v>3277</v>
      </c>
      <c r="D1212" s="2" t="s">
        <v>4795</v>
      </c>
      <c r="E1212" s="1" t="s">
        <v>4</v>
      </c>
      <c r="F1212" s="3">
        <v>67.471350000000001</v>
      </c>
      <c r="G1212" s="3"/>
      <c r="H1212" s="3"/>
      <c r="I1212" s="3"/>
      <c r="J1212" s="3"/>
      <c r="K1212" s="3"/>
      <c r="L1212" s="3">
        <v>70.726219999999998</v>
      </c>
      <c r="M1212" s="3"/>
      <c r="N1212" s="3">
        <v>68.763419999999996</v>
      </c>
      <c r="O1212" s="3"/>
      <c r="P1212" s="3"/>
      <c r="Q1212" s="3">
        <v>73.475089999999994</v>
      </c>
      <c r="R1212" s="3"/>
      <c r="S1212" s="3">
        <v>87.983590000000007</v>
      </c>
      <c r="T1212" s="3">
        <v>92.679349999999999</v>
      </c>
      <c r="U1212" s="3">
        <v>91.975219999999993</v>
      </c>
      <c r="V1212" s="3">
        <v>91.941919999999996</v>
      </c>
      <c r="W1212" s="3"/>
      <c r="X1212" s="3"/>
      <c r="Y1212" s="3"/>
      <c r="Z1212" s="3"/>
      <c r="AA1212" s="3"/>
      <c r="AB1212" s="3"/>
      <c r="AC1212" s="3"/>
      <c r="AD1212" s="3"/>
      <c r="AE1212" t="s">
        <v>6267</v>
      </c>
      <c r="AF1212" t="s">
        <v>787</v>
      </c>
    </row>
    <row r="1213" spans="1:32" x14ac:dyDescent="0.3">
      <c r="A1213" t="s">
        <v>1826</v>
      </c>
      <c r="B1213" s="1" t="s">
        <v>1205</v>
      </c>
      <c r="C1213" s="5" t="s">
        <v>3278</v>
      </c>
      <c r="D1213" s="2" t="s">
        <v>4796</v>
      </c>
      <c r="E1213" s="1" t="s">
        <v>2036</v>
      </c>
      <c r="F1213" s="3">
        <v>62.564590000000003</v>
      </c>
      <c r="G1213" s="3"/>
      <c r="H1213" s="3"/>
      <c r="I1213" s="3"/>
      <c r="J1213" s="3"/>
      <c r="K1213" s="3"/>
      <c r="L1213" s="3">
        <v>69.019469999999998</v>
      </c>
      <c r="M1213" s="3"/>
      <c r="N1213" s="3">
        <v>66.890389999999996</v>
      </c>
      <c r="O1213" s="3"/>
      <c r="P1213" s="3"/>
      <c r="Q1213" s="3">
        <v>68.4251</v>
      </c>
      <c r="R1213" s="3"/>
      <c r="S1213" s="3">
        <v>84.84545</v>
      </c>
      <c r="T1213" s="3">
        <v>90.450180000000003</v>
      </c>
      <c r="U1213" s="3">
        <v>89.335489999999993</v>
      </c>
      <c r="V1213" s="3">
        <v>92.500919999999994</v>
      </c>
      <c r="W1213" s="3"/>
      <c r="X1213" s="3"/>
      <c r="Y1213" s="3"/>
      <c r="Z1213" s="3"/>
      <c r="AA1213" s="3"/>
      <c r="AB1213" s="3"/>
      <c r="AC1213" s="3"/>
      <c r="AD1213" s="3"/>
      <c r="AE1213" t="s">
        <v>6267</v>
      </c>
      <c r="AF1213" t="s">
        <v>787</v>
      </c>
    </row>
    <row r="1214" spans="1:32" x14ac:dyDescent="0.3">
      <c r="A1214" t="s">
        <v>1826</v>
      </c>
      <c r="B1214" s="1" t="s">
        <v>1205</v>
      </c>
      <c r="C1214" s="5" t="s">
        <v>3279</v>
      </c>
      <c r="D1214" s="2" t="s">
        <v>4797</v>
      </c>
      <c r="E1214" s="1" t="s">
        <v>156</v>
      </c>
      <c r="F1214" s="3">
        <v>70.558239999999998</v>
      </c>
      <c r="G1214" s="3"/>
      <c r="H1214" s="3"/>
      <c r="I1214" s="3"/>
      <c r="J1214" s="3"/>
      <c r="K1214" s="3"/>
      <c r="L1214" s="3">
        <v>71.842709999999997</v>
      </c>
      <c r="M1214" s="3"/>
      <c r="N1214" s="3">
        <v>70.041960000000003</v>
      </c>
      <c r="O1214" s="3"/>
      <c r="P1214" s="3"/>
      <c r="Q1214" s="3">
        <v>77.286429999999996</v>
      </c>
      <c r="R1214" s="3"/>
      <c r="S1214" s="3">
        <v>90.377499999999998</v>
      </c>
      <c r="T1214" s="3">
        <v>94.411299999999997</v>
      </c>
      <c r="U1214" s="3">
        <v>94.121809999999996</v>
      </c>
      <c r="V1214" s="3">
        <v>91.496269999999996</v>
      </c>
      <c r="W1214" s="3"/>
      <c r="X1214" s="3"/>
      <c r="Y1214" s="3"/>
      <c r="Z1214" s="3"/>
      <c r="AA1214" s="3"/>
      <c r="AB1214" s="3"/>
      <c r="AC1214" s="3"/>
      <c r="AD1214" s="3"/>
      <c r="AE1214" t="s">
        <v>6267</v>
      </c>
      <c r="AF1214" t="s">
        <v>787</v>
      </c>
    </row>
    <row r="1215" spans="1:32" x14ac:dyDescent="0.3">
      <c r="A1215" t="s">
        <v>1826</v>
      </c>
      <c r="B1215" s="1" t="s">
        <v>1205</v>
      </c>
      <c r="C1215" s="5" t="s">
        <v>3280</v>
      </c>
      <c r="D1215" s="2" t="s">
        <v>4798</v>
      </c>
      <c r="E1215" s="1" t="s">
        <v>969</v>
      </c>
      <c r="F1215" s="3"/>
      <c r="G1215" s="3"/>
      <c r="H1215" s="3">
        <v>13</v>
      </c>
      <c r="I1215" s="3"/>
      <c r="J1215" s="3"/>
      <c r="K1215" s="3"/>
      <c r="L1215" s="3"/>
      <c r="M1215" s="3"/>
      <c r="N1215" s="3">
        <v>17.399999999999999</v>
      </c>
      <c r="O1215" s="3"/>
      <c r="P1215" s="3"/>
      <c r="Q1215" s="3"/>
      <c r="R1215" s="3"/>
      <c r="S1215" s="3"/>
      <c r="T1215" s="3"/>
      <c r="U1215" s="3">
        <v>15.3</v>
      </c>
      <c r="V1215" s="3"/>
      <c r="W1215" s="3"/>
      <c r="X1215" s="3">
        <v>12</v>
      </c>
      <c r="Y1215" s="3"/>
      <c r="Z1215" s="3"/>
      <c r="AA1215" s="3">
        <v>10.1</v>
      </c>
      <c r="AB1215" s="3"/>
      <c r="AC1215" s="3"/>
      <c r="AD1215" s="3"/>
      <c r="AE1215" t="s">
        <v>6268</v>
      </c>
      <c r="AF1215" t="s">
        <v>2063</v>
      </c>
    </row>
    <row r="1216" spans="1:32" ht="28.8" x14ac:dyDescent="0.3">
      <c r="A1216" t="s">
        <v>1826</v>
      </c>
      <c r="B1216" s="1" t="s">
        <v>1205</v>
      </c>
      <c r="C1216" s="5" t="s">
        <v>3281</v>
      </c>
      <c r="D1216" s="2" t="s">
        <v>4799</v>
      </c>
      <c r="E1216" s="1" t="s">
        <v>59</v>
      </c>
      <c r="F1216" s="3"/>
      <c r="G1216" s="3"/>
      <c r="H1216" s="3">
        <v>3.11</v>
      </c>
      <c r="I1216" s="3"/>
      <c r="J1216" s="3"/>
      <c r="K1216" s="3"/>
      <c r="L1216" s="3"/>
      <c r="M1216" s="3"/>
      <c r="N1216" s="3">
        <v>3.14</v>
      </c>
      <c r="O1216" s="3"/>
      <c r="P1216" s="3"/>
      <c r="Q1216" s="3"/>
      <c r="R1216" s="3"/>
      <c r="S1216" s="3"/>
      <c r="T1216" s="3">
        <v>2.25</v>
      </c>
      <c r="U1216" s="3"/>
      <c r="V1216" s="3"/>
      <c r="W1216" s="3"/>
      <c r="X1216" s="3">
        <v>1.78</v>
      </c>
      <c r="Y1216" s="3"/>
      <c r="Z1216" s="3"/>
      <c r="AA1216" s="3"/>
      <c r="AB1216" s="3"/>
      <c r="AC1216" s="3"/>
      <c r="AD1216" s="3"/>
      <c r="AE1216" t="s">
        <v>6269</v>
      </c>
      <c r="AF1216" t="s">
        <v>113</v>
      </c>
    </row>
    <row r="1217" spans="1:32" ht="28.8" x14ac:dyDescent="0.3">
      <c r="A1217" t="s">
        <v>1826</v>
      </c>
      <c r="B1217" s="1" t="s">
        <v>1205</v>
      </c>
      <c r="C1217" s="5" t="s">
        <v>3282</v>
      </c>
      <c r="D1217" s="2" t="s">
        <v>4800</v>
      </c>
      <c r="E1217" s="1" t="s">
        <v>839</v>
      </c>
      <c r="F1217" s="3"/>
      <c r="G1217" s="3"/>
      <c r="H1217" s="3">
        <v>3.01</v>
      </c>
      <c r="I1217" s="3"/>
      <c r="J1217" s="3"/>
      <c r="K1217" s="3"/>
      <c r="L1217" s="3"/>
      <c r="M1217" s="3"/>
      <c r="N1217" s="3">
        <v>3.25</v>
      </c>
      <c r="O1217" s="3"/>
      <c r="P1217" s="3"/>
      <c r="Q1217" s="3"/>
      <c r="R1217" s="3"/>
      <c r="S1217" s="3"/>
      <c r="T1217" s="3">
        <v>2.58</v>
      </c>
      <c r="U1217" s="3"/>
      <c r="V1217" s="3"/>
      <c r="W1217" s="3"/>
      <c r="X1217" s="3">
        <v>2.46</v>
      </c>
      <c r="Y1217" s="3"/>
      <c r="Z1217" s="3"/>
      <c r="AA1217" s="3"/>
      <c r="AB1217" s="3"/>
      <c r="AC1217" s="3"/>
      <c r="AD1217" s="3"/>
      <c r="AE1217" t="s">
        <v>6270</v>
      </c>
      <c r="AF1217" t="s">
        <v>113</v>
      </c>
    </row>
    <row r="1218" spans="1:32" ht="28.8" x14ac:dyDescent="0.3">
      <c r="A1218" t="s">
        <v>1826</v>
      </c>
      <c r="B1218" s="1" t="s">
        <v>1205</v>
      </c>
      <c r="C1218" s="5" t="s">
        <v>3283</v>
      </c>
      <c r="D1218" s="2" t="s">
        <v>4801</v>
      </c>
      <c r="E1218" s="1" t="s">
        <v>857</v>
      </c>
      <c r="F1218" s="3"/>
      <c r="G1218" s="3"/>
      <c r="H1218" s="3">
        <v>2.58</v>
      </c>
      <c r="I1218" s="3"/>
      <c r="J1218" s="3"/>
      <c r="K1218" s="3"/>
      <c r="L1218" s="3"/>
      <c r="M1218" s="3"/>
      <c r="N1218" s="3">
        <v>2.7</v>
      </c>
      <c r="O1218" s="3"/>
      <c r="P1218" s="3"/>
      <c r="Q1218" s="3"/>
      <c r="R1218" s="3"/>
      <c r="S1218" s="3"/>
      <c r="T1218" s="3">
        <v>2.1</v>
      </c>
      <c r="U1218" s="3"/>
      <c r="V1218" s="3"/>
      <c r="W1218" s="3"/>
      <c r="X1218" s="3">
        <v>2.2000000000000002</v>
      </c>
      <c r="Y1218" s="3"/>
      <c r="Z1218" s="3"/>
      <c r="AA1218" s="3"/>
      <c r="AB1218" s="3"/>
      <c r="AC1218" s="3"/>
      <c r="AD1218" s="3"/>
      <c r="AE1218" t="s">
        <v>6271</v>
      </c>
      <c r="AF1218" t="s">
        <v>113</v>
      </c>
    </row>
    <row r="1219" spans="1:32" ht="28.8" x14ac:dyDescent="0.3">
      <c r="A1219" t="s">
        <v>1826</v>
      </c>
      <c r="B1219" s="1" t="s">
        <v>1205</v>
      </c>
      <c r="C1219" s="5" t="s">
        <v>3284</v>
      </c>
      <c r="D1219" s="2" t="s">
        <v>4802</v>
      </c>
      <c r="E1219" s="1" t="s">
        <v>1433</v>
      </c>
      <c r="F1219" s="3"/>
      <c r="G1219" s="3"/>
      <c r="H1219" s="3">
        <v>23.04</v>
      </c>
      <c r="I1219" s="3"/>
      <c r="J1219" s="3"/>
      <c r="K1219" s="3"/>
      <c r="L1219" s="3"/>
      <c r="M1219" s="3"/>
      <c r="N1219" s="3"/>
      <c r="O1219" s="3"/>
      <c r="P1219" s="3"/>
      <c r="Q1219" s="3"/>
      <c r="R1219" s="3"/>
      <c r="S1219" s="3"/>
      <c r="T1219" s="3"/>
      <c r="U1219" s="3"/>
      <c r="V1219" s="3"/>
      <c r="W1219" s="3"/>
      <c r="X1219" s="3">
        <v>6.16</v>
      </c>
      <c r="Y1219" s="3"/>
      <c r="Z1219" s="3"/>
      <c r="AA1219" s="3"/>
      <c r="AB1219" s="3"/>
      <c r="AC1219" s="3"/>
      <c r="AD1219" s="3"/>
      <c r="AE1219" t="s">
        <v>6272</v>
      </c>
      <c r="AF1219" t="s">
        <v>113</v>
      </c>
    </row>
    <row r="1220" spans="1:32" ht="28.8" x14ac:dyDescent="0.3">
      <c r="A1220" t="s">
        <v>1826</v>
      </c>
      <c r="B1220" s="1" t="s">
        <v>1205</v>
      </c>
      <c r="C1220" s="5" t="s">
        <v>3285</v>
      </c>
      <c r="D1220" s="2" t="s">
        <v>4803</v>
      </c>
      <c r="E1220" s="1" t="s">
        <v>180</v>
      </c>
      <c r="F1220" s="3"/>
      <c r="G1220" s="3"/>
      <c r="H1220" s="3">
        <v>46.03</v>
      </c>
      <c r="I1220" s="3"/>
      <c r="J1220" s="3"/>
      <c r="K1220" s="3"/>
      <c r="L1220" s="3"/>
      <c r="M1220" s="3"/>
      <c r="N1220" s="3"/>
      <c r="O1220" s="3"/>
      <c r="P1220" s="3"/>
      <c r="Q1220" s="3"/>
      <c r="R1220" s="3"/>
      <c r="S1220" s="3"/>
      <c r="T1220" s="3"/>
      <c r="U1220" s="3"/>
      <c r="V1220" s="3"/>
      <c r="W1220" s="3"/>
      <c r="X1220" s="3">
        <v>25.61</v>
      </c>
      <c r="Y1220" s="3"/>
      <c r="Z1220" s="3"/>
      <c r="AA1220" s="3"/>
      <c r="AB1220" s="3"/>
      <c r="AC1220" s="3"/>
      <c r="AD1220" s="3"/>
      <c r="AE1220" t="s">
        <v>6273</v>
      </c>
      <c r="AF1220" t="s">
        <v>113</v>
      </c>
    </row>
    <row r="1221" spans="1:32" ht="28.8" x14ac:dyDescent="0.3">
      <c r="A1221" t="s">
        <v>1826</v>
      </c>
      <c r="B1221" s="1" t="s">
        <v>1205</v>
      </c>
      <c r="C1221" s="5" t="s">
        <v>3286</v>
      </c>
      <c r="D1221" s="2" t="s">
        <v>4804</v>
      </c>
      <c r="E1221" s="1" t="s">
        <v>1677</v>
      </c>
      <c r="F1221" s="3"/>
      <c r="G1221" s="3"/>
      <c r="H1221" s="3">
        <v>15.69</v>
      </c>
      <c r="I1221" s="3"/>
      <c r="J1221" s="3"/>
      <c r="K1221" s="3"/>
      <c r="L1221" s="3"/>
      <c r="M1221" s="3"/>
      <c r="N1221" s="3"/>
      <c r="O1221" s="3"/>
      <c r="P1221" s="3"/>
      <c r="Q1221" s="3"/>
      <c r="R1221" s="3"/>
      <c r="S1221" s="3"/>
      <c r="T1221" s="3"/>
      <c r="U1221" s="3"/>
      <c r="V1221" s="3"/>
      <c r="W1221" s="3"/>
      <c r="X1221" s="3">
        <v>12.18</v>
      </c>
      <c r="Y1221" s="3"/>
      <c r="Z1221" s="3"/>
      <c r="AA1221" s="3"/>
      <c r="AB1221" s="3"/>
      <c r="AC1221" s="3"/>
      <c r="AD1221" s="3"/>
      <c r="AE1221" t="s">
        <v>6274</v>
      </c>
      <c r="AF1221" t="s">
        <v>113</v>
      </c>
    </row>
    <row r="1222" spans="1:32" ht="28.8" x14ac:dyDescent="0.3">
      <c r="A1222" t="s">
        <v>1826</v>
      </c>
      <c r="B1222" s="1" t="s">
        <v>1205</v>
      </c>
      <c r="C1222" s="5" t="s">
        <v>3287</v>
      </c>
      <c r="D1222" s="2" t="s">
        <v>4805</v>
      </c>
      <c r="E1222" s="1" t="s">
        <v>811</v>
      </c>
      <c r="F1222" s="3"/>
      <c r="G1222" s="3"/>
      <c r="H1222" s="3">
        <v>26.15</v>
      </c>
      <c r="I1222" s="3"/>
      <c r="J1222" s="3"/>
      <c r="K1222" s="3"/>
      <c r="L1222" s="3"/>
      <c r="M1222" s="3"/>
      <c r="N1222" s="3"/>
      <c r="O1222" s="3"/>
      <c r="P1222" s="3"/>
      <c r="Q1222" s="3"/>
      <c r="R1222" s="3"/>
      <c r="S1222" s="3"/>
      <c r="T1222" s="3"/>
      <c r="U1222" s="3"/>
      <c r="V1222" s="3"/>
      <c r="W1222" s="3"/>
      <c r="X1222" s="3">
        <v>7.94</v>
      </c>
      <c r="Y1222" s="3"/>
      <c r="Z1222" s="3"/>
      <c r="AA1222" s="3"/>
      <c r="AB1222" s="3"/>
      <c r="AC1222" s="3"/>
      <c r="AD1222" s="3"/>
      <c r="AE1222" t="s">
        <v>6275</v>
      </c>
      <c r="AF1222" t="s">
        <v>113</v>
      </c>
    </row>
    <row r="1223" spans="1:32" ht="28.8" x14ac:dyDescent="0.3">
      <c r="A1223" t="s">
        <v>1826</v>
      </c>
      <c r="B1223" s="1" t="s">
        <v>1205</v>
      </c>
      <c r="C1223" s="5" t="s">
        <v>3288</v>
      </c>
      <c r="D1223" s="2" t="s">
        <v>4806</v>
      </c>
      <c r="E1223" s="1" t="s">
        <v>1600</v>
      </c>
      <c r="F1223" s="3"/>
      <c r="G1223" s="3"/>
      <c r="H1223" s="3">
        <v>49.04</v>
      </c>
      <c r="I1223" s="3"/>
      <c r="J1223" s="3"/>
      <c r="K1223" s="3"/>
      <c r="L1223" s="3"/>
      <c r="M1223" s="3"/>
      <c r="N1223" s="3"/>
      <c r="O1223" s="3"/>
      <c r="P1223" s="3"/>
      <c r="Q1223" s="3"/>
      <c r="R1223" s="3"/>
      <c r="S1223" s="3"/>
      <c r="T1223" s="3"/>
      <c r="U1223" s="3"/>
      <c r="V1223" s="3"/>
      <c r="W1223" s="3"/>
      <c r="X1223" s="3">
        <v>28.07</v>
      </c>
      <c r="Y1223" s="3"/>
      <c r="Z1223" s="3"/>
      <c r="AA1223" s="3"/>
      <c r="AB1223" s="3"/>
      <c r="AC1223" s="3"/>
      <c r="AD1223" s="3"/>
      <c r="AE1223" t="s">
        <v>6276</v>
      </c>
      <c r="AF1223" t="s">
        <v>113</v>
      </c>
    </row>
    <row r="1224" spans="1:32" ht="28.8" x14ac:dyDescent="0.3">
      <c r="A1224" t="s">
        <v>1826</v>
      </c>
      <c r="B1224" s="1" t="s">
        <v>1205</v>
      </c>
      <c r="C1224" s="5" t="s">
        <v>3289</v>
      </c>
      <c r="D1224" s="2" t="s">
        <v>4807</v>
      </c>
      <c r="E1224" s="1" t="s">
        <v>1046</v>
      </c>
      <c r="F1224" s="3"/>
      <c r="G1224" s="3"/>
      <c r="H1224" s="3">
        <v>18.27</v>
      </c>
      <c r="I1224" s="3"/>
      <c r="J1224" s="3"/>
      <c r="K1224" s="3"/>
      <c r="L1224" s="3"/>
      <c r="M1224" s="3"/>
      <c r="N1224" s="3"/>
      <c r="O1224" s="3"/>
      <c r="P1224" s="3"/>
      <c r="Q1224" s="3"/>
      <c r="R1224" s="3"/>
      <c r="S1224" s="3"/>
      <c r="T1224" s="3"/>
      <c r="U1224" s="3"/>
      <c r="V1224" s="3"/>
      <c r="W1224" s="3"/>
      <c r="X1224" s="3">
        <v>14.38</v>
      </c>
      <c r="Y1224" s="3"/>
      <c r="Z1224" s="3"/>
      <c r="AA1224" s="3"/>
      <c r="AB1224" s="3"/>
      <c r="AC1224" s="3"/>
      <c r="AD1224" s="3"/>
      <c r="AE1224" t="s">
        <v>6277</v>
      </c>
      <c r="AF1224" t="s">
        <v>113</v>
      </c>
    </row>
    <row r="1225" spans="1:32" ht="28.8" x14ac:dyDescent="0.3">
      <c r="A1225" t="s">
        <v>1826</v>
      </c>
      <c r="B1225" s="1" t="s">
        <v>1205</v>
      </c>
      <c r="C1225" s="5" t="s">
        <v>3290</v>
      </c>
      <c r="D1225" s="2" t="s">
        <v>4808</v>
      </c>
      <c r="E1225" s="1" t="s">
        <v>932</v>
      </c>
      <c r="F1225" s="3"/>
      <c r="G1225" s="3"/>
      <c r="H1225" s="3">
        <v>18.47</v>
      </c>
      <c r="I1225" s="3"/>
      <c r="J1225" s="3"/>
      <c r="K1225" s="3"/>
      <c r="L1225" s="3"/>
      <c r="M1225" s="3"/>
      <c r="N1225" s="3">
        <v>17.440000000000001</v>
      </c>
      <c r="O1225" s="3"/>
      <c r="P1225" s="3"/>
      <c r="Q1225" s="3"/>
      <c r="R1225" s="3"/>
      <c r="S1225" s="3"/>
      <c r="T1225" s="3">
        <v>12.43</v>
      </c>
      <c r="U1225" s="3"/>
      <c r="V1225" s="3"/>
      <c r="W1225" s="3"/>
      <c r="X1225" s="3">
        <v>8.33</v>
      </c>
      <c r="Y1225" s="3"/>
      <c r="Z1225" s="3"/>
      <c r="AA1225" s="3"/>
      <c r="AB1225" s="3"/>
      <c r="AC1225" s="3"/>
      <c r="AD1225" s="3"/>
      <c r="AE1225" t="s">
        <v>6278</v>
      </c>
      <c r="AF1225" t="s">
        <v>113</v>
      </c>
    </row>
    <row r="1226" spans="1:32" ht="28.8" x14ac:dyDescent="0.3">
      <c r="A1226" t="s">
        <v>1826</v>
      </c>
      <c r="B1226" s="1" t="s">
        <v>1205</v>
      </c>
      <c r="C1226" s="5" t="s">
        <v>3291</v>
      </c>
      <c r="D1226" s="2" t="s">
        <v>4809</v>
      </c>
      <c r="E1226" s="1" t="s">
        <v>608</v>
      </c>
      <c r="F1226" s="3"/>
      <c r="G1226" s="3"/>
      <c r="H1226" s="3">
        <v>1.84</v>
      </c>
      <c r="I1226" s="3"/>
      <c r="J1226" s="3"/>
      <c r="K1226" s="3"/>
      <c r="L1226" s="3"/>
      <c r="M1226" s="3"/>
      <c r="N1226" s="3">
        <v>3.97</v>
      </c>
      <c r="O1226" s="3"/>
      <c r="P1226" s="3"/>
      <c r="Q1226" s="3"/>
      <c r="R1226" s="3"/>
      <c r="S1226" s="3"/>
      <c r="T1226" s="3">
        <v>3.37</v>
      </c>
      <c r="U1226" s="3"/>
      <c r="V1226" s="3"/>
      <c r="W1226" s="3"/>
      <c r="X1226" s="3">
        <v>0.56000000000000005</v>
      </c>
      <c r="Y1226" s="3"/>
      <c r="Z1226" s="3"/>
      <c r="AA1226" s="3"/>
      <c r="AB1226" s="3"/>
      <c r="AC1226" s="3"/>
      <c r="AD1226" s="3"/>
      <c r="AE1226" t="s">
        <v>6279</v>
      </c>
      <c r="AF1226" t="s">
        <v>113</v>
      </c>
    </row>
    <row r="1227" spans="1:32" x14ac:dyDescent="0.3">
      <c r="A1227" t="s">
        <v>1826</v>
      </c>
      <c r="B1227" s="1" t="s">
        <v>1205</v>
      </c>
      <c r="C1227" s="5" t="s">
        <v>3292</v>
      </c>
      <c r="D1227" s="2" t="s">
        <v>4810</v>
      </c>
      <c r="E1227" s="1" t="s">
        <v>1561</v>
      </c>
      <c r="F1227" s="3"/>
      <c r="G1227" s="3">
        <v>8.52017937219731</v>
      </c>
      <c r="H1227" s="3">
        <v>8.52017937219731</v>
      </c>
      <c r="I1227" s="3">
        <v>8.52017937219731</v>
      </c>
      <c r="J1227" s="3">
        <v>8.52017937219731</v>
      </c>
      <c r="K1227" s="3">
        <v>8.52017937219731</v>
      </c>
      <c r="L1227" s="3">
        <v>8.52017937219731</v>
      </c>
      <c r="M1227" s="3">
        <v>8.8669950738916299</v>
      </c>
      <c r="N1227" s="3">
        <v>8.8669950738916299</v>
      </c>
      <c r="O1227" s="3">
        <v>8.8669950738916299</v>
      </c>
      <c r="P1227" s="3">
        <v>8.8669950738916299</v>
      </c>
      <c r="Q1227" s="3">
        <v>11.0236220472441</v>
      </c>
      <c r="R1227" s="3">
        <v>10.4417670682731</v>
      </c>
      <c r="S1227" s="3">
        <v>10.4417670682731</v>
      </c>
      <c r="T1227" s="3">
        <v>9.4488188976377891</v>
      </c>
      <c r="U1227" s="3">
        <v>9.1633466135458193</v>
      </c>
      <c r="V1227" s="3">
        <v>9.1633466135458193</v>
      </c>
      <c r="W1227" s="3">
        <v>10.588235294117601</v>
      </c>
      <c r="X1227" s="3">
        <v>10.588235294117601</v>
      </c>
      <c r="Y1227" s="3">
        <v>10.980392156862701</v>
      </c>
      <c r="Z1227" s="3">
        <v>11.372549019607799</v>
      </c>
      <c r="AA1227" s="3">
        <v>14.1732283464567</v>
      </c>
      <c r="AB1227" s="3">
        <v>14.1732283464567</v>
      </c>
      <c r="AC1227" s="3">
        <v>13.7254901960784</v>
      </c>
      <c r="AD1227" s="3">
        <v>13.3858267716535</v>
      </c>
      <c r="AE1227" t="s">
        <v>6280</v>
      </c>
      <c r="AF1227" t="s">
        <v>1583</v>
      </c>
    </row>
    <row r="1228" spans="1:32" ht="28.8" x14ac:dyDescent="0.3">
      <c r="A1228" t="s">
        <v>1826</v>
      </c>
      <c r="B1228" s="1" t="s">
        <v>1205</v>
      </c>
      <c r="C1228" s="5" t="s">
        <v>3293</v>
      </c>
      <c r="D1228" s="2" t="s">
        <v>4811</v>
      </c>
      <c r="E1228" s="1" t="s">
        <v>889</v>
      </c>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t="s">
        <v>6281</v>
      </c>
      <c r="AF1228" t="s">
        <v>1400</v>
      </c>
    </row>
    <row r="1229" spans="1:32" ht="28.8" x14ac:dyDescent="0.3">
      <c r="A1229" t="s">
        <v>1826</v>
      </c>
      <c r="B1229" s="1" t="s">
        <v>1205</v>
      </c>
      <c r="C1229" s="5" t="s">
        <v>3294</v>
      </c>
      <c r="D1229" s="2" t="s">
        <v>4812</v>
      </c>
      <c r="E1229" s="1" t="s">
        <v>1605</v>
      </c>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t="s">
        <v>6282</v>
      </c>
      <c r="AF1229" t="s">
        <v>1400</v>
      </c>
    </row>
    <row r="1230" spans="1:32" ht="28.8" x14ac:dyDescent="0.3">
      <c r="A1230" t="s">
        <v>1826</v>
      </c>
      <c r="B1230" s="1" t="s">
        <v>1205</v>
      </c>
      <c r="C1230" s="5" t="s">
        <v>3295</v>
      </c>
      <c r="D1230" s="2" t="s">
        <v>4813</v>
      </c>
      <c r="E1230" s="1" t="s">
        <v>2013</v>
      </c>
      <c r="F1230" s="3"/>
      <c r="G1230" s="3"/>
      <c r="H1230" s="3"/>
      <c r="I1230" s="3"/>
      <c r="J1230" s="3"/>
      <c r="K1230" s="3"/>
      <c r="L1230" s="3"/>
      <c r="M1230" s="3"/>
      <c r="N1230" s="3"/>
      <c r="O1230" s="3"/>
      <c r="P1230" s="3"/>
      <c r="Q1230" s="3"/>
      <c r="R1230" s="3">
        <v>22</v>
      </c>
      <c r="S1230" s="3"/>
      <c r="T1230" s="3"/>
      <c r="U1230" s="3"/>
      <c r="V1230" s="3"/>
      <c r="W1230" s="3"/>
      <c r="X1230" s="3"/>
      <c r="Y1230" s="3"/>
      <c r="Z1230" s="3"/>
      <c r="AA1230" s="3"/>
      <c r="AB1230" s="3"/>
      <c r="AC1230" s="3"/>
      <c r="AD1230" s="3"/>
      <c r="AE1230" t="s">
        <v>6283</v>
      </c>
      <c r="AF1230" t="s">
        <v>498</v>
      </c>
    </row>
    <row r="1231" spans="1:32" x14ac:dyDescent="0.3">
      <c r="A1231" t="s">
        <v>1826</v>
      </c>
      <c r="B1231" s="1" t="s">
        <v>1205</v>
      </c>
      <c r="C1231" s="5" t="s">
        <v>3296</v>
      </c>
      <c r="D1231" s="2" t="s">
        <v>4814</v>
      </c>
      <c r="E1231" s="1" t="s">
        <v>75</v>
      </c>
      <c r="F1231" s="3"/>
      <c r="G1231" s="3"/>
      <c r="H1231" s="3">
        <v>10.6</v>
      </c>
      <c r="I1231" s="3"/>
      <c r="J1231" s="3"/>
      <c r="K1231" s="3"/>
      <c r="L1231" s="3"/>
      <c r="M1231" s="3"/>
      <c r="N1231" s="3">
        <v>12.1</v>
      </c>
      <c r="O1231" s="3"/>
      <c r="P1231" s="3"/>
      <c r="Q1231" s="3"/>
      <c r="R1231" s="3"/>
      <c r="S1231" s="3"/>
      <c r="T1231" s="3"/>
      <c r="U1231" s="3">
        <v>11.6</v>
      </c>
      <c r="V1231" s="3"/>
      <c r="W1231" s="3"/>
      <c r="X1231" s="3">
        <v>6.9</v>
      </c>
      <c r="Y1231" s="3"/>
      <c r="Z1231" s="3"/>
      <c r="AA1231" s="3">
        <v>6.7</v>
      </c>
      <c r="AB1231" s="3"/>
      <c r="AC1231" s="3"/>
      <c r="AD1231" s="3"/>
      <c r="AE1231" t="s">
        <v>6284</v>
      </c>
      <c r="AF1231" t="s">
        <v>29</v>
      </c>
    </row>
    <row r="1232" spans="1:32" ht="28.8" x14ac:dyDescent="0.3">
      <c r="A1232" t="s">
        <v>1826</v>
      </c>
      <c r="B1232" s="1" t="s">
        <v>1205</v>
      </c>
      <c r="C1232" s="5" t="s">
        <v>3297</v>
      </c>
      <c r="D1232" s="2" t="s">
        <v>4815</v>
      </c>
      <c r="E1232" s="1" t="s">
        <v>1553</v>
      </c>
      <c r="F1232" s="3"/>
      <c r="G1232" s="3"/>
      <c r="H1232" s="3"/>
      <c r="I1232" s="3"/>
      <c r="J1232" s="3"/>
      <c r="K1232" s="3">
        <v>0.26985572648011258</v>
      </c>
      <c r="L1232" s="3">
        <v>0.17120995221181629</v>
      </c>
      <c r="M1232" s="3">
        <v>1.5577465809466304</v>
      </c>
      <c r="N1232" s="3">
        <v>6.5826338522681338</v>
      </c>
      <c r="O1232" s="3">
        <v>6.1354883085019853</v>
      </c>
      <c r="P1232" s="3">
        <v>3.8735314531031682</v>
      </c>
      <c r="Q1232" s="3">
        <v>2.9878618309543525</v>
      </c>
      <c r="R1232" s="3">
        <v>2.2497309571717694</v>
      </c>
      <c r="S1232" s="3">
        <v>4.0121921289806881</v>
      </c>
      <c r="T1232" s="3">
        <v>4.2035827775556172</v>
      </c>
      <c r="U1232" s="3">
        <v>3.127741848684181</v>
      </c>
      <c r="V1232" s="3">
        <v>8.614853688032273</v>
      </c>
      <c r="W1232" s="3">
        <v>13.282415180060026</v>
      </c>
      <c r="X1232" s="3">
        <v>8.252101850270849</v>
      </c>
      <c r="Y1232" s="3">
        <v>17.380475985743253</v>
      </c>
      <c r="Z1232" s="3">
        <v>13.918490970990218</v>
      </c>
      <c r="AA1232" s="3">
        <v>7.6667667373850428</v>
      </c>
      <c r="AB1232" s="3">
        <v>9.2533086230112378</v>
      </c>
      <c r="AC1232" s="3"/>
      <c r="AD1232" s="3"/>
      <c r="AE1232" t="s">
        <v>6285</v>
      </c>
      <c r="AF1232" t="s">
        <v>1991</v>
      </c>
    </row>
    <row r="1233" spans="1:32" x14ac:dyDescent="0.3">
      <c r="A1233" t="s">
        <v>1826</v>
      </c>
      <c r="B1233" s="1" t="s">
        <v>1205</v>
      </c>
      <c r="C1233" s="5" t="s">
        <v>3298</v>
      </c>
      <c r="D1233" s="2" t="s">
        <v>4816</v>
      </c>
      <c r="E1233" s="1" t="s">
        <v>1355</v>
      </c>
      <c r="F1233" s="3">
        <v>6.8868004733114843</v>
      </c>
      <c r="G1233" s="3">
        <v>3.0548169666096356</v>
      </c>
      <c r="H1233" s="3">
        <v>4.6520696618103363</v>
      </c>
      <c r="I1233" s="3">
        <v>2.3047142298907919</v>
      </c>
      <c r="J1233" s="3">
        <v>0.64161081938263409</v>
      </c>
      <c r="K1233" s="3">
        <v>0.1431536303081786</v>
      </c>
      <c r="L1233" s="3">
        <v>9.5280679650458652E-2</v>
      </c>
      <c r="M1233" s="3">
        <v>0.7824539942990798</v>
      </c>
      <c r="N1233" s="3">
        <v>3.2855884356727176</v>
      </c>
      <c r="O1233" s="3">
        <v>3.3017388870617435</v>
      </c>
      <c r="P1233" s="3">
        <v>2.0699843425373237</v>
      </c>
      <c r="Q1233" s="3">
        <v>1.6975947590699414</v>
      </c>
      <c r="R1233" s="3">
        <v>1.1553961977727218</v>
      </c>
      <c r="S1233" s="3">
        <v>1.7729079996803183</v>
      </c>
      <c r="T1233" s="3">
        <v>1.238725668118605</v>
      </c>
      <c r="U1233" s="3">
        <v>0.88840638477683531</v>
      </c>
      <c r="V1233" s="3">
        <v>2.1984315220395909</v>
      </c>
      <c r="W1233" s="3">
        <v>3.4273420919467994</v>
      </c>
      <c r="X1233" s="3">
        <v>1.9486007389251807</v>
      </c>
      <c r="Y1233" s="3">
        <v>4.1963229326366456</v>
      </c>
      <c r="Z1233" s="3">
        <v>3.1010657496379284</v>
      </c>
      <c r="AA1233" s="3">
        <v>1.8226120184388981</v>
      </c>
      <c r="AB1233" s="3">
        <v>2.4078390653207955</v>
      </c>
      <c r="AC1233" s="3">
        <v>3.623314964106811</v>
      </c>
      <c r="AD1233" s="3"/>
      <c r="AE1233" t="s">
        <v>6286</v>
      </c>
      <c r="AF1233" t="s">
        <v>1991</v>
      </c>
    </row>
    <row r="1234" spans="1:32" x14ac:dyDescent="0.3">
      <c r="A1234" t="s">
        <v>1826</v>
      </c>
      <c r="B1234" s="1" t="s">
        <v>1205</v>
      </c>
      <c r="C1234" s="5" t="s">
        <v>3299</v>
      </c>
      <c r="D1234" s="2" t="s">
        <v>4817</v>
      </c>
      <c r="E1234" s="1" t="s">
        <v>742</v>
      </c>
      <c r="F1234" s="3"/>
      <c r="G1234" s="3"/>
      <c r="H1234" s="3"/>
      <c r="I1234" s="3"/>
      <c r="J1234" s="3"/>
      <c r="K1234" s="3"/>
      <c r="L1234" s="3"/>
      <c r="M1234" s="3"/>
      <c r="N1234" s="3">
        <v>108000000</v>
      </c>
      <c r="O1234" s="3"/>
      <c r="P1234" s="3">
        <v>5500000</v>
      </c>
      <c r="Q1234" s="3">
        <v>5500000</v>
      </c>
      <c r="R1234" s="3">
        <v>50000000</v>
      </c>
      <c r="S1234" s="3">
        <v>350000000</v>
      </c>
      <c r="T1234" s="3">
        <v>269000000</v>
      </c>
      <c r="U1234" s="3"/>
      <c r="V1234" s="3"/>
      <c r="W1234" s="3"/>
      <c r="X1234" s="3"/>
      <c r="Y1234" s="3"/>
      <c r="Z1234" s="3">
        <v>810240000</v>
      </c>
      <c r="AA1234" s="3">
        <v>416180000</v>
      </c>
      <c r="AB1234" s="3"/>
      <c r="AC1234" s="3"/>
      <c r="AD1234" s="3"/>
      <c r="AE1234" t="s">
        <v>6287</v>
      </c>
      <c r="AF1234" t="s">
        <v>174</v>
      </c>
    </row>
    <row r="1235" spans="1:32" x14ac:dyDescent="0.3">
      <c r="A1235" t="s">
        <v>1826</v>
      </c>
      <c r="B1235" s="1" t="s">
        <v>1205</v>
      </c>
      <c r="C1235" s="5" t="s">
        <v>3300</v>
      </c>
      <c r="D1235" s="2" t="s">
        <v>4818</v>
      </c>
      <c r="E1235" s="1" t="s">
        <v>238</v>
      </c>
      <c r="F1235" s="3"/>
      <c r="G1235" s="3"/>
      <c r="H1235" s="3"/>
      <c r="I1235" s="3"/>
      <c r="J1235" s="3"/>
      <c r="K1235" s="3"/>
      <c r="L1235" s="3"/>
      <c r="M1235" s="3"/>
      <c r="N1235" s="3"/>
      <c r="O1235" s="3"/>
      <c r="P1235" s="3"/>
      <c r="Q1235" s="3"/>
      <c r="R1235" s="3">
        <v>700000000</v>
      </c>
      <c r="S1235" s="3"/>
      <c r="T1235" s="3"/>
      <c r="U1235" s="3"/>
      <c r="V1235" s="3"/>
      <c r="W1235" s="3"/>
      <c r="X1235" s="3"/>
      <c r="Y1235" s="3"/>
      <c r="Z1235" s="3"/>
      <c r="AA1235" s="3"/>
      <c r="AB1235" s="3"/>
      <c r="AC1235" s="3"/>
      <c r="AD1235" s="3"/>
      <c r="AE1235" t="s">
        <v>6288</v>
      </c>
      <c r="AF1235" t="s">
        <v>1028</v>
      </c>
    </row>
    <row r="1236" spans="1:32" x14ac:dyDescent="0.3">
      <c r="A1236" t="s">
        <v>1826</v>
      </c>
      <c r="B1236" s="1" t="s">
        <v>1205</v>
      </c>
      <c r="C1236" s="5" t="s">
        <v>3301</v>
      </c>
      <c r="D1236" s="2" t="s">
        <v>4819</v>
      </c>
      <c r="E1236" s="1" t="s">
        <v>1630</v>
      </c>
      <c r="F1236" s="3">
        <v>140000000</v>
      </c>
      <c r="G1236" s="3"/>
      <c r="H1236" s="3"/>
      <c r="I1236" s="3"/>
      <c r="J1236" s="3">
        <v>36400000</v>
      </c>
      <c r="K1236" s="3"/>
      <c r="L1236" s="3"/>
      <c r="M1236" s="3"/>
      <c r="N1236" s="3"/>
      <c r="O1236" s="3"/>
      <c r="P1236" s="3"/>
      <c r="Q1236" s="3"/>
      <c r="R1236" s="3">
        <v>285000000</v>
      </c>
      <c r="S1236" s="3"/>
      <c r="T1236" s="3"/>
      <c r="U1236" s="3"/>
      <c r="V1236" s="3"/>
      <c r="W1236" s="3">
        <v>471300000</v>
      </c>
      <c r="X1236" s="3"/>
      <c r="Y1236" s="3"/>
      <c r="Z1236" s="3"/>
      <c r="AA1236" s="3">
        <v>468310000</v>
      </c>
      <c r="AB1236" s="3">
        <v>175600000</v>
      </c>
      <c r="AC1236" s="3"/>
      <c r="AD1236" s="3"/>
      <c r="AE1236" t="s">
        <v>6289</v>
      </c>
      <c r="AF1236" t="s">
        <v>174</v>
      </c>
    </row>
    <row r="1237" spans="1:32" x14ac:dyDescent="0.3">
      <c r="A1237" t="s">
        <v>1826</v>
      </c>
      <c r="B1237" s="1" t="s">
        <v>1205</v>
      </c>
      <c r="C1237" s="5" t="s">
        <v>3302</v>
      </c>
      <c r="D1237" s="2" t="s">
        <v>4820</v>
      </c>
      <c r="E1237" s="1" t="s">
        <v>130</v>
      </c>
      <c r="F1237" s="3"/>
      <c r="G1237" s="3"/>
      <c r="H1237" s="3"/>
      <c r="I1237" s="3"/>
      <c r="J1237" s="3"/>
      <c r="K1237" s="3"/>
      <c r="L1237" s="3"/>
      <c r="M1237" s="3"/>
      <c r="N1237" s="3"/>
      <c r="O1237" s="3"/>
      <c r="P1237" s="3"/>
      <c r="Q1237" s="3"/>
      <c r="R1237" s="3"/>
      <c r="S1237" s="3"/>
      <c r="T1237" s="3"/>
      <c r="U1237" s="3"/>
      <c r="V1237" s="3"/>
      <c r="W1237" s="3"/>
      <c r="X1237" s="3"/>
      <c r="Y1237" s="3"/>
      <c r="Z1237" s="3">
        <v>192310000</v>
      </c>
      <c r="AA1237" s="3"/>
      <c r="AB1237" s="3"/>
      <c r="AC1237" s="3"/>
      <c r="AD1237" s="3"/>
      <c r="AE1237" t="s">
        <v>6290</v>
      </c>
      <c r="AF1237" t="s">
        <v>174</v>
      </c>
    </row>
    <row r="1238" spans="1:32" x14ac:dyDescent="0.3">
      <c r="A1238" t="s">
        <v>1826</v>
      </c>
      <c r="B1238" s="1" t="s">
        <v>1205</v>
      </c>
      <c r="C1238" s="5" t="s">
        <v>3303</v>
      </c>
      <c r="D1238" s="2" t="s">
        <v>4821</v>
      </c>
      <c r="E1238" s="1" t="s">
        <v>1436</v>
      </c>
      <c r="F1238" s="3"/>
      <c r="G1238" s="3"/>
      <c r="H1238" s="3"/>
      <c r="I1238" s="3"/>
      <c r="J1238" s="3"/>
      <c r="K1238" s="3"/>
      <c r="L1238" s="3"/>
      <c r="M1238" s="3"/>
      <c r="N1238" s="3"/>
      <c r="O1238" s="3"/>
      <c r="P1238" s="3"/>
      <c r="Q1238" s="3"/>
      <c r="R1238" s="3"/>
      <c r="S1238" s="3"/>
      <c r="T1238" s="3">
        <v>77.626785278320298</v>
      </c>
      <c r="U1238" s="3"/>
      <c r="V1238" s="3"/>
      <c r="W1238" s="3"/>
      <c r="X1238" s="3"/>
      <c r="Y1238" s="3">
        <v>77.968696594238196</v>
      </c>
      <c r="Z1238" s="3"/>
      <c r="AA1238" s="3"/>
      <c r="AB1238" s="3"/>
      <c r="AC1238" s="3"/>
      <c r="AD1238" s="3"/>
      <c r="AE1238" t="s">
        <v>6291</v>
      </c>
      <c r="AF1238" t="s">
        <v>1075</v>
      </c>
    </row>
    <row r="1239" spans="1:32" x14ac:dyDescent="0.3">
      <c r="A1239" t="s">
        <v>1826</v>
      </c>
      <c r="B1239" s="1" t="s">
        <v>1205</v>
      </c>
      <c r="C1239" s="5" t="s">
        <v>3304</v>
      </c>
      <c r="D1239" s="2" t="s">
        <v>4822</v>
      </c>
      <c r="E1239" s="1" t="s">
        <v>1941</v>
      </c>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t="s">
        <v>6292</v>
      </c>
      <c r="AF1239" t="s">
        <v>1317</v>
      </c>
    </row>
    <row r="1240" spans="1:32" x14ac:dyDescent="0.3">
      <c r="A1240" t="s">
        <v>1826</v>
      </c>
      <c r="B1240" s="1" t="s">
        <v>1205</v>
      </c>
      <c r="C1240" s="5" t="s">
        <v>3305</v>
      </c>
      <c r="D1240" s="2" t="s">
        <v>4823</v>
      </c>
      <c r="E1240" s="1" t="s">
        <v>577</v>
      </c>
      <c r="F1240" s="3">
        <v>21.99718</v>
      </c>
      <c r="G1240" s="3">
        <v>20.229569999999999</v>
      </c>
      <c r="H1240" s="3">
        <v>21.182639999999999</v>
      </c>
      <c r="I1240" s="3">
        <v>22.325379999999999</v>
      </c>
      <c r="J1240" s="3"/>
      <c r="K1240" s="3"/>
      <c r="L1240" s="3">
        <v>16.49447</v>
      </c>
      <c r="M1240" s="3">
        <v>17.04336</v>
      </c>
      <c r="N1240" s="3">
        <v>15.461040000000001</v>
      </c>
      <c r="O1240" s="3">
        <v>17.348120000000002</v>
      </c>
      <c r="P1240" s="3"/>
      <c r="Q1240" s="3">
        <v>18.962800000000001</v>
      </c>
      <c r="R1240" s="3">
        <v>18.496860000000002</v>
      </c>
      <c r="S1240" s="3">
        <v>20.711040000000001</v>
      </c>
      <c r="T1240" s="3">
        <v>21.849519999999998</v>
      </c>
      <c r="U1240" s="3">
        <v>22.09197</v>
      </c>
      <c r="V1240" s="3">
        <v>22.951879999999999</v>
      </c>
      <c r="W1240" s="3">
        <v>22.91741</v>
      </c>
      <c r="X1240" s="3">
        <v>21.095420000000001</v>
      </c>
      <c r="Y1240" s="3"/>
      <c r="Z1240" s="3"/>
      <c r="AA1240" s="3"/>
      <c r="AB1240" s="3"/>
      <c r="AC1240" s="3"/>
      <c r="AD1240" s="3"/>
      <c r="AE1240" t="s">
        <v>6293</v>
      </c>
      <c r="AF1240" t="s">
        <v>80</v>
      </c>
    </row>
    <row r="1241" spans="1:32" x14ac:dyDescent="0.3">
      <c r="A1241" t="s">
        <v>1826</v>
      </c>
      <c r="B1241" s="1" t="s">
        <v>1205</v>
      </c>
      <c r="C1241" s="5" t="s">
        <v>3306</v>
      </c>
      <c r="D1241" s="2" t="s">
        <v>4824</v>
      </c>
      <c r="E1241" s="1" t="s">
        <v>2032</v>
      </c>
      <c r="F1241" s="3">
        <v>44.973979999999997</v>
      </c>
      <c r="G1241" s="3">
        <v>46.075569999999999</v>
      </c>
      <c r="H1241" s="3">
        <v>43.880459999999999</v>
      </c>
      <c r="I1241" s="3">
        <v>42.356650000000002</v>
      </c>
      <c r="J1241" s="3"/>
      <c r="K1241" s="3"/>
      <c r="L1241" s="3">
        <v>46.108960000000003</v>
      </c>
      <c r="M1241" s="3">
        <v>41.00376</v>
      </c>
      <c r="N1241" s="3">
        <v>41.8902</v>
      </c>
      <c r="O1241" s="3">
        <v>42.127420000000001</v>
      </c>
      <c r="P1241" s="3"/>
      <c r="Q1241" s="3">
        <v>48.846209999999999</v>
      </c>
      <c r="R1241" s="3">
        <v>41.716050000000003</v>
      </c>
      <c r="S1241" s="3">
        <v>41.001170000000002</v>
      </c>
      <c r="T1241" s="3">
        <v>42.526730000000001</v>
      </c>
      <c r="U1241" s="3">
        <v>42.0505</v>
      </c>
      <c r="V1241" s="3">
        <v>42.501019999999997</v>
      </c>
      <c r="W1241" s="3">
        <v>42.426450000000003</v>
      </c>
      <c r="X1241" s="3">
        <v>41.822299999999998</v>
      </c>
      <c r="Y1241" s="3"/>
      <c r="Z1241" s="3"/>
      <c r="AA1241" s="3"/>
      <c r="AB1241" s="3"/>
      <c r="AC1241" s="3"/>
      <c r="AD1241" s="3"/>
      <c r="AE1241" t="s">
        <v>6294</v>
      </c>
      <c r="AF1241" t="s">
        <v>1317</v>
      </c>
    </row>
    <row r="1242" spans="1:32" x14ac:dyDescent="0.3">
      <c r="A1242" t="s">
        <v>1826</v>
      </c>
      <c r="B1242" s="1" t="s">
        <v>1205</v>
      </c>
      <c r="C1242" s="5" t="s">
        <v>3307</v>
      </c>
      <c r="D1242" s="2" t="s">
        <v>4825</v>
      </c>
      <c r="E1242" s="1" t="s">
        <v>1789</v>
      </c>
      <c r="F1242" s="3"/>
      <c r="G1242" s="3"/>
      <c r="H1242" s="3"/>
      <c r="I1242" s="3"/>
      <c r="J1242" s="3"/>
      <c r="K1242" s="3"/>
      <c r="L1242" s="3"/>
      <c r="M1242" s="3"/>
      <c r="N1242" s="3"/>
      <c r="O1242" s="3"/>
      <c r="P1242" s="3"/>
      <c r="Q1242" s="3"/>
      <c r="R1242" s="3"/>
      <c r="S1242" s="3"/>
      <c r="T1242" s="3">
        <v>22.30057</v>
      </c>
      <c r="U1242" s="3"/>
      <c r="V1242" s="3">
        <v>25.836580000000001</v>
      </c>
      <c r="W1242" s="3">
        <v>26.31551</v>
      </c>
      <c r="X1242" s="3">
        <v>27.281140000000001</v>
      </c>
      <c r="Y1242" s="3"/>
      <c r="Z1242" s="3"/>
      <c r="AA1242" s="3"/>
      <c r="AB1242" s="3"/>
      <c r="AC1242" s="3"/>
      <c r="AD1242" s="3"/>
      <c r="AE1242" t="s">
        <v>6295</v>
      </c>
      <c r="AF1242" t="s">
        <v>1199</v>
      </c>
    </row>
    <row r="1243" spans="1:32" x14ac:dyDescent="0.3">
      <c r="A1243" t="s">
        <v>1826</v>
      </c>
      <c r="B1243" s="1" t="s">
        <v>1205</v>
      </c>
      <c r="C1243" s="5" t="s">
        <v>3308</v>
      </c>
      <c r="D1243" s="2" t="s">
        <v>4826</v>
      </c>
      <c r="E1243" s="1" t="s">
        <v>188</v>
      </c>
      <c r="F1243" s="3"/>
      <c r="G1243" s="3"/>
      <c r="H1243" s="3"/>
      <c r="I1243" s="3"/>
      <c r="J1243" s="3"/>
      <c r="K1243" s="3"/>
      <c r="L1243" s="3"/>
      <c r="M1243" s="3"/>
      <c r="N1243" s="3">
        <v>16.389779999999998</v>
      </c>
      <c r="O1243" s="3"/>
      <c r="P1243" s="3">
        <v>14.223599999999999</v>
      </c>
      <c r="Q1243" s="3">
        <v>6.0668699999999998</v>
      </c>
      <c r="R1243" s="3"/>
      <c r="S1243" s="3">
        <v>11.307399999999999</v>
      </c>
      <c r="T1243" s="3">
        <v>9.0542700000000007</v>
      </c>
      <c r="U1243" s="3">
        <v>10.28717</v>
      </c>
      <c r="V1243" s="3">
        <v>11.538320000000001</v>
      </c>
      <c r="W1243" s="3">
        <v>11.674379999999999</v>
      </c>
      <c r="X1243" s="3"/>
      <c r="Y1243" s="3"/>
      <c r="Z1243" s="3"/>
      <c r="AA1243" s="3"/>
      <c r="AB1243" s="3"/>
      <c r="AC1243" s="3"/>
      <c r="AD1243" s="3"/>
      <c r="AE1243" t="s">
        <v>6296</v>
      </c>
      <c r="AF1243" t="s">
        <v>1317</v>
      </c>
    </row>
    <row r="1244" spans="1:32" x14ac:dyDescent="0.3">
      <c r="A1244" t="s">
        <v>1826</v>
      </c>
      <c r="B1244" s="1" t="s">
        <v>1205</v>
      </c>
      <c r="C1244" s="5" t="s">
        <v>3309</v>
      </c>
      <c r="D1244" s="2" t="s">
        <v>4827</v>
      </c>
      <c r="E1244" s="1" t="s">
        <v>398</v>
      </c>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t="s">
        <v>6297</v>
      </c>
      <c r="AF1244" t="s">
        <v>1317</v>
      </c>
    </row>
    <row r="1245" spans="1:32" x14ac:dyDescent="0.3">
      <c r="A1245" t="s">
        <v>1826</v>
      </c>
      <c r="B1245" s="1" t="s">
        <v>1205</v>
      </c>
      <c r="C1245" s="5" t="s">
        <v>3310</v>
      </c>
      <c r="D1245" s="2" t="s">
        <v>4828</v>
      </c>
      <c r="E1245" s="1" t="s">
        <v>2001</v>
      </c>
      <c r="F1245" s="3">
        <v>639</v>
      </c>
      <c r="G1245" s="3">
        <v>639</v>
      </c>
      <c r="H1245" s="3">
        <v>639</v>
      </c>
      <c r="I1245" s="3">
        <v>639</v>
      </c>
      <c r="J1245" s="3">
        <v>639</v>
      </c>
      <c r="K1245" s="3">
        <v>639</v>
      </c>
      <c r="L1245" s="3">
        <v>639</v>
      </c>
      <c r="M1245" s="3">
        <v>639</v>
      </c>
      <c r="N1245" s="3">
        <v>639</v>
      </c>
      <c r="O1245" s="3">
        <v>639</v>
      </c>
      <c r="P1245" s="3">
        <v>639</v>
      </c>
      <c r="Q1245" s="3">
        <v>639</v>
      </c>
      <c r="R1245" s="3">
        <v>639</v>
      </c>
      <c r="S1245" s="3">
        <v>639</v>
      </c>
      <c r="T1245" s="3">
        <v>639</v>
      </c>
      <c r="U1245" s="3">
        <v>639</v>
      </c>
      <c r="V1245" s="3">
        <v>639</v>
      </c>
      <c r="W1245" s="3">
        <v>639</v>
      </c>
      <c r="X1245" s="3">
        <v>639</v>
      </c>
      <c r="Y1245" s="3">
        <v>639</v>
      </c>
      <c r="Z1245" s="3">
        <v>639</v>
      </c>
      <c r="AA1245" s="3">
        <v>639</v>
      </c>
      <c r="AB1245" s="3"/>
      <c r="AC1245" s="3"/>
      <c r="AD1245" s="3"/>
      <c r="AE1245" t="s">
        <v>6298</v>
      </c>
      <c r="AF1245" t="s">
        <v>1439</v>
      </c>
    </row>
    <row r="1246" spans="1:32" x14ac:dyDescent="0.3">
      <c r="A1246" t="s">
        <v>1826</v>
      </c>
      <c r="B1246" s="1" t="s">
        <v>1205</v>
      </c>
      <c r="C1246" s="5" t="s">
        <v>3311</v>
      </c>
      <c r="D1246" s="2" t="s">
        <v>4829</v>
      </c>
      <c r="E1246" s="1" t="s">
        <v>1692</v>
      </c>
      <c r="F1246" s="3">
        <v>523</v>
      </c>
      <c r="G1246" s="3">
        <v>699</v>
      </c>
      <c r="H1246" s="3">
        <v>606</v>
      </c>
      <c r="I1246" s="3">
        <v>129</v>
      </c>
      <c r="J1246" s="3">
        <v>501</v>
      </c>
      <c r="K1246" s="3">
        <v>675</v>
      </c>
      <c r="L1246" s="3"/>
      <c r="M1246" s="3"/>
      <c r="N1246" s="3"/>
      <c r="O1246" s="3"/>
      <c r="P1246" s="3"/>
      <c r="Q1246" s="3"/>
      <c r="R1246" s="3"/>
      <c r="S1246" s="3"/>
      <c r="T1246" s="3"/>
      <c r="U1246" s="3"/>
      <c r="V1246" s="3"/>
      <c r="W1246" s="3"/>
      <c r="X1246" s="3"/>
      <c r="Y1246" s="3"/>
      <c r="Z1246" s="3"/>
      <c r="AA1246" s="3"/>
      <c r="AB1246" s="3"/>
      <c r="AC1246" s="3"/>
      <c r="AD1246" s="3"/>
      <c r="AE1246" t="s">
        <v>6299</v>
      </c>
      <c r="AF1246" t="s">
        <v>300</v>
      </c>
    </row>
    <row r="1247" spans="1:32" x14ac:dyDescent="0.3">
      <c r="A1247" t="s">
        <v>1826</v>
      </c>
      <c r="B1247" s="1" t="s">
        <v>1205</v>
      </c>
      <c r="C1247" s="5" t="s">
        <v>3312</v>
      </c>
      <c r="D1247" s="2" t="s">
        <v>4830</v>
      </c>
      <c r="E1247" s="1" t="s">
        <v>1747</v>
      </c>
      <c r="F1247" s="3">
        <v>125.91</v>
      </c>
      <c r="G1247" s="3">
        <v>182</v>
      </c>
      <c r="H1247" s="3">
        <v>148</v>
      </c>
      <c r="I1247" s="3">
        <v>10</v>
      </c>
      <c r="J1247" s="3"/>
      <c r="K1247" s="3"/>
      <c r="L1247" s="3"/>
      <c r="M1247" s="3"/>
      <c r="N1247" s="3"/>
      <c r="O1247" s="3"/>
      <c r="P1247" s="3"/>
      <c r="Q1247" s="3"/>
      <c r="R1247" s="3"/>
      <c r="S1247" s="3"/>
      <c r="T1247" s="3"/>
      <c r="U1247" s="3"/>
      <c r="V1247" s="3"/>
      <c r="W1247" s="3"/>
      <c r="X1247" s="3"/>
      <c r="Y1247" s="3"/>
      <c r="Z1247" s="3"/>
      <c r="AA1247" s="3"/>
      <c r="AB1247" s="3"/>
      <c r="AC1247" s="3"/>
      <c r="AD1247" s="3"/>
      <c r="AE1247" t="s">
        <v>6300</v>
      </c>
      <c r="AF1247" t="s">
        <v>1050</v>
      </c>
    </row>
    <row r="1248" spans="1:32" x14ac:dyDescent="0.3">
      <c r="A1248" t="s">
        <v>1826</v>
      </c>
      <c r="B1248" s="1" t="s">
        <v>1205</v>
      </c>
      <c r="C1248" s="5" t="s">
        <v>3313</v>
      </c>
      <c r="D1248" s="2" t="s">
        <v>4831</v>
      </c>
      <c r="E1248" s="1" t="s">
        <v>1955</v>
      </c>
      <c r="F1248" s="3">
        <v>62.697474074719587</v>
      </c>
      <c r="G1248" s="3">
        <v>64.480737123561099</v>
      </c>
      <c r="H1248" s="3">
        <v>66.301210310426896</v>
      </c>
      <c r="I1248" s="3">
        <v>68.162024799192949</v>
      </c>
      <c r="J1248" s="3">
        <v>70.061191626409013</v>
      </c>
      <c r="K1248" s="3">
        <v>71.99953209077438</v>
      </c>
      <c r="L1248" s="3">
        <v>73.981585919261349</v>
      </c>
      <c r="M1248" s="3">
        <v>76.003970880211781</v>
      </c>
      <c r="N1248" s="3">
        <v>78.071335979366296</v>
      </c>
      <c r="O1248" s="3">
        <v>80.183013240117134</v>
      </c>
      <c r="P1248" s="3">
        <v>82.340353029373688</v>
      </c>
      <c r="Q1248" s="3">
        <v>84.544753723741096</v>
      </c>
      <c r="R1248" s="3">
        <v>86.798198047885208</v>
      </c>
      <c r="S1248" s="3">
        <v>84.398987536798089</v>
      </c>
      <c r="T1248" s="3">
        <v>82.05613328251755</v>
      </c>
      <c r="U1248" s="3">
        <v>79.765127334922497</v>
      </c>
      <c r="V1248" s="3">
        <v>77.526787142171756</v>
      </c>
      <c r="W1248" s="3">
        <v>77.409541244884778</v>
      </c>
      <c r="X1248" s="3">
        <v>77.303884234577296</v>
      </c>
      <c r="Y1248" s="3">
        <v>77.209379037356726</v>
      </c>
      <c r="Z1248" s="3">
        <v>77.58415190497719</v>
      </c>
      <c r="AA1248" s="3">
        <v>78.358610304399264</v>
      </c>
      <c r="AB1248" s="3">
        <v>78.930598693370456</v>
      </c>
      <c r="AC1248" s="3">
        <v>79.243962198109912</v>
      </c>
      <c r="AD1248" s="3">
        <v>79.27810188491128</v>
      </c>
      <c r="AE1248" t="s">
        <v>5899</v>
      </c>
      <c r="AF1248" t="s">
        <v>631</v>
      </c>
    </row>
    <row r="1249" spans="1:32" x14ac:dyDescent="0.3">
      <c r="A1249" t="s">
        <v>1826</v>
      </c>
      <c r="B1249" s="1" t="s">
        <v>1205</v>
      </c>
      <c r="C1249" s="5" t="s">
        <v>3314</v>
      </c>
      <c r="D1249" s="2" t="s">
        <v>4832</v>
      </c>
      <c r="E1249" s="1" t="s">
        <v>456</v>
      </c>
      <c r="F1249" s="3"/>
      <c r="G1249" s="3"/>
      <c r="H1249" s="3"/>
      <c r="I1249" s="3"/>
      <c r="J1249" s="3"/>
      <c r="K1249" s="3"/>
      <c r="L1249" s="3"/>
      <c r="M1249" s="3"/>
      <c r="N1249" s="3"/>
      <c r="O1249" s="3"/>
      <c r="P1249" s="3"/>
      <c r="Q1249" s="3"/>
      <c r="R1249" s="3">
        <v>86.797900991198588</v>
      </c>
      <c r="S1249" s="3">
        <v>86.006007490821887</v>
      </c>
      <c r="T1249" s="3"/>
      <c r="U1249" s="3"/>
      <c r="V1249" s="3">
        <v>77.526266790796655</v>
      </c>
      <c r="W1249" s="3">
        <v>70.321971427701115</v>
      </c>
      <c r="X1249" s="3"/>
      <c r="Y1249" s="3">
        <v>77.209072436707118</v>
      </c>
      <c r="Z1249" s="3"/>
      <c r="AA1249" s="3"/>
      <c r="AB1249" s="3">
        <v>78.885696505885306</v>
      </c>
      <c r="AC1249" s="3"/>
      <c r="AD1249" s="3"/>
      <c r="AE1249" t="s">
        <v>6301</v>
      </c>
      <c r="AF1249" t="s">
        <v>631</v>
      </c>
    </row>
    <row r="1250" spans="1:32" x14ac:dyDescent="0.3">
      <c r="A1250" t="s">
        <v>1826</v>
      </c>
      <c r="B1250" s="1" t="s">
        <v>1205</v>
      </c>
      <c r="C1250" s="5" t="s">
        <v>3315</v>
      </c>
      <c r="D1250" s="2" t="s">
        <v>4833</v>
      </c>
      <c r="E1250" s="1" t="s">
        <v>1556</v>
      </c>
      <c r="F1250" s="3">
        <v>86.571168650131696</v>
      </c>
      <c r="G1250" s="3">
        <v>89.646081473935496</v>
      </c>
      <c r="H1250" s="3">
        <v>93.210886269704005</v>
      </c>
      <c r="I1250" s="3">
        <v>99.677312449499595</v>
      </c>
      <c r="J1250" s="3">
        <v>100.920995829842</v>
      </c>
      <c r="K1250" s="3">
        <v>101.12366864491</v>
      </c>
      <c r="L1250" s="3">
        <v>100.891596804412</v>
      </c>
      <c r="M1250" s="3">
        <v>102.585134381111</v>
      </c>
      <c r="N1250" s="3">
        <v>107.05560016315199</v>
      </c>
      <c r="O1250" s="3">
        <v>107.356629913704</v>
      </c>
      <c r="P1250" s="3">
        <v>100</v>
      </c>
      <c r="Q1250" s="3">
        <v>102.200325904811</v>
      </c>
      <c r="R1250" s="3">
        <v>97.3086788982028</v>
      </c>
      <c r="S1250" s="3">
        <v>100.461584180188</v>
      </c>
      <c r="T1250" s="3">
        <v>100.693647189944</v>
      </c>
      <c r="U1250" s="3">
        <v>93.759341632766393</v>
      </c>
      <c r="V1250" s="3">
        <v>94.826988768359897</v>
      </c>
      <c r="W1250" s="3">
        <v>95.128101585189995</v>
      </c>
      <c r="X1250" s="3">
        <v>96.2060835558826</v>
      </c>
      <c r="Y1250" s="3">
        <v>92.282859723361597</v>
      </c>
      <c r="Z1250" s="3">
        <v>95.719643812625904</v>
      </c>
      <c r="AA1250" s="3">
        <v>97.592442572367901</v>
      </c>
      <c r="AB1250" s="3">
        <v>92.936217425495897</v>
      </c>
      <c r="AC1250" s="3">
        <v>96.958300751024396</v>
      </c>
      <c r="AD1250" s="3">
        <v>99.377335071472899</v>
      </c>
      <c r="AE1250" t="s">
        <v>6302</v>
      </c>
      <c r="AF1250" t="s">
        <v>1288</v>
      </c>
    </row>
    <row r="1251" spans="1:32" x14ac:dyDescent="0.3">
      <c r="A1251" t="s">
        <v>1826</v>
      </c>
      <c r="B1251" s="1" t="s">
        <v>1205</v>
      </c>
      <c r="C1251" s="5" t="s">
        <v>3316</v>
      </c>
      <c r="D1251" s="2" t="s">
        <v>4834</v>
      </c>
      <c r="E1251" s="1" t="s">
        <v>1867</v>
      </c>
      <c r="F1251" s="3"/>
      <c r="G1251" s="3"/>
      <c r="H1251" s="3"/>
      <c r="I1251" s="3"/>
      <c r="J1251" s="3"/>
      <c r="K1251" s="3">
        <v>5.763991452895274</v>
      </c>
      <c r="L1251" s="3">
        <v>3.3318308913526398</v>
      </c>
      <c r="M1251" s="3">
        <v>1.6132899627415895</v>
      </c>
      <c r="N1251" s="3">
        <v>-0.3689437177831274</v>
      </c>
      <c r="O1251" s="3">
        <v>3.7247341350034362</v>
      </c>
      <c r="P1251" s="3">
        <v>3.543389896402267</v>
      </c>
      <c r="Q1251" s="3">
        <v>-0.42891566348671928</v>
      </c>
      <c r="R1251" s="3">
        <v>5.4653504188588906</v>
      </c>
      <c r="S1251" s="3">
        <v>2.3433574934127068</v>
      </c>
      <c r="T1251" s="3">
        <v>0.89170076143753552</v>
      </c>
      <c r="U1251" s="3">
        <v>0.3612329553837289</v>
      </c>
      <c r="V1251" s="3">
        <v>6.5521366693100509</v>
      </c>
      <c r="W1251" s="3">
        <v>6.2467482029515136</v>
      </c>
      <c r="X1251" s="3"/>
      <c r="Y1251" s="3"/>
      <c r="Z1251" s="3"/>
      <c r="AA1251" s="3"/>
      <c r="AB1251" s="3"/>
      <c r="AC1251" s="3"/>
      <c r="AD1251" s="3"/>
      <c r="AE1251" t="s">
        <v>6303</v>
      </c>
      <c r="AF1251" t="s">
        <v>1714</v>
      </c>
    </row>
    <row r="1252" spans="1:32" x14ac:dyDescent="0.3">
      <c r="A1252" t="s">
        <v>1826</v>
      </c>
      <c r="B1252" s="1" t="s">
        <v>1205</v>
      </c>
      <c r="C1252" s="5" t="s">
        <v>3317</v>
      </c>
      <c r="D1252" s="2" t="s">
        <v>4835</v>
      </c>
      <c r="E1252" s="1" t="s">
        <v>1010</v>
      </c>
      <c r="F1252" s="3">
        <v>120694</v>
      </c>
      <c r="G1252" s="3">
        <v>126239</v>
      </c>
      <c r="H1252" s="3">
        <v>44751</v>
      </c>
      <c r="I1252" s="3">
        <v>75967</v>
      </c>
      <c r="J1252" s="3">
        <v>72084</v>
      </c>
      <c r="K1252" s="3">
        <v>41624</v>
      </c>
      <c r="L1252" s="3">
        <v>27279</v>
      </c>
      <c r="M1252" s="3">
        <v>24640</v>
      </c>
      <c r="N1252" s="3">
        <v>24802</v>
      </c>
      <c r="O1252" s="3">
        <v>24598</v>
      </c>
      <c r="P1252" s="3">
        <v>26213</v>
      </c>
      <c r="Q1252" s="3">
        <v>24212</v>
      </c>
      <c r="R1252" s="3">
        <v>3972</v>
      </c>
      <c r="S1252" s="3">
        <v>2970</v>
      </c>
      <c r="T1252" s="3">
        <v>1918</v>
      </c>
      <c r="U1252" s="3">
        <v>1972</v>
      </c>
      <c r="V1252" s="3">
        <v>1397</v>
      </c>
      <c r="W1252" s="3">
        <v>1559</v>
      </c>
      <c r="X1252" s="3">
        <v>1808</v>
      </c>
      <c r="Y1252" s="3">
        <v>2020</v>
      </c>
      <c r="Z1252" s="3">
        <v>2086</v>
      </c>
      <c r="AA1252" s="3">
        <v>4349</v>
      </c>
      <c r="AB1252" s="3">
        <v>2251</v>
      </c>
      <c r="AC1252" s="3">
        <v>2370</v>
      </c>
      <c r="AD1252" s="3"/>
      <c r="AE1252" t="s">
        <v>6304</v>
      </c>
      <c r="AF1252" t="s">
        <v>31</v>
      </c>
    </row>
    <row r="1253" spans="1:32" x14ac:dyDescent="0.3">
      <c r="A1253" t="s">
        <v>1826</v>
      </c>
      <c r="B1253" s="1" t="s">
        <v>1205</v>
      </c>
      <c r="C1253" s="5" t="s">
        <v>3318</v>
      </c>
      <c r="D1253" s="2" t="s">
        <v>4836</v>
      </c>
      <c r="E1253" s="1" t="s">
        <v>1194</v>
      </c>
      <c r="F1253" s="3">
        <v>771</v>
      </c>
      <c r="G1253" s="3">
        <v>856</v>
      </c>
      <c r="H1253" s="3">
        <v>23731</v>
      </c>
      <c r="I1253" s="3">
        <v>33625</v>
      </c>
      <c r="J1253" s="3">
        <v>23649</v>
      </c>
      <c r="K1253" s="3">
        <v>18333</v>
      </c>
      <c r="L1253" s="3">
        <v>26304</v>
      </c>
      <c r="M1253" s="3">
        <v>22222</v>
      </c>
      <c r="N1253" s="3">
        <v>22218</v>
      </c>
      <c r="O1253" s="3">
        <v>23148</v>
      </c>
      <c r="P1253" s="3">
        <v>41747</v>
      </c>
      <c r="Q1253" s="3">
        <v>154818</v>
      </c>
      <c r="R1253" s="3">
        <v>100709</v>
      </c>
      <c r="S1253" s="3">
        <v>85650</v>
      </c>
      <c r="T1253" s="3">
        <v>71956</v>
      </c>
      <c r="U1253" s="3">
        <v>71107</v>
      </c>
      <c r="V1253" s="3">
        <v>46811</v>
      </c>
      <c r="W1253" s="3">
        <v>40009</v>
      </c>
      <c r="X1253" s="3">
        <v>38316</v>
      </c>
      <c r="Y1253" s="3">
        <v>39351</v>
      </c>
      <c r="Z1253" s="3">
        <v>37525</v>
      </c>
      <c r="AA1253" s="3">
        <v>39940</v>
      </c>
      <c r="AB1253" s="3">
        <v>25148</v>
      </c>
      <c r="AC1253" s="3">
        <v>25994</v>
      </c>
      <c r="AD1253" s="3"/>
      <c r="AE1253" t="s">
        <v>6304</v>
      </c>
      <c r="AF1253" t="s">
        <v>31</v>
      </c>
    </row>
    <row r="1254" spans="1:32" x14ac:dyDescent="0.3">
      <c r="A1254" t="s">
        <v>1826</v>
      </c>
      <c r="B1254" s="1" t="s">
        <v>1205</v>
      </c>
      <c r="C1254" s="5" t="s">
        <v>3319</v>
      </c>
      <c r="D1254" s="2" t="s">
        <v>4837</v>
      </c>
      <c r="E1254" s="1" t="s">
        <v>1421</v>
      </c>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t="s">
        <v>6305</v>
      </c>
      <c r="AF1254" t="s">
        <v>1053</v>
      </c>
    </row>
    <row r="1255" spans="1:32" x14ac:dyDescent="0.3">
      <c r="A1255" t="s">
        <v>1826</v>
      </c>
      <c r="B1255" s="1" t="s">
        <v>1205</v>
      </c>
      <c r="C1255" s="5" t="s">
        <v>3320</v>
      </c>
      <c r="D1255" s="2" t="s">
        <v>4838</v>
      </c>
      <c r="E1255" s="1" t="s">
        <v>1615</v>
      </c>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t="s">
        <v>6305</v>
      </c>
      <c r="AF1255" t="s">
        <v>1053</v>
      </c>
    </row>
    <row r="1256" spans="1:32" x14ac:dyDescent="0.3">
      <c r="A1256" t="s">
        <v>1826</v>
      </c>
      <c r="B1256" s="1" t="s">
        <v>1205</v>
      </c>
      <c r="C1256" s="5" t="s">
        <v>3321</v>
      </c>
      <c r="D1256" s="2" t="s">
        <v>4839</v>
      </c>
      <c r="E1256" s="1" t="s">
        <v>537</v>
      </c>
      <c r="F1256" s="3">
        <v>-0.55406945943832397</v>
      </c>
      <c r="G1256" s="3"/>
      <c r="H1256" s="3">
        <v>-0.42042642831802401</v>
      </c>
      <c r="I1256" s="3">
        <v>-0.75179332494735696</v>
      </c>
      <c r="J1256" s="3">
        <v>-1.0320169925689699</v>
      </c>
      <c r="K1256" s="3">
        <v>-0.95539408922195401</v>
      </c>
      <c r="L1256" s="3">
        <v>-0.928464114665985</v>
      </c>
      <c r="M1256" s="3">
        <v>-0.88173198699951205</v>
      </c>
      <c r="N1256" s="3">
        <v>-0.92974680662155196</v>
      </c>
      <c r="O1256" s="3">
        <v>-0.97275155782699596</v>
      </c>
      <c r="P1256" s="3">
        <v>-0.92622256278991699</v>
      </c>
      <c r="Q1256" s="3">
        <v>-0.88940107822418202</v>
      </c>
      <c r="R1256" s="3">
        <v>-0.776178419589996</v>
      </c>
      <c r="S1256" s="3">
        <v>-0.75343978404998802</v>
      </c>
      <c r="T1256" s="3">
        <v>-0.618877172470093</v>
      </c>
      <c r="U1256" s="3">
        <v>-0.55492651462554898</v>
      </c>
      <c r="V1256" s="3">
        <v>-0.42282676696777299</v>
      </c>
      <c r="W1256" s="3">
        <v>-0.40688040852546697</v>
      </c>
      <c r="X1256" s="3">
        <v>-0.25471252202987699</v>
      </c>
      <c r="Y1256" s="3">
        <v>-0.30006745457649198</v>
      </c>
      <c r="Z1256" s="3">
        <v>-0.381347745656967</v>
      </c>
      <c r="AA1256" s="3">
        <v>-0.26879715919494601</v>
      </c>
      <c r="AB1256" s="3">
        <v>-0.152012959122658</v>
      </c>
      <c r="AC1256" s="3">
        <v>-0.11608137935399999</v>
      </c>
      <c r="AD1256" s="3"/>
      <c r="AE1256" t="s">
        <v>6306</v>
      </c>
    </row>
    <row r="1257" spans="1:32" x14ac:dyDescent="0.3">
      <c r="A1257" t="s">
        <v>1826</v>
      </c>
      <c r="B1257" s="1" t="s">
        <v>1205</v>
      </c>
      <c r="C1257" s="5" t="s">
        <v>3322</v>
      </c>
      <c r="D1257" s="2" t="s">
        <v>4840</v>
      </c>
      <c r="E1257" s="1" t="s">
        <v>221</v>
      </c>
      <c r="F1257" s="3">
        <v>4</v>
      </c>
      <c r="G1257" s="3"/>
      <c r="H1257" s="3">
        <v>5</v>
      </c>
      <c r="I1257" s="3">
        <v>5</v>
      </c>
      <c r="J1257" s="3">
        <v>7</v>
      </c>
      <c r="K1257" s="3">
        <v>8</v>
      </c>
      <c r="L1257" s="3">
        <v>9</v>
      </c>
      <c r="M1257" s="3">
        <v>8</v>
      </c>
      <c r="N1257" s="3">
        <v>10</v>
      </c>
      <c r="O1257" s="3">
        <v>10</v>
      </c>
      <c r="P1257" s="3">
        <v>10</v>
      </c>
      <c r="Q1257" s="3">
        <v>10</v>
      </c>
      <c r="R1257" s="3">
        <v>11</v>
      </c>
      <c r="S1257" s="3">
        <v>11</v>
      </c>
      <c r="T1257" s="3">
        <v>11</v>
      </c>
      <c r="U1257" s="3">
        <v>11</v>
      </c>
      <c r="V1257" s="3">
        <v>11</v>
      </c>
      <c r="W1257" s="3">
        <v>10</v>
      </c>
      <c r="X1257" s="3">
        <v>10</v>
      </c>
      <c r="Y1257" s="3">
        <v>11</v>
      </c>
      <c r="Z1257" s="3">
        <v>10</v>
      </c>
      <c r="AA1257" s="3">
        <v>10</v>
      </c>
      <c r="AB1257" s="3">
        <v>10</v>
      </c>
      <c r="AC1257" s="3">
        <v>11</v>
      </c>
      <c r="AD1257" s="3"/>
      <c r="AE1257" t="s">
        <v>6307</v>
      </c>
      <c r="AF1257" t="s">
        <v>751</v>
      </c>
    </row>
    <row r="1258" spans="1:32" x14ac:dyDescent="0.3">
      <c r="A1258" t="s">
        <v>1826</v>
      </c>
      <c r="B1258" s="1" t="s">
        <v>1205</v>
      </c>
      <c r="C1258" s="5" t="s">
        <v>3323</v>
      </c>
      <c r="D1258" s="2" t="s">
        <v>4841</v>
      </c>
      <c r="E1258" s="1" t="s">
        <v>340</v>
      </c>
      <c r="F1258" s="3">
        <v>28.260869979858398</v>
      </c>
      <c r="G1258" s="3"/>
      <c r="H1258" s="3">
        <v>38.378379821777301</v>
      </c>
      <c r="I1258" s="3">
        <v>22.702703475952099</v>
      </c>
      <c r="J1258" s="3">
        <v>15.920397758483899</v>
      </c>
      <c r="K1258" s="3">
        <v>19.117647171020501</v>
      </c>
      <c r="L1258" s="3">
        <v>19.117647171020501</v>
      </c>
      <c r="M1258" s="3">
        <v>19.902912139892599</v>
      </c>
      <c r="N1258" s="3">
        <v>18.446601867675799</v>
      </c>
      <c r="O1258" s="3">
        <v>17.224880218505898</v>
      </c>
      <c r="P1258" s="3">
        <v>19.138755798339801</v>
      </c>
      <c r="Q1258" s="3">
        <v>21.800947189331101</v>
      </c>
      <c r="R1258" s="3">
        <v>24.6445503234863</v>
      </c>
      <c r="S1258" s="3">
        <v>24.6445503234863</v>
      </c>
      <c r="T1258" s="3">
        <v>30.2884616851807</v>
      </c>
      <c r="U1258" s="3">
        <v>32.380950927734403</v>
      </c>
      <c r="V1258" s="3">
        <v>37.619049072265597</v>
      </c>
      <c r="W1258" s="3">
        <v>35.238094329833999</v>
      </c>
      <c r="X1258" s="3">
        <v>43.809524536132798</v>
      </c>
      <c r="Y1258" s="3">
        <v>42.380950927734403</v>
      </c>
      <c r="Z1258" s="3">
        <v>37.619049072265597</v>
      </c>
      <c r="AA1258" s="3">
        <v>43.333332061767599</v>
      </c>
      <c r="AB1258" s="3">
        <v>46.226413726806598</v>
      </c>
      <c r="AC1258" s="3">
        <v>48.584907531738303</v>
      </c>
      <c r="AD1258" s="3"/>
      <c r="AE1258" t="s">
        <v>6308</v>
      </c>
    </row>
    <row r="1259" spans="1:32" x14ac:dyDescent="0.3">
      <c r="A1259" t="s">
        <v>1826</v>
      </c>
      <c r="B1259" s="1" t="s">
        <v>1205</v>
      </c>
      <c r="C1259" s="5" t="s">
        <v>3324</v>
      </c>
      <c r="D1259" s="2" t="s">
        <v>4842</v>
      </c>
      <c r="E1259" s="1" t="s">
        <v>163</v>
      </c>
      <c r="F1259" s="3">
        <v>14.673913002014199</v>
      </c>
      <c r="G1259" s="3"/>
      <c r="H1259" s="3">
        <v>21.081081390380898</v>
      </c>
      <c r="I1259" s="3">
        <v>15.135134696960399</v>
      </c>
      <c r="J1259" s="3">
        <v>7.46268653869629</v>
      </c>
      <c r="K1259" s="3">
        <v>11.2745094299316</v>
      </c>
      <c r="L1259" s="3">
        <v>10.784314155578601</v>
      </c>
      <c r="M1259" s="3">
        <v>11.650485038757299</v>
      </c>
      <c r="N1259" s="3">
        <v>10.6796112060547</v>
      </c>
      <c r="O1259" s="3">
        <v>8.13397121429443</v>
      </c>
      <c r="P1259" s="3">
        <v>10.0478467941284</v>
      </c>
      <c r="Q1259" s="3">
        <v>11.374407768249499</v>
      </c>
      <c r="R1259" s="3">
        <v>14.218009948730501</v>
      </c>
      <c r="S1259" s="3">
        <v>15.6398105621338</v>
      </c>
      <c r="T1259" s="3">
        <v>18.75</v>
      </c>
      <c r="U1259" s="3">
        <v>23.809524536132798</v>
      </c>
      <c r="V1259" s="3">
        <v>26.6666660308838</v>
      </c>
      <c r="W1259" s="3">
        <v>27.619047164916999</v>
      </c>
      <c r="X1259" s="3">
        <v>32.857143402099602</v>
      </c>
      <c r="Y1259" s="3">
        <v>30.476190567016602</v>
      </c>
      <c r="Z1259" s="3">
        <v>30</v>
      </c>
      <c r="AA1259" s="3">
        <v>32.857143402099602</v>
      </c>
      <c r="AB1259" s="3">
        <v>35.849056243896499</v>
      </c>
      <c r="AC1259" s="3">
        <v>36.792453765869098</v>
      </c>
      <c r="AD1259" s="3"/>
      <c r="AE1259" t="s">
        <v>6309</v>
      </c>
      <c r="AF1259" t="s">
        <v>453</v>
      </c>
    </row>
    <row r="1260" spans="1:32" x14ac:dyDescent="0.3">
      <c r="A1260" t="s">
        <v>1826</v>
      </c>
      <c r="B1260" s="1" t="s">
        <v>1205</v>
      </c>
      <c r="C1260" s="5" t="s">
        <v>3325</v>
      </c>
      <c r="D1260" s="2" t="s">
        <v>4843</v>
      </c>
      <c r="E1260" s="1" t="s">
        <v>1733</v>
      </c>
      <c r="F1260" s="3">
        <v>51.630435943603501</v>
      </c>
      <c r="G1260" s="3"/>
      <c r="H1260" s="3">
        <v>53.513511657714801</v>
      </c>
      <c r="I1260" s="3">
        <v>37.837837219238303</v>
      </c>
      <c r="J1260" s="3">
        <v>21.890546798706101</v>
      </c>
      <c r="K1260" s="3">
        <v>24.509803771972699</v>
      </c>
      <c r="L1260" s="3">
        <v>25.490196228027301</v>
      </c>
      <c r="M1260" s="3">
        <v>26.699029922485401</v>
      </c>
      <c r="N1260" s="3">
        <v>27.184465408325199</v>
      </c>
      <c r="O1260" s="3">
        <v>25.358852386474599</v>
      </c>
      <c r="P1260" s="3">
        <v>26.315790176391602</v>
      </c>
      <c r="Q1260" s="3">
        <v>28.9099521636963</v>
      </c>
      <c r="R1260" s="3">
        <v>32.701423645019503</v>
      </c>
      <c r="S1260" s="3">
        <v>34.597156524658203</v>
      </c>
      <c r="T1260" s="3">
        <v>40.865383148193402</v>
      </c>
      <c r="U1260" s="3">
        <v>43.809524536132798</v>
      </c>
      <c r="V1260" s="3">
        <v>47.142856597900398</v>
      </c>
      <c r="W1260" s="3">
        <v>47.142856597900398</v>
      </c>
      <c r="X1260" s="3">
        <v>54.285713195800803</v>
      </c>
      <c r="Y1260" s="3">
        <v>50.476188659667997</v>
      </c>
      <c r="Z1260" s="3">
        <v>48.095237731933601</v>
      </c>
      <c r="AA1260" s="3">
        <v>51.904762268066399</v>
      </c>
      <c r="AB1260" s="3">
        <v>55.660377502441399</v>
      </c>
      <c r="AC1260" s="3">
        <v>57.547168731689503</v>
      </c>
      <c r="AD1260" s="3"/>
      <c r="AE1260" t="s">
        <v>6310</v>
      </c>
      <c r="AF1260" t="s">
        <v>126</v>
      </c>
    </row>
    <row r="1261" spans="1:32" x14ac:dyDescent="0.3">
      <c r="A1261" t="s">
        <v>1826</v>
      </c>
      <c r="B1261" s="1" t="s">
        <v>1205</v>
      </c>
      <c r="C1261" s="5" t="s">
        <v>3326</v>
      </c>
      <c r="D1261" s="2" t="s">
        <v>4844</v>
      </c>
      <c r="E1261" s="1" t="s">
        <v>1352</v>
      </c>
      <c r="F1261" s="3">
        <v>0.307668596506119</v>
      </c>
      <c r="G1261" s="3"/>
      <c r="H1261" s="3">
        <v>0.231155306100845</v>
      </c>
      <c r="I1261" s="3">
        <v>0.195213377475739</v>
      </c>
      <c r="J1261" s="3">
        <v>0.17682872712612199</v>
      </c>
      <c r="K1261" s="3">
        <v>0.14942698180675501</v>
      </c>
      <c r="L1261" s="3">
        <v>0.162842601537704</v>
      </c>
      <c r="M1261" s="3">
        <v>0.16218130290508301</v>
      </c>
      <c r="N1261" s="3">
        <v>0.15564291179180101</v>
      </c>
      <c r="O1261" s="3">
        <v>0.15476694703102101</v>
      </c>
      <c r="P1261" s="3">
        <v>0.150725036859512</v>
      </c>
      <c r="Q1261" s="3">
        <v>0.15475778281688701</v>
      </c>
      <c r="R1261" s="3">
        <v>0.17118364572524999</v>
      </c>
      <c r="S1261" s="3">
        <v>0.17023217678070099</v>
      </c>
      <c r="T1261" s="3">
        <v>0.17141206562519101</v>
      </c>
      <c r="U1261" s="3">
        <v>0.16234292089939101</v>
      </c>
      <c r="V1261" s="3">
        <v>0.16290970146656</v>
      </c>
      <c r="W1261" s="3">
        <v>0.165460139513016</v>
      </c>
      <c r="X1261" s="3">
        <v>0.162139251828194</v>
      </c>
      <c r="Y1261" s="3">
        <v>0.15945032238960299</v>
      </c>
      <c r="Z1261" s="3">
        <v>0.16931614279747001</v>
      </c>
      <c r="AA1261" s="3">
        <v>0.16310703754424999</v>
      </c>
      <c r="AB1261" s="3">
        <v>0.17351204156875599</v>
      </c>
      <c r="AC1261" s="3">
        <v>0.17334242165088701</v>
      </c>
      <c r="AD1261" s="3"/>
      <c r="AE1261" t="s">
        <v>6311</v>
      </c>
      <c r="AF1261" t="s">
        <v>202</v>
      </c>
    </row>
    <row r="1262" spans="1:32" x14ac:dyDescent="0.3">
      <c r="A1262" t="s">
        <v>1826</v>
      </c>
      <c r="B1262" s="1" t="s">
        <v>1205</v>
      </c>
      <c r="C1262" s="5" t="s">
        <v>3327</v>
      </c>
      <c r="D1262" s="2" t="s">
        <v>4845</v>
      </c>
      <c r="E1262" s="1" t="s">
        <v>310</v>
      </c>
      <c r="F1262" s="3">
        <v>36.75</v>
      </c>
      <c r="G1262" s="3">
        <v>36.847492323439099</v>
      </c>
      <c r="H1262" s="3">
        <v>32.659614658103514</v>
      </c>
      <c r="I1262" s="3">
        <v>36.01729899744447</v>
      </c>
      <c r="J1262" s="3">
        <v>31.727767695099818</v>
      </c>
      <c r="K1262" s="3">
        <v>25.227952825206827</v>
      </c>
      <c r="L1262" s="3">
        <v>26.702033598585324</v>
      </c>
      <c r="M1262" s="3">
        <v>31.912626531699523</v>
      </c>
      <c r="N1262" s="3">
        <v>32.724137931034477</v>
      </c>
      <c r="O1262" s="3">
        <v>36.297053312893887</v>
      </c>
      <c r="P1262" s="3">
        <v>27.124895222129087</v>
      </c>
      <c r="Q1262" s="3">
        <v>29.086735530414821</v>
      </c>
      <c r="R1262" s="3">
        <v>25.498859749144813</v>
      </c>
      <c r="S1262" s="3">
        <v>20.991764705882353</v>
      </c>
      <c r="T1262" s="3">
        <v>23.099203475742218</v>
      </c>
      <c r="U1262" s="3">
        <v>15.524563820018367</v>
      </c>
      <c r="V1262" s="3">
        <v>16.033343818810948</v>
      </c>
      <c r="W1262" s="3">
        <v>19.008540660972891</v>
      </c>
      <c r="X1262" s="3">
        <v>29.44637709969188</v>
      </c>
      <c r="Y1262" s="3">
        <v>32.753950338600454</v>
      </c>
      <c r="Z1262" s="3">
        <v>30.054260807685466</v>
      </c>
      <c r="AA1262" s="3">
        <v>22.793073593073593</v>
      </c>
      <c r="AB1262" s="3"/>
      <c r="AC1262" s="3"/>
      <c r="AD1262" s="3"/>
      <c r="AE1262" t="s">
        <v>6312</v>
      </c>
      <c r="AF1262" t="s">
        <v>634</v>
      </c>
    </row>
    <row r="1263" spans="1:32" x14ac:dyDescent="0.3">
      <c r="A1263" t="s">
        <v>1826</v>
      </c>
      <c r="B1263" s="1" t="s">
        <v>1205</v>
      </c>
      <c r="C1263" s="5" t="s">
        <v>3328</v>
      </c>
      <c r="D1263" s="2" t="s">
        <v>4846</v>
      </c>
      <c r="E1263" s="1" t="s">
        <v>2024</v>
      </c>
      <c r="F1263" s="3">
        <v>63.7</v>
      </c>
      <c r="G1263" s="3">
        <v>64.7</v>
      </c>
      <c r="H1263" s="3">
        <v>65.3</v>
      </c>
      <c r="I1263" s="3">
        <v>70.3</v>
      </c>
      <c r="J1263" s="3">
        <v>75.400000000000006</v>
      </c>
      <c r="K1263" s="3">
        <v>77.900000000000006</v>
      </c>
      <c r="L1263" s="3">
        <v>74.8</v>
      </c>
      <c r="M1263" s="3">
        <v>76.3</v>
      </c>
      <c r="N1263" s="3">
        <v>74.2</v>
      </c>
      <c r="O1263" s="3">
        <v>73.7</v>
      </c>
      <c r="P1263" s="3">
        <v>75.400000000000006</v>
      </c>
      <c r="Q1263" s="3">
        <v>79.099999999999994</v>
      </c>
      <c r="R1263" s="3">
        <v>74.900000000000006</v>
      </c>
      <c r="S1263" s="3">
        <v>72.2</v>
      </c>
      <c r="T1263" s="3">
        <v>71.900000000000006</v>
      </c>
      <c r="U1263" s="3">
        <v>64.5</v>
      </c>
      <c r="V1263" s="3">
        <v>64</v>
      </c>
      <c r="W1263" s="3">
        <v>62.5</v>
      </c>
      <c r="X1263" s="3">
        <v>60.5</v>
      </c>
      <c r="Y1263" s="3">
        <v>61.1</v>
      </c>
      <c r="Z1263" s="3">
        <v>61.8</v>
      </c>
      <c r="AA1263" s="3">
        <v>58.2</v>
      </c>
      <c r="AB1263" s="3"/>
      <c r="AC1263" s="3"/>
      <c r="AD1263" s="3"/>
      <c r="AE1263" t="s">
        <v>6313</v>
      </c>
      <c r="AF1263" t="s">
        <v>205</v>
      </c>
    </row>
    <row r="1264" spans="1:32" x14ac:dyDescent="0.3">
      <c r="A1264" t="s">
        <v>1826</v>
      </c>
      <c r="B1264" s="1" t="s">
        <v>1205</v>
      </c>
      <c r="C1264" s="5" t="s">
        <v>3329</v>
      </c>
      <c r="D1264" s="2" t="s">
        <v>4847</v>
      </c>
      <c r="E1264" s="1" t="s">
        <v>1539</v>
      </c>
      <c r="F1264" s="3">
        <v>4341.4872384909349</v>
      </c>
      <c r="G1264" s="3">
        <v>4226.8753912843968</v>
      </c>
      <c r="H1264" s="3">
        <v>4119.0535118335147</v>
      </c>
      <c r="I1264" s="3">
        <v>4017.6639177075349</v>
      </c>
      <c r="J1264" s="3">
        <v>3921.4085225822914</v>
      </c>
      <c r="K1264" s="3">
        <v>3828.8940784588435</v>
      </c>
      <c r="L1264" s="3">
        <v>3739.7547316609175</v>
      </c>
      <c r="M1264" s="3">
        <v>3653.7309185994973</v>
      </c>
      <c r="N1264" s="3">
        <v>3571.5548985497603</v>
      </c>
      <c r="O1264" s="3">
        <v>3493.0543496345567</v>
      </c>
      <c r="P1264" s="3">
        <v>3416.923599251425</v>
      </c>
      <c r="Q1264" s="3">
        <v>3343.4862065964671</v>
      </c>
      <c r="R1264" s="3">
        <v>3274.3744236074044</v>
      </c>
      <c r="S1264" s="3">
        <v>3209.7210604527404</v>
      </c>
      <c r="T1264" s="3">
        <v>3132.8235224327736</v>
      </c>
      <c r="U1264" s="3">
        <v>3043.6092484210189</v>
      </c>
      <c r="V1264" s="3">
        <v>2956.5894255755375</v>
      </c>
      <c r="W1264" s="3">
        <v>2874.3100571076484</v>
      </c>
      <c r="X1264" s="3">
        <v>2797.8268269719974</v>
      </c>
      <c r="Y1264" s="3">
        <v>2725.4983673434785</v>
      </c>
      <c r="Z1264" s="3">
        <v>2657.4029682195151</v>
      </c>
      <c r="AA1264" s="3">
        <v>2592.4657358621553</v>
      </c>
      <c r="AB1264" s="3"/>
      <c r="AC1264" s="3"/>
      <c r="AD1264" s="3"/>
      <c r="AE1264" t="s">
        <v>6314</v>
      </c>
      <c r="AF1264" t="s">
        <v>1131</v>
      </c>
    </row>
    <row r="1265" spans="1:32" x14ac:dyDescent="0.3">
      <c r="A1265" t="s">
        <v>1826</v>
      </c>
      <c r="B1265" s="1" t="s">
        <v>1205</v>
      </c>
      <c r="C1265" s="5" t="s">
        <v>3330</v>
      </c>
      <c r="D1265" s="2" t="s">
        <v>4848</v>
      </c>
      <c r="E1265" s="1" t="s">
        <v>769</v>
      </c>
      <c r="F1265" s="3">
        <v>76.84</v>
      </c>
      <c r="G1265" s="3">
        <v>76.84</v>
      </c>
      <c r="H1265" s="3">
        <v>76.84</v>
      </c>
      <c r="I1265" s="3">
        <v>76.84</v>
      </c>
      <c r="J1265" s="3">
        <v>76.84</v>
      </c>
      <c r="K1265" s="3">
        <v>76.84</v>
      </c>
      <c r="L1265" s="3">
        <v>76.84</v>
      </c>
      <c r="M1265" s="3">
        <v>76.84</v>
      </c>
      <c r="N1265" s="3">
        <v>76.84</v>
      </c>
      <c r="O1265" s="3">
        <v>76.84</v>
      </c>
      <c r="P1265" s="3">
        <v>76.84</v>
      </c>
      <c r="Q1265" s="3">
        <v>76.84</v>
      </c>
      <c r="R1265" s="3">
        <v>76.84</v>
      </c>
      <c r="S1265" s="3">
        <v>76.84</v>
      </c>
      <c r="T1265" s="3">
        <v>76.84</v>
      </c>
      <c r="U1265" s="3">
        <v>76.84</v>
      </c>
      <c r="V1265" s="3">
        <v>76.84</v>
      </c>
      <c r="W1265" s="3">
        <v>76.84</v>
      </c>
      <c r="X1265" s="3">
        <v>76.84</v>
      </c>
      <c r="Y1265" s="3">
        <v>76.84</v>
      </c>
      <c r="Z1265" s="3">
        <v>76.84</v>
      </c>
      <c r="AA1265" s="3">
        <v>76.84</v>
      </c>
      <c r="AB1265" s="3"/>
      <c r="AC1265" s="3"/>
      <c r="AD1265" s="3"/>
      <c r="AE1265" t="s">
        <v>6315</v>
      </c>
      <c r="AF1265" t="s">
        <v>1790</v>
      </c>
    </row>
    <row r="1266" spans="1:32" x14ac:dyDescent="0.3">
      <c r="A1266" t="s">
        <v>1826</v>
      </c>
      <c r="B1266" s="1" t="s">
        <v>1205</v>
      </c>
      <c r="C1266" s="5" t="s">
        <v>3331</v>
      </c>
      <c r="D1266" s="2" t="s">
        <v>4849</v>
      </c>
      <c r="E1266" s="1" t="s">
        <v>1106</v>
      </c>
      <c r="F1266" s="3">
        <v>25.206759999999999</v>
      </c>
      <c r="G1266" s="3">
        <v>23.64687</v>
      </c>
      <c r="H1266" s="3">
        <v>22.130520000000001</v>
      </c>
      <c r="I1266" s="3">
        <v>17.730589999999999</v>
      </c>
      <c r="J1266" s="3"/>
      <c r="K1266" s="3"/>
      <c r="L1266" s="3">
        <v>23.692039999999999</v>
      </c>
      <c r="M1266" s="3">
        <v>20.679500000000001</v>
      </c>
      <c r="N1266" s="3"/>
      <c r="O1266" s="3">
        <v>18.69828</v>
      </c>
      <c r="P1266" s="3"/>
      <c r="Q1266" s="3"/>
      <c r="R1266" s="3">
        <v>19.20476</v>
      </c>
      <c r="S1266" s="3">
        <v>19.70166</v>
      </c>
      <c r="T1266" s="3">
        <v>14.64189</v>
      </c>
      <c r="U1266" s="3">
        <v>14.83184</v>
      </c>
      <c r="V1266" s="3">
        <v>12.13297</v>
      </c>
      <c r="W1266" s="3">
        <v>10.821339999999999</v>
      </c>
      <c r="X1266" s="3"/>
      <c r="Y1266" s="3"/>
      <c r="Z1266" s="3"/>
      <c r="AA1266" s="3"/>
      <c r="AB1266" s="3"/>
      <c r="AC1266" s="3"/>
      <c r="AD1266" s="3"/>
      <c r="AE1266" t="s">
        <v>6316</v>
      </c>
      <c r="AF1266" t="s">
        <v>33</v>
      </c>
    </row>
    <row r="1267" spans="1:32" x14ac:dyDescent="0.3">
      <c r="A1267" t="s">
        <v>1826</v>
      </c>
      <c r="B1267" s="1" t="s">
        <v>1205</v>
      </c>
      <c r="C1267" s="5" t="s">
        <v>3332</v>
      </c>
      <c r="D1267" s="2" t="s">
        <v>4850</v>
      </c>
      <c r="E1267" s="1" t="s">
        <v>1259</v>
      </c>
      <c r="F1267" s="3">
        <v>23.428429999999999</v>
      </c>
      <c r="G1267" s="3">
        <v>22.440329999999999</v>
      </c>
      <c r="H1267" s="3">
        <v>24.227360000000001</v>
      </c>
      <c r="I1267" s="3">
        <v>17.48105</v>
      </c>
      <c r="J1267" s="3"/>
      <c r="K1267" s="3"/>
      <c r="L1267" s="3">
        <v>23.395409999999998</v>
      </c>
      <c r="M1267" s="3">
        <v>22.31221</v>
      </c>
      <c r="N1267" s="3"/>
      <c r="O1267" s="3">
        <v>18.873090000000001</v>
      </c>
      <c r="P1267" s="3"/>
      <c r="Q1267" s="3"/>
      <c r="R1267" s="3">
        <v>20.01108</v>
      </c>
      <c r="S1267" s="3">
        <v>20.66348</v>
      </c>
      <c r="T1267" s="3">
        <v>15.320209999999999</v>
      </c>
      <c r="U1267" s="3">
        <v>15.54429</v>
      </c>
      <c r="V1267" s="3">
        <v>13.141069999999999</v>
      </c>
      <c r="W1267" s="3">
        <v>11.25333</v>
      </c>
      <c r="X1267" s="3"/>
      <c r="Y1267" s="3"/>
      <c r="Z1267" s="3"/>
      <c r="AA1267" s="3"/>
      <c r="AB1267" s="3"/>
      <c r="AC1267" s="3"/>
      <c r="AD1267" s="3"/>
      <c r="AE1267" t="s">
        <v>6316</v>
      </c>
      <c r="AF1267" t="s">
        <v>33</v>
      </c>
    </row>
    <row r="1268" spans="1:32" x14ac:dyDescent="0.3">
      <c r="A1268" t="s">
        <v>1826</v>
      </c>
      <c r="B1268" s="1" t="s">
        <v>1205</v>
      </c>
      <c r="C1268" s="5" t="s">
        <v>3333</v>
      </c>
      <c r="D1268" s="2" t="s">
        <v>4851</v>
      </c>
      <c r="E1268" s="1" t="s">
        <v>589</v>
      </c>
      <c r="F1268" s="3">
        <v>24.18788</v>
      </c>
      <c r="G1268" s="3">
        <v>22.961739999999999</v>
      </c>
      <c r="H1268" s="3">
        <v>23.339510000000001</v>
      </c>
      <c r="I1268" s="3">
        <v>17.591349999999998</v>
      </c>
      <c r="J1268" s="3"/>
      <c r="K1268" s="3"/>
      <c r="L1268" s="3">
        <v>23.52618</v>
      </c>
      <c r="M1268" s="3">
        <v>21.59151</v>
      </c>
      <c r="N1268" s="3"/>
      <c r="O1268" s="3">
        <v>18.79494</v>
      </c>
      <c r="P1268" s="3"/>
      <c r="Q1268" s="3">
        <v>16.581189999999999</v>
      </c>
      <c r="R1268" s="3">
        <v>19.642690000000002</v>
      </c>
      <c r="S1268" s="3">
        <v>20.219750000000001</v>
      </c>
      <c r="T1268" s="3">
        <v>15.00569</v>
      </c>
      <c r="U1268" s="3">
        <v>15.21149</v>
      </c>
      <c r="V1268" s="3">
        <v>12.665889999999999</v>
      </c>
      <c r="W1268" s="3">
        <v>11.047980000000001</v>
      </c>
      <c r="X1268" s="3"/>
      <c r="Y1268" s="3"/>
      <c r="Z1268" s="3"/>
      <c r="AA1268" s="3"/>
      <c r="AB1268" s="3"/>
      <c r="AC1268" s="3"/>
      <c r="AD1268" s="3"/>
      <c r="AE1268" t="s">
        <v>6316</v>
      </c>
      <c r="AF1268" t="s">
        <v>33</v>
      </c>
    </row>
    <row r="1269" spans="1:32" x14ac:dyDescent="0.3">
      <c r="A1269" t="s">
        <v>1826</v>
      </c>
      <c r="B1269" s="1" t="s">
        <v>1205</v>
      </c>
      <c r="C1269" s="5" t="s">
        <v>3334</v>
      </c>
      <c r="D1269" s="2" t="s">
        <v>4852</v>
      </c>
      <c r="E1269" s="1" t="s">
        <v>1148</v>
      </c>
      <c r="F1269" s="3"/>
      <c r="G1269" s="3"/>
      <c r="H1269" s="3"/>
      <c r="I1269" s="3"/>
      <c r="J1269" s="3"/>
      <c r="K1269" s="3"/>
      <c r="L1269" s="3"/>
      <c r="M1269" s="3"/>
      <c r="N1269" s="3"/>
      <c r="O1269" s="3"/>
      <c r="P1269" s="3"/>
      <c r="Q1269" s="3"/>
      <c r="R1269" s="3"/>
      <c r="S1269" s="3"/>
      <c r="T1269" s="3"/>
      <c r="U1269" s="3"/>
      <c r="V1269" s="3">
        <v>6.9750003516674E-2</v>
      </c>
      <c r="W1269" s="3"/>
      <c r="X1269" s="3"/>
      <c r="Y1269" s="3"/>
      <c r="Z1269" s="3"/>
      <c r="AA1269" s="3"/>
      <c r="AB1269" s="3"/>
      <c r="AC1269" s="3"/>
      <c r="AD1269" s="3"/>
      <c r="AE1269" t="s">
        <v>6317</v>
      </c>
      <c r="AF1269" t="s">
        <v>1410</v>
      </c>
    </row>
    <row r="1270" spans="1:32" x14ac:dyDescent="0.3">
      <c r="A1270" t="s">
        <v>1826</v>
      </c>
      <c r="B1270" s="1" t="s">
        <v>1205</v>
      </c>
      <c r="C1270" s="5" t="s">
        <v>3335</v>
      </c>
      <c r="D1270" s="2" t="s">
        <v>4853</v>
      </c>
      <c r="E1270" s="1" t="s">
        <v>454</v>
      </c>
      <c r="F1270" s="3"/>
      <c r="G1270" s="3"/>
      <c r="H1270" s="3"/>
      <c r="I1270" s="3"/>
      <c r="J1270" s="3"/>
      <c r="K1270" s="3">
        <v>63.993030548095703</v>
      </c>
      <c r="L1270" s="3"/>
      <c r="M1270" s="3"/>
      <c r="N1270" s="3"/>
      <c r="O1270" s="3"/>
      <c r="P1270" s="3"/>
      <c r="Q1270" s="3"/>
      <c r="R1270" s="3"/>
      <c r="S1270" s="3"/>
      <c r="T1270" s="3"/>
      <c r="U1270" s="3"/>
      <c r="V1270" s="3"/>
      <c r="W1270" s="3"/>
      <c r="X1270" s="3"/>
      <c r="Y1270" s="3"/>
      <c r="Z1270" s="3"/>
      <c r="AA1270" s="3"/>
      <c r="AB1270" s="3"/>
      <c r="AC1270" s="3"/>
      <c r="AD1270" s="3"/>
      <c r="AE1270" t="s">
        <v>6318</v>
      </c>
      <c r="AF1270" t="s">
        <v>66</v>
      </c>
    </row>
    <row r="1271" spans="1:32" x14ac:dyDescent="0.3">
      <c r="A1271" t="s">
        <v>1826</v>
      </c>
      <c r="B1271" s="1" t="s">
        <v>1205</v>
      </c>
      <c r="C1271" s="5" t="s">
        <v>3336</v>
      </c>
      <c r="D1271" s="2" t="s">
        <v>4854</v>
      </c>
      <c r="E1271" s="1" t="s">
        <v>1654</v>
      </c>
      <c r="F1271" s="3"/>
      <c r="G1271" s="3"/>
      <c r="H1271" s="3"/>
      <c r="I1271" s="3"/>
      <c r="J1271" s="3"/>
      <c r="K1271" s="3">
        <v>-315238585.63302302</v>
      </c>
      <c r="L1271" s="3">
        <v>223449800.907987</v>
      </c>
      <c r="M1271" s="3">
        <v>321114656.79379302</v>
      </c>
      <c r="N1271" s="3">
        <v>231464679.637353</v>
      </c>
      <c r="O1271" s="3">
        <v>1090006179.05057</v>
      </c>
      <c r="P1271" s="3">
        <v>1428775914.1782501</v>
      </c>
      <c r="Q1271" s="3">
        <v>616036860.34682202</v>
      </c>
      <c r="R1271" s="3">
        <v>-626343016.30360305</v>
      </c>
      <c r="S1271" s="3">
        <v>-16592843.4355921</v>
      </c>
      <c r="T1271" s="3">
        <v>648731473.78565204</v>
      </c>
      <c r="U1271" s="3">
        <v>586428029.70832801</v>
      </c>
      <c r="V1271" s="3">
        <v>-459730114.10221601</v>
      </c>
      <c r="W1271" s="3">
        <v>485779051.96484601</v>
      </c>
      <c r="X1271" s="3">
        <v>247368888.405541</v>
      </c>
      <c r="Y1271" s="3">
        <v>1075250162.4368601</v>
      </c>
      <c r="Z1271" s="3">
        <v>199662605.54231799</v>
      </c>
      <c r="AA1271" s="3">
        <v>2014277586.84197</v>
      </c>
      <c r="AB1271" s="3">
        <v>-945666146.39221001</v>
      </c>
      <c r="AC1271" s="3"/>
      <c r="AD1271" s="3"/>
      <c r="AE1271" t="s">
        <v>6319</v>
      </c>
      <c r="AF1271" t="s">
        <v>613</v>
      </c>
    </row>
    <row r="1272" spans="1:32" x14ac:dyDescent="0.3">
      <c r="A1272" t="s">
        <v>1826</v>
      </c>
      <c r="B1272" s="1" t="s">
        <v>1205</v>
      </c>
      <c r="C1272" s="5" t="s">
        <v>3337</v>
      </c>
      <c r="D1272" s="2" t="s">
        <v>4855</v>
      </c>
      <c r="E1272" s="1" t="s">
        <v>368</v>
      </c>
      <c r="F1272" s="3"/>
      <c r="G1272" s="3">
        <v>9.926424984019059</v>
      </c>
      <c r="H1272" s="3">
        <v>10.501953743978138</v>
      </c>
      <c r="I1272" s="3">
        <v>10.086143913203973</v>
      </c>
      <c r="J1272" s="3">
        <v>10.685576600340623</v>
      </c>
      <c r="K1272" s="3">
        <v>10.688304051082003</v>
      </c>
      <c r="L1272" s="3">
        <v>11.193808819154304</v>
      </c>
      <c r="M1272" s="3">
        <v>12.202927525130313</v>
      </c>
      <c r="N1272" s="3">
        <v>12.018043493011026</v>
      </c>
      <c r="O1272" s="3">
        <v>11.587070972670126</v>
      </c>
      <c r="P1272" s="3">
        <v>11.260655664762034</v>
      </c>
      <c r="Q1272" s="3">
        <v>8.6604849385163316</v>
      </c>
      <c r="R1272" s="3">
        <v>12.111023471161026</v>
      </c>
      <c r="S1272" s="3">
        <v>11.713002750921405</v>
      </c>
      <c r="T1272" s="3">
        <v>10.644338651251061</v>
      </c>
      <c r="U1272" s="3">
        <v>12.164116545738896</v>
      </c>
      <c r="V1272" s="3">
        <v>11.731232638394378</v>
      </c>
      <c r="W1272" s="3">
        <v>11.954508921845646</v>
      </c>
      <c r="X1272" s="3">
        <v>11.966661600320808</v>
      </c>
      <c r="Y1272" s="3">
        <v>11.962862476509638</v>
      </c>
      <c r="Z1272" s="3">
        <v>12.112010053738292</v>
      </c>
      <c r="AA1272" s="3">
        <v>12.664328431845565</v>
      </c>
      <c r="AB1272" s="3">
        <v>12.04558464473374</v>
      </c>
      <c r="AC1272" s="3">
        <v>13.563269537414271</v>
      </c>
      <c r="AD1272" s="3"/>
      <c r="AE1272" t="s">
        <v>6320</v>
      </c>
      <c r="AF1272" t="s">
        <v>115</v>
      </c>
    </row>
    <row r="1273" spans="1:32" x14ac:dyDescent="0.3">
      <c r="A1273" t="s">
        <v>1826</v>
      </c>
      <c r="B1273" s="1" t="s">
        <v>1205</v>
      </c>
      <c r="C1273" s="5" t="s">
        <v>3338</v>
      </c>
      <c r="D1273" s="2" t="s">
        <v>4856</v>
      </c>
      <c r="E1273" s="1" t="s">
        <v>619</v>
      </c>
      <c r="F1273" s="3"/>
      <c r="G1273" s="3">
        <v>1222141300000</v>
      </c>
      <c r="H1273" s="3">
        <v>1315323972000</v>
      </c>
      <c r="I1273" s="3">
        <v>1243000000000</v>
      </c>
      <c r="J1273" s="3">
        <v>1324800000000</v>
      </c>
      <c r="K1273" s="3">
        <v>1354600000000</v>
      </c>
      <c r="L1273" s="3">
        <v>1478440000000</v>
      </c>
      <c r="M1273" s="3">
        <v>1679800000000</v>
      </c>
      <c r="N1273" s="3">
        <v>1826610000000</v>
      </c>
      <c r="O1273" s="3">
        <v>1846602000000</v>
      </c>
      <c r="P1273" s="3">
        <v>1946549000000</v>
      </c>
      <c r="Q1273" s="3">
        <v>1497559000000</v>
      </c>
      <c r="R1273" s="3">
        <v>2244702000000</v>
      </c>
      <c r="S1273" s="3">
        <v>2473700000000</v>
      </c>
      <c r="T1273" s="3">
        <v>2567051727984.7002</v>
      </c>
      <c r="U1273" s="3">
        <v>3294817249886.5601</v>
      </c>
      <c r="V1273" s="3">
        <v>3365304803713.8701</v>
      </c>
      <c r="W1273" s="3">
        <v>3645126661032.6802</v>
      </c>
      <c r="X1273" s="3">
        <v>3889895345461.73</v>
      </c>
      <c r="Y1273" s="3">
        <v>4232341474450.2197</v>
      </c>
      <c r="Z1273" s="3">
        <v>4393988951290.1504</v>
      </c>
      <c r="AA1273" s="3">
        <v>5112191601380.0098</v>
      </c>
      <c r="AB1273" s="3">
        <v>5328822099814.4697</v>
      </c>
      <c r="AC1273" s="3">
        <v>6550232441952.3184</v>
      </c>
      <c r="AD1273" s="3"/>
      <c r="AE1273" t="s">
        <v>6321</v>
      </c>
      <c r="AF1273" t="s">
        <v>115</v>
      </c>
    </row>
    <row r="1274" spans="1:32" x14ac:dyDescent="0.3">
      <c r="A1274" t="s">
        <v>1826</v>
      </c>
      <c r="B1274" s="1" t="s">
        <v>1205</v>
      </c>
      <c r="C1274" s="5" t="s">
        <v>3339</v>
      </c>
      <c r="D1274" s="2" t="s">
        <v>4857</v>
      </c>
      <c r="E1274" s="1" t="s">
        <v>1999</v>
      </c>
      <c r="F1274" s="3"/>
      <c r="G1274" s="3"/>
      <c r="H1274" s="3"/>
      <c r="I1274" s="3">
        <v>100</v>
      </c>
      <c r="J1274" s="3">
        <v>100</v>
      </c>
      <c r="K1274" s="3">
        <v>100</v>
      </c>
      <c r="L1274" s="3">
        <v>100</v>
      </c>
      <c r="M1274" s="3">
        <v>100</v>
      </c>
      <c r="N1274" s="3">
        <v>100</v>
      </c>
      <c r="O1274" s="3">
        <v>100</v>
      </c>
      <c r="P1274" s="3">
        <v>100</v>
      </c>
      <c r="Q1274" s="3">
        <v>100</v>
      </c>
      <c r="R1274" s="3">
        <v>100</v>
      </c>
      <c r="S1274" s="3">
        <v>100</v>
      </c>
      <c r="T1274" s="3">
        <v>99.9</v>
      </c>
      <c r="U1274" s="3">
        <v>99.3</v>
      </c>
      <c r="V1274" s="3">
        <v>98.7</v>
      </c>
      <c r="W1274" s="3">
        <v>99.1</v>
      </c>
      <c r="X1274" s="3">
        <v>98.9</v>
      </c>
      <c r="Y1274" s="3">
        <v>97.6</v>
      </c>
      <c r="Z1274" s="3">
        <v>94.6</v>
      </c>
      <c r="AA1274" s="3">
        <v>100</v>
      </c>
      <c r="AB1274" s="3">
        <v>100</v>
      </c>
      <c r="AC1274" s="3"/>
      <c r="AD1274" s="3"/>
      <c r="AE1274" t="s">
        <v>6322</v>
      </c>
      <c r="AF1274" t="s">
        <v>1520</v>
      </c>
    </row>
    <row r="1275" spans="1:32" x14ac:dyDescent="0.3">
      <c r="A1275" t="s">
        <v>1826</v>
      </c>
      <c r="B1275" s="1" t="s">
        <v>1205</v>
      </c>
      <c r="C1275" s="5" t="s">
        <v>3340</v>
      </c>
      <c r="D1275" s="2" t="s">
        <v>4858</v>
      </c>
      <c r="E1275" s="1" t="s">
        <v>1147</v>
      </c>
      <c r="F1275" s="3"/>
      <c r="G1275" s="3"/>
      <c r="H1275" s="3"/>
      <c r="I1275" s="3">
        <v>100</v>
      </c>
      <c r="J1275" s="3">
        <v>100</v>
      </c>
      <c r="K1275" s="3">
        <v>100</v>
      </c>
      <c r="L1275" s="3">
        <v>100</v>
      </c>
      <c r="M1275" s="3">
        <v>100</v>
      </c>
      <c r="N1275" s="3">
        <v>100</v>
      </c>
      <c r="O1275" s="3">
        <v>100</v>
      </c>
      <c r="P1275" s="3">
        <v>100</v>
      </c>
      <c r="Q1275" s="3">
        <v>100</v>
      </c>
      <c r="R1275" s="3">
        <v>100</v>
      </c>
      <c r="S1275" s="3">
        <v>100</v>
      </c>
      <c r="T1275" s="3">
        <v>100</v>
      </c>
      <c r="U1275" s="3">
        <v>99.9</v>
      </c>
      <c r="V1275" s="3">
        <v>99.9</v>
      </c>
      <c r="W1275" s="3">
        <v>100</v>
      </c>
      <c r="X1275" s="3">
        <v>99.9</v>
      </c>
      <c r="Y1275" s="3">
        <v>99.8</v>
      </c>
      <c r="Z1275" s="3">
        <v>99.7</v>
      </c>
      <c r="AA1275" s="3">
        <v>100</v>
      </c>
      <c r="AB1275" s="3">
        <v>100</v>
      </c>
      <c r="AC1275" s="3"/>
      <c r="AD1275" s="3"/>
      <c r="AE1275" t="s">
        <v>6323</v>
      </c>
      <c r="AF1275" t="s">
        <v>1520</v>
      </c>
    </row>
    <row r="1276" spans="1:32" x14ac:dyDescent="0.3">
      <c r="A1276" t="s">
        <v>1826</v>
      </c>
      <c r="B1276" s="1" t="s">
        <v>1205</v>
      </c>
      <c r="C1276" s="5" t="s">
        <v>3341</v>
      </c>
      <c r="D1276" s="2" t="s">
        <v>4859</v>
      </c>
      <c r="E1276" s="1" t="s">
        <v>703</v>
      </c>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t="s">
        <v>6324</v>
      </c>
      <c r="AF1276" t="s">
        <v>1714</v>
      </c>
    </row>
    <row r="1277" spans="1:32" x14ac:dyDescent="0.3">
      <c r="A1277" t="s">
        <v>1826</v>
      </c>
      <c r="B1277" s="1" t="s">
        <v>1205</v>
      </c>
      <c r="C1277" s="5" t="s">
        <v>3342</v>
      </c>
      <c r="D1277" s="2" t="s">
        <v>4860</v>
      </c>
      <c r="E1277" s="1" t="s">
        <v>1114</v>
      </c>
      <c r="F1277" s="3">
        <v>-1.24766981601715</v>
      </c>
      <c r="G1277" s="3"/>
      <c r="H1277" s="3">
        <v>-1.3292272090911901</v>
      </c>
      <c r="I1277" s="3">
        <v>-1.3585205078125</v>
      </c>
      <c r="J1277" s="3">
        <v>-1.4245312213897701</v>
      </c>
      <c r="K1277" s="3">
        <v>-1.53936767578125</v>
      </c>
      <c r="L1277" s="3">
        <v>-1.4629039764404299</v>
      </c>
      <c r="M1277" s="3">
        <v>-1.47171807289124</v>
      </c>
      <c r="N1277" s="3">
        <v>-1.43818151950836</v>
      </c>
      <c r="O1277" s="3">
        <v>-1.2530438899993901</v>
      </c>
      <c r="P1277" s="3">
        <v>-1.2360025644302399</v>
      </c>
      <c r="Q1277" s="3">
        <v>-1.2826817035675</v>
      </c>
      <c r="R1277" s="3">
        <v>-1.09417271614075</v>
      </c>
      <c r="S1277" s="3">
        <v>-0.91469460725784302</v>
      </c>
      <c r="T1277" s="3">
        <v>-0.593253374099731</v>
      </c>
      <c r="U1277" s="3">
        <v>-0.65147203207016002</v>
      </c>
      <c r="V1277" s="3">
        <v>-0.66303461790084794</v>
      </c>
      <c r="W1277" s="3">
        <v>-0.65080386400222801</v>
      </c>
      <c r="X1277" s="3">
        <v>-0.60271030664444003</v>
      </c>
      <c r="Y1277" s="3">
        <v>-0.61049550771713301</v>
      </c>
      <c r="Z1277" s="3">
        <v>-0.65690857172012296</v>
      </c>
      <c r="AA1277" s="3">
        <v>-0.66102355718612704</v>
      </c>
      <c r="AB1277" s="3">
        <v>-0.47401824593544001</v>
      </c>
      <c r="AC1277" s="3">
        <v>-0.46119713783264199</v>
      </c>
      <c r="AD1277" s="3"/>
      <c r="AE1277" t="s">
        <v>6325</v>
      </c>
    </row>
    <row r="1278" spans="1:32" x14ac:dyDescent="0.3">
      <c r="A1278" t="s">
        <v>1826</v>
      </c>
      <c r="B1278" s="1" t="s">
        <v>1205</v>
      </c>
      <c r="C1278" s="5" t="s">
        <v>3343</v>
      </c>
      <c r="D1278" s="2" t="s">
        <v>4861</v>
      </c>
      <c r="E1278" s="1" t="s">
        <v>1210</v>
      </c>
      <c r="F1278" s="3">
        <v>7</v>
      </c>
      <c r="G1278" s="3"/>
      <c r="H1278" s="3">
        <v>8</v>
      </c>
      <c r="I1278" s="3">
        <v>8</v>
      </c>
      <c r="J1278" s="3">
        <v>10</v>
      </c>
      <c r="K1278" s="3">
        <v>11</v>
      </c>
      <c r="L1278" s="3">
        <v>12</v>
      </c>
      <c r="M1278" s="3">
        <v>11</v>
      </c>
      <c r="N1278" s="3">
        <v>13</v>
      </c>
      <c r="O1278" s="3">
        <v>15</v>
      </c>
      <c r="P1278" s="3">
        <v>14</v>
      </c>
      <c r="Q1278" s="3">
        <v>16</v>
      </c>
      <c r="R1278" s="3">
        <v>17</v>
      </c>
      <c r="S1278" s="3">
        <v>18</v>
      </c>
      <c r="T1278" s="3">
        <v>16</v>
      </c>
      <c r="U1278" s="3">
        <v>16</v>
      </c>
      <c r="V1278" s="3">
        <v>15</v>
      </c>
      <c r="W1278" s="3">
        <v>14</v>
      </c>
      <c r="X1278" s="3">
        <v>14</v>
      </c>
      <c r="Y1278" s="3">
        <v>15</v>
      </c>
      <c r="Z1278" s="3">
        <v>14</v>
      </c>
      <c r="AA1278" s="3">
        <v>14</v>
      </c>
      <c r="AB1278" s="3">
        <v>14</v>
      </c>
      <c r="AC1278" s="3">
        <v>15</v>
      </c>
      <c r="AD1278" s="3"/>
      <c r="AE1278" t="s">
        <v>6326</v>
      </c>
      <c r="AF1278" t="s">
        <v>105</v>
      </c>
    </row>
    <row r="1279" spans="1:32" x14ac:dyDescent="0.3">
      <c r="A1279" t="s">
        <v>1826</v>
      </c>
      <c r="B1279" s="1" t="s">
        <v>1205</v>
      </c>
      <c r="C1279" s="5" t="s">
        <v>3344</v>
      </c>
      <c r="D1279" s="2" t="s">
        <v>4862</v>
      </c>
      <c r="E1279" s="1" t="s">
        <v>1617</v>
      </c>
      <c r="F1279" s="3">
        <v>10.945273399353001</v>
      </c>
      <c r="G1279" s="3"/>
      <c r="H1279" s="3">
        <v>7.46268653869629</v>
      </c>
      <c r="I1279" s="3">
        <v>7.46268653869629</v>
      </c>
      <c r="J1279" s="3">
        <v>6.7307691574096697</v>
      </c>
      <c r="K1279" s="3">
        <v>4.3062200546264604</v>
      </c>
      <c r="L1279" s="3">
        <v>4.3062200546264604</v>
      </c>
      <c r="M1279" s="3">
        <v>4.78468894958496</v>
      </c>
      <c r="N1279" s="3">
        <v>5.2884616851806596</v>
      </c>
      <c r="O1279" s="3">
        <v>9.0047397613525408</v>
      </c>
      <c r="P1279" s="3">
        <v>9.0047397613525408</v>
      </c>
      <c r="Q1279" s="3">
        <v>8.4507045745849592</v>
      </c>
      <c r="R1279" s="3">
        <v>12.6760559082031</v>
      </c>
      <c r="S1279" s="3">
        <v>19.248826980590799</v>
      </c>
      <c r="T1279" s="3">
        <v>33.1730766296387</v>
      </c>
      <c r="U1279" s="3">
        <v>29.523809432983398</v>
      </c>
      <c r="V1279" s="3">
        <v>28.095237731933601</v>
      </c>
      <c r="W1279" s="3">
        <v>29.0476188659668</v>
      </c>
      <c r="X1279" s="3">
        <v>30</v>
      </c>
      <c r="Y1279" s="3">
        <v>27.619047164916999</v>
      </c>
      <c r="Z1279" s="3">
        <v>27.619047164916999</v>
      </c>
      <c r="AA1279" s="3">
        <v>27.142856597900401</v>
      </c>
      <c r="AB1279" s="3">
        <v>35.377357482910199</v>
      </c>
      <c r="AC1279" s="3">
        <v>35.377357482910199</v>
      </c>
      <c r="AD1279" s="3"/>
      <c r="AE1279" t="s">
        <v>6327</v>
      </c>
    </row>
    <row r="1280" spans="1:32" x14ac:dyDescent="0.3">
      <c r="A1280" t="s">
        <v>1826</v>
      </c>
      <c r="B1280" s="1" t="s">
        <v>1205</v>
      </c>
      <c r="C1280" s="5" t="s">
        <v>3345</v>
      </c>
      <c r="D1280" s="2" t="s">
        <v>4863</v>
      </c>
      <c r="E1280" s="1" t="s">
        <v>573</v>
      </c>
      <c r="F1280" s="3">
        <v>2.98507452011108</v>
      </c>
      <c r="G1280" s="3"/>
      <c r="H1280" s="3">
        <v>1.9900497198104901</v>
      </c>
      <c r="I1280" s="3">
        <v>1.49253726005554</v>
      </c>
      <c r="J1280" s="3">
        <v>1.4423077106475799</v>
      </c>
      <c r="K1280" s="3">
        <v>0.47846889495849598</v>
      </c>
      <c r="L1280" s="3">
        <v>0.95693778991699197</v>
      </c>
      <c r="M1280" s="3">
        <v>1.4354066848754901</v>
      </c>
      <c r="N1280" s="3">
        <v>1.4423077106475799</v>
      </c>
      <c r="O1280" s="3">
        <v>3.7914690971374498</v>
      </c>
      <c r="P1280" s="3">
        <v>4.26540279388428</v>
      </c>
      <c r="Q1280" s="3">
        <v>2.3474178314209002</v>
      </c>
      <c r="R1280" s="3">
        <v>7.0422534942626998</v>
      </c>
      <c r="S1280" s="3">
        <v>11.737089157104499</v>
      </c>
      <c r="T1280" s="3">
        <v>20.6730766296387</v>
      </c>
      <c r="U1280" s="3">
        <v>18.095237731933601</v>
      </c>
      <c r="V1280" s="3">
        <v>18.095237731933601</v>
      </c>
      <c r="W1280" s="3">
        <v>18.571428298950199</v>
      </c>
      <c r="X1280" s="3">
        <v>20</v>
      </c>
      <c r="Y1280" s="3">
        <v>21.904762268066399</v>
      </c>
      <c r="Z1280" s="3">
        <v>20.476190567016602</v>
      </c>
      <c r="AA1280" s="3">
        <v>19.523809432983398</v>
      </c>
      <c r="AB1280" s="3">
        <v>24.5283012390137</v>
      </c>
      <c r="AC1280" s="3">
        <v>25</v>
      </c>
      <c r="AD1280" s="3"/>
      <c r="AE1280" t="s">
        <v>6328</v>
      </c>
      <c r="AF1280" t="s">
        <v>453</v>
      </c>
    </row>
    <row r="1281" spans="1:32" x14ac:dyDescent="0.3">
      <c r="A1281" t="s">
        <v>1826</v>
      </c>
      <c r="B1281" s="1" t="s">
        <v>1205</v>
      </c>
      <c r="C1281" s="5" t="s">
        <v>3346</v>
      </c>
      <c r="D1281" s="2" t="s">
        <v>4864</v>
      </c>
      <c r="E1281" s="1" t="s">
        <v>83</v>
      </c>
      <c r="F1281" s="3">
        <v>21.890546798706101</v>
      </c>
      <c r="G1281" s="3"/>
      <c r="H1281" s="3">
        <v>16.915422439575199</v>
      </c>
      <c r="I1281" s="3">
        <v>16.915422439575199</v>
      </c>
      <c r="J1281" s="3">
        <v>14.4230766296387</v>
      </c>
      <c r="K1281" s="3">
        <v>8.13397121429443</v>
      </c>
      <c r="L1281" s="3">
        <v>10.0478467941284</v>
      </c>
      <c r="M1281" s="3">
        <v>10.0478467941284</v>
      </c>
      <c r="N1281" s="3">
        <v>9.1346149444580096</v>
      </c>
      <c r="O1281" s="3">
        <v>15.6398105621338</v>
      </c>
      <c r="P1281" s="3">
        <v>15.165876388549799</v>
      </c>
      <c r="Q1281" s="3">
        <v>14.0845069885254</v>
      </c>
      <c r="R1281" s="3">
        <v>21.1267604827881</v>
      </c>
      <c r="S1281" s="3">
        <v>30.046947479248001</v>
      </c>
      <c r="T1281" s="3">
        <v>42.307693481445298</v>
      </c>
      <c r="U1281" s="3">
        <v>39.523811340332003</v>
      </c>
      <c r="V1281" s="3">
        <v>36.190475463867202</v>
      </c>
      <c r="W1281" s="3">
        <v>38.5714302062988</v>
      </c>
      <c r="X1281" s="3">
        <v>39.523811340332003</v>
      </c>
      <c r="Y1281" s="3">
        <v>40</v>
      </c>
      <c r="Z1281" s="3">
        <v>36.190475463867202</v>
      </c>
      <c r="AA1281" s="3">
        <v>36.190475463867202</v>
      </c>
      <c r="AB1281" s="3">
        <v>43.867923736572301</v>
      </c>
      <c r="AC1281" s="3">
        <v>43.396224975585902</v>
      </c>
      <c r="AD1281" s="3"/>
      <c r="AE1281" t="s">
        <v>6329</v>
      </c>
      <c r="AF1281" t="s">
        <v>126</v>
      </c>
    </row>
    <row r="1282" spans="1:32" x14ac:dyDescent="0.3">
      <c r="A1282" t="s">
        <v>1826</v>
      </c>
      <c r="B1282" s="1" t="s">
        <v>1205</v>
      </c>
      <c r="C1282" s="5" t="s">
        <v>3347</v>
      </c>
      <c r="D1282" s="2" t="s">
        <v>4865</v>
      </c>
      <c r="E1282" s="1" t="s">
        <v>21</v>
      </c>
      <c r="F1282" s="3">
        <v>0.18256017565727201</v>
      </c>
      <c r="G1282" s="3"/>
      <c r="H1282" s="3">
        <v>0.19734798371791801</v>
      </c>
      <c r="I1282" s="3">
        <v>0.200474232435226</v>
      </c>
      <c r="J1282" s="3">
        <v>0.18219773471355399</v>
      </c>
      <c r="K1282" s="3">
        <v>0.15985497832298301</v>
      </c>
      <c r="L1282" s="3">
        <v>0.15666498243808699</v>
      </c>
      <c r="M1282" s="3">
        <v>0.15574391186237299</v>
      </c>
      <c r="N1282" s="3">
        <v>0.143939569592476</v>
      </c>
      <c r="O1282" s="3">
        <v>0.13857024908065799</v>
      </c>
      <c r="P1282" s="3">
        <v>0.13560433685779599</v>
      </c>
      <c r="Q1282" s="3">
        <v>0.13001312315464</v>
      </c>
      <c r="R1282" s="3">
        <v>0.130706056952477</v>
      </c>
      <c r="S1282" s="3">
        <v>0.12910075485706299</v>
      </c>
      <c r="T1282" s="3">
        <v>0.14056418836116799</v>
      </c>
      <c r="U1282" s="3">
        <v>0.14038322865962999</v>
      </c>
      <c r="V1282" s="3">
        <v>0.152743205428123</v>
      </c>
      <c r="W1282" s="3">
        <v>0.147893100976944</v>
      </c>
      <c r="X1282" s="3">
        <v>0.14292450249195099</v>
      </c>
      <c r="Y1282" s="3">
        <v>0.13983963429927801</v>
      </c>
      <c r="Z1282" s="3">
        <v>0.13571330904960599</v>
      </c>
      <c r="AA1282" s="3">
        <v>0.14274285733699801</v>
      </c>
      <c r="AB1282" s="3">
        <v>0.14628832042217299</v>
      </c>
      <c r="AC1282" s="3">
        <v>0.14435467123985299</v>
      </c>
      <c r="AD1282" s="3"/>
      <c r="AE1282" t="s">
        <v>6330</v>
      </c>
      <c r="AF1282" t="s">
        <v>202</v>
      </c>
    </row>
    <row r="1283" spans="1:32" x14ac:dyDescent="0.3">
      <c r="A1283" t="s">
        <v>1826</v>
      </c>
      <c r="B1283" s="1" t="s">
        <v>1205</v>
      </c>
      <c r="C1283" s="5" t="s">
        <v>3348</v>
      </c>
      <c r="D1283" s="2" t="s">
        <v>4866</v>
      </c>
      <c r="E1283" s="1" t="s">
        <v>834</v>
      </c>
      <c r="F1283" s="3">
        <v>318672.32606868999</v>
      </c>
      <c r="G1283" s="3"/>
      <c r="H1283" s="3"/>
      <c r="I1283" s="3"/>
      <c r="J1283" s="3"/>
      <c r="K1283" s="3"/>
      <c r="L1283" s="3"/>
      <c r="M1283" s="3"/>
      <c r="N1283" s="3"/>
      <c r="O1283" s="3"/>
      <c r="P1283" s="3"/>
      <c r="Q1283" s="3"/>
      <c r="R1283" s="3"/>
      <c r="S1283" s="3"/>
      <c r="T1283" s="3"/>
      <c r="U1283" s="3">
        <v>318023.63117578998</v>
      </c>
      <c r="V1283" s="3"/>
      <c r="W1283" s="3"/>
      <c r="X1283" s="3"/>
      <c r="Y1283" s="3"/>
      <c r="Z1283" s="3"/>
      <c r="AA1283" s="3"/>
      <c r="AB1283" s="3"/>
      <c r="AC1283" s="3"/>
      <c r="AD1283" s="3"/>
      <c r="AE1283" t="s">
        <v>6331</v>
      </c>
      <c r="AF1283" t="s">
        <v>206</v>
      </c>
    </row>
    <row r="1284" spans="1:32" x14ac:dyDescent="0.3">
      <c r="A1284" t="s">
        <v>1826</v>
      </c>
      <c r="B1284" s="1" t="s">
        <v>1205</v>
      </c>
      <c r="C1284" s="5" t="s">
        <v>3349</v>
      </c>
      <c r="D1284" s="2" t="s">
        <v>4867</v>
      </c>
      <c r="E1284" s="1" t="s">
        <v>1980</v>
      </c>
      <c r="F1284" s="3">
        <v>0.48159639826176398</v>
      </c>
      <c r="G1284" s="3"/>
      <c r="H1284" s="3"/>
      <c r="I1284" s="3"/>
      <c r="J1284" s="3"/>
      <c r="K1284" s="3"/>
      <c r="L1284" s="3"/>
      <c r="M1284" s="3"/>
      <c r="N1284" s="3"/>
      <c r="O1284" s="3"/>
      <c r="P1284" s="3"/>
      <c r="Q1284" s="3"/>
      <c r="R1284" s="3"/>
      <c r="S1284" s="3"/>
      <c r="T1284" s="3"/>
      <c r="U1284" s="3">
        <v>0.47769774184145403</v>
      </c>
      <c r="V1284" s="3"/>
      <c r="W1284" s="3"/>
      <c r="X1284" s="3"/>
      <c r="Y1284" s="3"/>
      <c r="Z1284" s="3"/>
      <c r="AA1284" s="3"/>
      <c r="AB1284" s="3"/>
      <c r="AC1284" s="3"/>
      <c r="AD1284" s="3"/>
      <c r="AE1284" t="s">
        <v>6332</v>
      </c>
      <c r="AF1284" t="s">
        <v>289</v>
      </c>
    </row>
    <row r="1285" spans="1:32" x14ac:dyDescent="0.3">
      <c r="A1285" t="s">
        <v>1826</v>
      </c>
      <c r="B1285" s="1" t="s">
        <v>1205</v>
      </c>
      <c r="C1285" s="5" t="s">
        <v>3350</v>
      </c>
      <c r="D1285" s="2" t="s">
        <v>4868</v>
      </c>
      <c r="E1285" s="1" t="s">
        <v>1083</v>
      </c>
      <c r="F1285" s="3">
        <v>1545.95135037</v>
      </c>
      <c r="G1285" s="3"/>
      <c r="H1285" s="3"/>
      <c r="I1285" s="3"/>
      <c r="J1285" s="3"/>
      <c r="K1285" s="3"/>
      <c r="L1285" s="3"/>
      <c r="M1285" s="3"/>
      <c r="N1285" s="3"/>
      <c r="O1285" s="3"/>
      <c r="P1285" s="3"/>
      <c r="Q1285" s="3"/>
      <c r="R1285" s="3"/>
      <c r="S1285" s="3"/>
      <c r="T1285" s="3"/>
      <c r="U1285" s="3">
        <v>1533.4364453999999</v>
      </c>
      <c r="V1285" s="3"/>
      <c r="W1285" s="3"/>
      <c r="X1285" s="3"/>
      <c r="Y1285" s="3"/>
      <c r="Z1285" s="3"/>
      <c r="AA1285" s="3"/>
      <c r="AB1285" s="3"/>
      <c r="AC1285" s="3"/>
      <c r="AD1285" s="3"/>
      <c r="AE1285" t="s">
        <v>6333</v>
      </c>
      <c r="AF1285" t="s">
        <v>289</v>
      </c>
    </row>
    <row r="1286" spans="1:32" x14ac:dyDescent="0.3">
      <c r="A1286" t="s">
        <v>1826</v>
      </c>
      <c r="B1286" s="1" t="s">
        <v>1205</v>
      </c>
      <c r="C1286" s="5" t="s">
        <v>3351</v>
      </c>
      <c r="D1286" s="2" t="s">
        <v>4869</v>
      </c>
      <c r="E1286" s="1" t="s">
        <v>1846</v>
      </c>
      <c r="F1286" s="3">
        <v>10060999</v>
      </c>
      <c r="G1286" s="3">
        <v>10258724</v>
      </c>
      <c r="H1286" s="3">
        <v>10449843</v>
      </c>
      <c r="I1286" s="3">
        <v>10633993</v>
      </c>
      <c r="J1286" s="3">
        <v>10813109</v>
      </c>
      <c r="K1286" s="3">
        <v>10990692</v>
      </c>
      <c r="L1286" s="3">
        <v>11166776</v>
      </c>
      <c r="M1286" s="3">
        <v>11341570</v>
      </c>
      <c r="N1286" s="3">
        <v>11512161</v>
      </c>
      <c r="O1286" s="3">
        <v>11678706</v>
      </c>
      <c r="P1286" s="3">
        <v>11844464</v>
      </c>
      <c r="Q1286" s="3">
        <v>12007865</v>
      </c>
      <c r="R1286" s="3">
        <v>12162517</v>
      </c>
      <c r="S1286" s="3">
        <v>12306720</v>
      </c>
      <c r="T1286" s="3">
        <v>12505538</v>
      </c>
      <c r="U1286" s="3">
        <v>12763541</v>
      </c>
      <c r="V1286" s="3">
        <v>13025630</v>
      </c>
      <c r="W1286" s="3">
        <v>13279535</v>
      </c>
      <c r="X1286" s="3">
        <v>13518141</v>
      </c>
      <c r="Y1286" s="3">
        <v>13747193</v>
      </c>
      <c r="Z1286" s="3">
        <v>13964427</v>
      </c>
      <c r="AA1286" s="3">
        <v>14173722</v>
      </c>
      <c r="AB1286" s="3">
        <v>14388690</v>
      </c>
      <c r="AC1286" s="3">
        <v>14601421</v>
      </c>
      <c r="AD1286" s="3">
        <v>14803432</v>
      </c>
      <c r="AE1286" t="s">
        <v>6334</v>
      </c>
      <c r="AF1286" t="s">
        <v>1017</v>
      </c>
    </row>
    <row r="1287" spans="1:32" x14ac:dyDescent="0.3">
      <c r="A1287" t="s">
        <v>1826</v>
      </c>
      <c r="B1287" s="1" t="s">
        <v>1205</v>
      </c>
      <c r="C1287" s="5" t="s">
        <v>3352</v>
      </c>
      <c r="D1287" s="2" t="s">
        <v>4870</v>
      </c>
      <c r="E1287" s="1" t="s">
        <v>999</v>
      </c>
      <c r="F1287" s="3">
        <v>56.844999999999999</v>
      </c>
      <c r="G1287" s="3">
        <v>56.432000000000002</v>
      </c>
      <c r="H1287" s="3">
        <v>56.017000000000003</v>
      </c>
      <c r="I1287" s="3">
        <v>55.600999999999999</v>
      </c>
      <c r="J1287" s="3">
        <v>55.183</v>
      </c>
      <c r="K1287" s="3">
        <v>54.765999999999998</v>
      </c>
      <c r="L1287" s="3">
        <v>54.347999999999999</v>
      </c>
      <c r="M1287" s="3">
        <v>53.929000000000002</v>
      </c>
      <c r="N1287" s="3">
        <v>53.509</v>
      </c>
      <c r="O1287" s="3">
        <v>53.09</v>
      </c>
      <c r="P1287" s="3">
        <v>52.67</v>
      </c>
      <c r="Q1287" s="3">
        <v>52.249000000000002</v>
      </c>
      <c r="R1287" s="3">
        <v>51.828000000000003</v>
      </c>
      <c r="S1287" s="3">
        <v>51.406999999999996</v>
      </c>
      <c r="T1287" s="3">
        <v>50.985999999999997</v>
      </c>
      <c r="U1287" s="3">
        <v>50.555999999999997</v>
      </c>
      <c r="V1287" s="3">
        <v>50.119</v>
      </c>
      <c r="W1287" s="3">
        <v>49.673999999999999</v>
      </c>
      <c r="X1287" s="3">
        <v>49.220999999999997</v>
      </c>
      <c r="Y1287" s="3">
        <v>48.761000000000003</v>
      </c>
      <c r="Z1287" s="3">
        <v>48.293999999999997</v>
      </c>
      <c r="AA1287" s="3">
        <v>47.82</v>
      </c>
      <c r="AB1287" s="3">
        <v>47.338999999999999</v>
      </c>
      <c r="AC1287" s="3">
        <v>46.850999999999999</v>
      </c>
      <c r="AD1287" s="3">
        <v>46.356000000000002</v>
      </c>
      <c r="AE1287" t="s">
        <v>6335</v>
      </c>
      <c r="AF1287" t="s">
        <v>1804</v>
      </c>
    </row>
    <row r="1288" spans="1:32" x14ac:dyDescent="0.3">
      <c r="A1288" t="s">
        <v>1826</v>
      </c>
      <c r="B1288" s="1" t="s">
        <v>1205</v>
      </c>
      <c r="C1288" s="5" t="s">
        <v>3353</v>
      </c>
      <c r="D1288" s="2" t="s">
        <v>4871</v>
      </c>
      <c r="E1288" s="1" t="s">
        <v>223</v>
      </c>
      <c r="F1288" s="3">
        <v>2.0416428655625753</v>
      </c>
      <c r="G1288" s="3">
        <v>1.9462001620527332</v>
      </c>
      <c r="H1288" s="3">
        <v>1.8458488837777109</v>
      </c>
      <c r="I1288" s="3">
        <v>1.7468802441475955</v>
      </c>
      <c r="J1288" s="3">
        <v>1.670343755530896</v>
      </c>
      <c r="K1288" s="3">
        <v>1.6289538394963978</v>
      </c>
      <c r="L1288" s="3">
        <v>1.5894208393491434</v>
      </c>
      <c r="M1288" s="3">
        <v>1.5531795528596244</v>
      </c>
      <c r="N1288" s="3">
        <v>1.4929218205452757</v>
      </c>
      <c r="O1288" s="3">
        <v>1.436322869763655</v>
      </c>
      <c r="P1288" s="3">
        <v>1.4093401834615966</v>
      </c>
      <c r="Q1288" s="3">
        <v>1.3701266336909943</v>
      </c>
      <c r="R1288" s="3">
        <v>1.2796993487131472</v>
      </c>
      <c r="S1288" s="3">
        <v>1.1786609401527612</v>
      </c>
      <c r="T1288" s="3">
        <v>1.6026131543386501</v>
      </c>
      <c r="U1288" s="3">
        <v>2.0421161060444466</v>
      </c>
      <c r="V1288" s="3">
        <v>2.0326207736327411</v>
      </c>
      <c r="W1288" s="3">
        <v>1.9305173383220975</v>
      </c>
      <c r="X1288" s="3">
        <v>1.7808432785821127</v>
      </c>
      <c r="Y1288" s="3">
        <v>1.680209665668871</v>
      </c>
      <c r="Z1288" s="3">
        <v>1.5678509588522498</v>
      </c>
      <c r="AA1288" s="3">
        <v>1.4876519413076799</v>
      </c>
      <c r="AB1288" s="3">
        <v>1.5052794494905981</v>
      </c>
      <c r="AC1288" s="3">
        <v>1.4676371431256483</v>
      </c>
      <c r="AD1288" s="3">
        <v>1.3740193033915418</v>
      </c>
      <c r="AE1288" t="s">
        <v>6336</v>
      </c>
      <c r="AF1288" t="s">
        <v>97</v>
      </c>
    </row>
    <row r="1289" spans="1:32" ht="28.8" x14ac:dyDescent="0.3">
      <c r="A1289" t="s">
        <v>1826</v>
      </c>
      <c r="B1289" s="1" t="s">
        <v>1205</v>
      </c>
      <c r="C1289" s="5" t="s">
        <v>3354</v>
      </c>
      <c r="D1289" s="2" t="s">
        <v>4872</v>
      </c>
      <c r="E1289" s="1" t="s">
        <v>1949</v>
      </c>
      <c r="F1289" s="3">
        <v>0.61469247713479602</v>
      </c>
      <c r="G1289" s="3"/>
      <c r="H1289" s="3"/>
      <c r="I1289" s="3"/>
      <c r="J1289" s="3"/>
      <c r="K1289" s="3"/>
      <c r="L1289" s="3"/>
      <c r="M1289" s="3"/>
      <c r="N1289" s="3"/>
      <c r="O1289" s="3"/>
      <c r="P1289" s="3"/>
      <c r="Q1289" s="3"/>
      <c r="R1289" s="3"/>
      <c r="S1289" s="3"/>
      <c r="T1289" s="3"/>
      <c r="U1289" s="3">
        <v>0.54622026540291702</v>
      </c>
      <c r="V1289" s="3"/>
      <c r="W1289" s="3"/>
      <c r="X1289" s="3"/>
      <c r="Y1289" s="3"/>
      <c r="Z1289" s="3"/>
      <c r="AA1289" s="3"/>
      <c r="AB1289" s="3"/>
      <c r="AC1289" s="3"/>
      <c r="AD1289" s="3"/>
      <c r="AE1289" t="s">
        <v>6337</v>
      </c>
      <c r="AF1289" t="s">
        <v>1452</v>
      </c>
    </row>
    <row r="1290" spans="1:32" x14ac:dyDescent="0.3">
      <c r="A1290" t="s">
        <v>1826</v>
      </c>
      <c r="B1290" s="1" t="s">
        <v>1205</v>
      </c>
      <c r="C1290" s="5" t="s">
        <v>3355</v>
      </c>
      <c r="D1290" s="2" t="s">
        <v>4873</v>
      </c>
      <c r="E1290" s="1" t="s">
        <v>915</v>
      </c>
      <c r="F1290" s="3">
        <v>-25.5789470673</v>
      </c>
      <c r="G1290" s="3">
        <v>-2.3691654204999999</v>
      </c>
      <c r="H1290" s="3">
        <v>17.3600006104</v>
      </c>
      <c r="I1290" s="3">
        <v>27.3600006104</v>
      </c>
      <c r="J1290" s="3">
        <v>41.099998474099998</v>
      </c>
      <c r="K1290" s="3">
        <v>16.866021862299998</v>
      </c>
      <c r="L1290" s="3">
        <v>35.553379040199999</v>
      </c>
      <c r="M1290" s="3">
        <v>115.55635838150286</v>
      </c>
      <c r="N1290" s="3">
        <v>-16.939295411100002</v>
      </c>
      <c r="O1290" s="3">
        <v>-10.7101824561</v>
      </c>
      <c r="P1290" s="3">
        <v>19.324924385927833</v>
      </c>
      <c r="Q1290" s="3">
        <v>-15.153351161701099</v>
      </c>
      <c r="R1290" s="3">
        <v>27.193927611543799</v>
      </c>
      <c r="S1290" s="3">
        <v>37.4827405658476</v>
      </c>
      <c r="T1290" s="3">
        <v>4.4307041180324802E-2</v>
      </c>
      <c r="U1290" s="3">
        <v>7.5897821968250003</v>
      </c>
      <c r="V1290" s="3">
        <v>-1.25730575112568</v>
      </c>
      <c r="W1290" s="3">
        <v>-2.48825226175259</v>
      </c>
      <c r="X1290" s="3">
        <v>-33.906911822869802</v>
      </c>
      <c r="Y1290" s="3">
        <v>-7.8664082844294496</v>
      </c>
      <c r="Z1290" s="3">
        <v>2.9594963349663099</v>
      </c>
      <c r="AA1290" s="3">
        <v>19.411750530532199</v>
      </c>
      <c r="AB1290" s="3">
        <v>-8.2174185121856897</v>
      </c>
      <c r="AC1290" s="3"/>
      <c r="AD1290" s="3"/>
      <c r="AE1290" t="s">
        <v>6338</v>
      </c>
      <c r="AF1290" t="s">
        <v>678</v>
      </c>
    </row>
    <row r="1291" spans="1:32" x14ac:dyDescent="0.3">
      <c r="A1291" t="s">
        <v>1826</v>
      </c>
      <c r="B1291" s="1" t="s">
        <v>1205</v>
      </c>
      <c r="C1291" s="5" t="s">
        <v>3356</v>
      </c>
      <c r="D1291" s="2" t="s">
        <v>4874</v>
      </c>
      <c r="E1291" s="1" t="s">
        <v>1481</v>
      </c>
      <c r="F1291" s="3">
        <v>2.5505800247192401</v>
      </c>
      <c r="G1291" s="3">
        <v>2.6633000373840301</v>
      </c>
      <c r="H1291" s="3">
        <v>2.7562301158904998</v>
      </c>
      <c r="I1291" s="3">
        <v>2.93406009674072</v>
      </c>
      <c r="J1291" s="3"/>
      <c r="K1291" s="3"/>
      <c r="L1291" s="3">
        <v>3.0481400489807098</v>
      </c>
      <c r="M1291" s="3">
        <v>2.90745997428894</v>
      </c>
      <c r="N1291" s="3">
        <v>2.8701000213622998</v>
      </c>
      <c r="O1291" s="3">
        <v>3.44108009338379</v>
      </c>
      <c r="P1291" s="3"/>
      <c r="Q1291" s="3">
        <v>3.9374699592590301</v>
      </c>
      <c r="R1291" s="3">
        <v>4.6979899406433097</v>
      </c>
      <c r="S1291" s="3">
        <v>5.6432199478149396</v>
      </c>
      <c r="T1291" s="3">
        <v>6.4556999206543004</v>
      </c>
      <c r="U1291" s="3">
        <v>7.0588297843933097</v>
      </c>
      <c r="V1291" s="3">
        <v>7.7595100402831996</v>
      </c>
      <c r="W1291" s="3">
        <v>8.1510896682739293</v>
      </c>
      <c r="X1291" s="3">
        <v>8.2042999267578107</v>
      </c>
      <c r="Y1291" s="3">
        <v>8.3458995819091797</v>
      </c>
      <c r="Z1291" s="3">
        <v>10.6196899414063</v>
      </c>
      <c r="AA1291" s="3">
        <v>10.437649726867701</v>
      </c>
      <c r="AB1291" s="3">
        <v>10.717577934265099</v>
      </c>
      <c r="AC1291" s="3"/>
      <c r="AD1291" s="3"/>
      <c r="AE1291" t="s">
        <v>6339</v>
      </c>
      <c r="AF1291" t="s">
        <v>1211</v>
      </c>
    </row>
    <row r="1292" spans="1:32" x14ac:dyDescent="0.3">
      <c r="A1292" t="s">
        <v>1826</v>
      </c>
      <c r="B1292" s="1" t="s">
        <v>1205</v>
      </c>
      <c r="C1292" s="5" t="s">
        <v>3357</v>
      </c>
      <c r="D1292" s="2" t="s">
        <v>4875</v>
      </c>
      <c r="E1292" s="1" t="s">
        <v>1493</v>
      </c>
      <c r="F1292" s="3">
        <v>2.5025699138641402</v>
      </c>
      <c r="G1292" s="3">
        <v>2.6292300224304199</v>
      </c>
      <c r="H1292" s="3">
        <v>2.7386400699615501</v>
      </c>
      <c r="I1292" s="3">
        <v>2.8846900463104199</v>
      </c>
      <c r="J1292" s="3"/>
      <c r="K1292" s="3"/>
      <c r="L1292" s="3">
        <v>3.0301098823547399</v>
      </c>
      <c r="M1292" s="3">
        <v>2.9082400798797599</v>
      </c>
      <c r="N1292" s="3">
        <v>2.8417301177978498</v>
      </c>
      <c r="O1292" s="3">
        <v>3.39810991287231</v>
      </c>
      <c r="P1292" s="3"/>
      <c r="Q1292" s="3">
        <v>3.9470100402832</v>
      </c>
      <c r="R1292" s="3">
        <v>4.6962800025939897</v>
      </c>
      <c r="S1292" s="3">
        <v>5.62622022628784</v>
      </c>
      <c r="T1292" s="3">
        <v>6.4556198120117196</v>
      </c>
      <c r="U1292" s="3">
        <v>7.0881099700927699</v>
      </c>
      <c r="V1292" s="3">
        <v>7.8023300170898402</v>
      </c>
      <c r="W1292" s="3">
        <v>8.2172603607177699</v>
      </c>
      <c r="X1292" s="3">
        <v>8.2789802551269496</v>
      </c>
      <c r="Y1292" s="3">
        <v>8.4665603637695295</v>
      </c>
      <c r="Z1292" s="3">
        <v>10.962800025939901</v>
      </c>
      <c r="AA1292" s="3">
        <v>10.870479583740201</v>
      </c>
      <c r="AB1292" s="3">
        <v>11.273151397705099</v>
      </c>
      <c r="AC1292" s="3"/>
      <c r="AD1292" s="3"/>
      <c r="AE1292" t="s">
        <v>6339</v>
      </c>
      <c r="AF1292" t="s">
        <v>1211</v>
      </c>
    </row>
    <row r="1293" spans="1:32" x14ac:dyDescent="0.3">
      <c r="A1293" t="s">
        <v>1826</v>
      </c>
      <c r="B1293" s="1" t="s">
        <v>1205</v>
      </c>
      <c r="C1293" s="5" t="s">
        <v>3358</v>
      </c>
      <c r="D1293" s="2" t="s">
        <v>4876</v>
      </c>
      <c r="E1293" s="1" t="s">
        <v>731</v>
      </c>
      <c r="F1293" s="3">
        <v>2.5982999801635702</v>
      </c>
      <c r="G1293" s="3">
        <v>2.6972000598907502</v>
      </c>
      <c r="H1293" s="3">
        <v>2.7737200260162398</v>
      </c>
      <c r="I1293" s="3">
        <v>2.9832201004028298</v>
      </c>
      <c r="J1293" s="3"/>
      <c r="K1293" s="3"/>
      <c r="L1293" s="3">
        <v>3.0660998821258501</v>
      </c>
      <c r="M1293" s="3">
        <v>2.9066700935363801</v>
      </c>
      <c r="N1293" s="3">
        <v>2.8983199596404998</v>
      </c>
      <c r="O1293" s="3">
        <v>3.4837601184845002</v>
      </c>
      <c r="P1293" s="3"/>
      <c r="Q1293" s="3">
        <v>3.9280099868774401</v>
      </c>
      <c r="R1293" s="3">
        <v>4.6996798515319798</v>
      </c>
      <c r="S1293" s="3">
        <v>5.6600699424743697</v>
      </c>
      <c r="T1293" s="3">
        <v>6.4557800292968803</v>
      </c>
      <c r="U1293" s="3">
        <v>7.0298399925231898</v>
      </c>
      <c r="V1293" s="3">
        <v>7.7171301841735804</v>
      </c>
      <c r="W1293" s="3">
        <v>8.0856199264526403</v>
      </c>
      <c r="X1293" s="3">
        <v>8.1304397583007795</v>
      </c>
      <c r="Y1293" s="3">
        <v>8.2265701293945295</v>
      </c>
      <c r="Z1293" s="3">
        <v>10.2803201675415</v>
      </c>
      <c r="AA1293" s="3">
        <v>10.009490013122599</v>
      </c>
      <c r="AB1293" s="3">
        <v>10.168138504028301</v>
      </c>
      <c r="AC1293" s="3"/>
      <c r="AD1293" s="3"/>
      <c r="AE1293" t="s">
        <v>6339</v>
      </c>
      <c r="AF1293" t="s">
        <v>1211</v>
      </c>
    </row>
    <row r="1294" spans="1:32" x14ac:dyDescent="0.3">
      <c r="A1294" t="s">
        <v>1826</v>
      </c>
      <c r="B1294" s="1" t="s">
        <v>1205</v>
      </c>
      <c r="C1294" s="5" t="s">
        <v>3359</v>
      </c>
      <c r="D1294" s="2" t="s">
        <v>4877</v>
      </c>
      <c r="E1294" s="1" t="s">
        <v>2040</v>
      </c>
      <c r="F1294" s="3">
        <v>70.501808166503906</v>
      </c>
      <c r="G1294" s="3">
        <v>71.674949645996094</v>
      </c>
      <c r="H1294" s="3">
        <v>71.688652038574205</v>
      </c>
      <c r="I1294" s="3">
        <v>67.717712402343807</v>
      </c>
      <c r="J1294" s="3"/>
      <c r="K1294" s="3"/>
      <c r="L1294" s="3">
        <v>64.888931274414105</v>
      </c>
      <c r="M1294" s="3">
        <v>65.332138061523395</v>
      </c>
      <c r="N1294" s="3">
        <v>69.164230346679702</v>
      </c>
      <c r="O1294" s="3">
        <v>68.635192871093807</v>
      </c>
      <c r="P1294" s="3"/>
      <c r="Q1294" s="3">
        <v>77.107582092285199</v>
      </c>
      <c r="R1294" s="3">
        <v>79.743789672851605</v>
      </c>
      <c r="S1294" s="3">
        <v>80.624908447265597</v>
      </c>
      <c r="T1294" s="3">
        <v>82.849349975585895</v>
      </c>
      <c r="U1294" s="3">
        <v>85.892303466796903</v>
      </c>
      <c r="V1294" s="3">
        <v>90.134246826171903</v>
      </c>
      <c r="W1294" s="3">
        <v>91.817092895507798</v>
      </c>
      <c r="X1294" s="3">
        <v>92.901893615722699</v>
      </c>
      <c r="Y1294" s="3">
        <v>93.545219421386705</v>
      </c>
      <c r="Z1294" s="3">
        <v>94.160911560058594</v>
      </c>
      <c r="AA1294" s="3">
        <v>92.719383239746094</v>
      </c>
      <c r="AB1294" s="3">
        <v>94.648941040039105</v>
      </c>
      <c r="AC1294" s="3">
        <v>101.650497436523</v>
      </c>
      <c r="AD1294" s="3"/>
      <c r="AE1294" t="s">
        <v>6340</v>
      </c>
      <c r="AF1294" t="s">
        <v>1680</v>
      </c>
    </row>
    <row r="1295" spans="1:32" x14ac:dyDescent="0.3">
      <c r="A1295" t="s">
        <v>1826</v>
      </c>
      <c r="B1295" s="1" t="s">
        <v>1205</v>
      </c>
      <c r="C1295" s="5" t="s">
        <v>3360</v>
      </c>
      <c r="D1295" s="2" t="s">
        <v>4878</v>
      </c>
      <c r="E1295" s="1" t="s">
        <v>1685</v>
      </c>
      <c r="F1295" s="3">
        <v>55.668900000000001</v>
      </c>
      <c r="G1295" s="3">
        <v>59.623249999999999</v>
      </c>
      <c r="H1295" s="3">
        <v>59.609879999999997</v>
      </c>
      <c r="I1295" s="3">
        <v>56.082900000000002</v>
      </c>
      <c r="J1295" s="3"/>
      <c r="K1295" s="3"/>
      <c r="L1295" s="3"/>
      <c r="M1295" s="3"/>
      <c r="N1295" s="3"/>
      <c r="O1295" s="3">
        <v>55.838340000000002</v>
      </c>
      <c r="P1295" s="3"/>
      <c r="Q1295" s="3"/>
      <c r="R1295" s="3"/>
      <c r="S1295" s="3">
        <v>66.9161</v>
      </c>
      <c r="T1295" s="3">
        <v>72.341080000000005</v>
      </c>
      <c r="U1295" s="3">
        <v>76.735950000000003</v>
      </c>
      <c r="V1295" s="3">
        <v>83.169920000000005</v>
      </c>
      <c r="W1295" s="3">
        <v>85.572320000000005</v>
      </c>
      <c r="X1295" s="3">
        <v>90.328370000000007</v>
      </c>
      <c r="Y1295" s="3"/>
      <c r="Z1295" s="3"/>
      <c r="AA1295" s="3"/>
      <c r="AB1295" s="3"/>
      <c r="AC1295" s="3"/>
      <c r="AD1295" s="3"/>
      <c r="AE1295" t="s">
        <v>6341</v>
      </c>
      <c r="AF1295" t="s">
        <v>1838</v>
      </c>
    </row>
    <row r="1296" spans="1:32" x14ac:dyDescent="0.3">
      <c r="A1296" t="s">
        <v>1826</v>
      </c>
      <c r="B1296" s="1" t="s">
        <v>1205</v>
      </c>
      <c r="C1296" s="5" t="s">
        <v>3361</v>
      </c>
      <c r="D1296" s="2" t="s">
        <v>4879</v>
      </c>
      <c r="E1296" s="1" t="s">
        <v>2067</v>
      </c>
      <c r="F1296" s="3">
        <v>0.74665999412536599</v>
      </c>
      <c r="G1296" s="3">
        <v>0.76156997680664096</v>
      </c>
      <c r="H1296" s="3">
        <v>0.73499000072479204</v>
      </c>
      <c r="I1296" s="3">
        <v>0.792500019073486</v>
      </c>
      <c r="J1296" s="3"/>
      <c r="K1296" s="3"/>
      <c r="L1296" s="3">
        <v>0.78667998313903797</v>
      </c>
      <c r="M1296" s="3">
        <v>0.78803002834320102</v>
      </c>
      <c r="N1296" s="3">
        <v>0.78667998313903797</v>
      </c>
      <c r="O1296" s="3">
        <v>0.80624997615814198</v>
      </c>
      <c r="P1296" s="3"/>
      <c r="Q1296" s="3">
        <v>0.82792001962661699</v>
      </c>
      <c r="R1296" s="3">
        <v>0.84136998653411899</v>
      </c>
      <c r="S1296" s="3">
        <v>0.85789000988006603</v>
      </c>
      <c r="T1296" s="3">
        <v>0.86716002225875899</v>
      </c>
      <c r="U1296" s="3">
        <v>0.880309998989105</v>
      </c>
      <c r="V1296" s="3">
        <v>0.89617997407913197</v>
      </c>
      <c r="W1296" s="3">
        <v>0.91179001331329301</v>
      </c>
      <c r="X1296" s="3">
        <v>0.92644000053405795</v>
      </c>
      <c r="Y1296" s="3">
        <v>0.94056999683380105</v>
      </c>
      <c r="Z1296" s="3">
        <v>0.94359999895095803</v>
      </c>
      <c r="AA1296" s="3">
        <v>0.95282000303268399</v>
      </c>
      <c r="AB1296" s="3">
        <v>0.95635885000228904</v>
      </c>
      <c r="AC1296" s="3"/>
      <c r="AD1296" s="3"/>
      <c r="AE1296" t="s">
        <v>6342</v>
      </c>
      <c r="AF1296" t="s">
        <v>170</v>
      </c>
    </row>
    <row r="1297" spans="1:32" x14ac:dyDescent="0.3">
      <c r="A1297" t="s">
        <v>1826</v>
      </c>
      <c r="B1297" s="1" t="s">
        <v>1205</v>
      </c>
      <c r="C1297" s="5" t="s">
        <v>3362</v>
      </c>
      <c r="D1297" s="2" t="s">
        <v>4880</v>
      </c>
      <c r="E1297" s="1" t="s">
        <v>1984</v>
      </c>
      <c r="F1297" s="3"/>
      <c r="G1297" s="3"/>
      <c r="H1297" s="3"/>
      <c r="I1297" s="3"/>
      <c r="J1297" s="3"/>
      <c r="K1297" s="3"/>
      <c r="L1297" s="3"/>
      <c r="M1297" s="3"/>
      <c r="N1297" s="3"/>
      <c r="O1297" s="3"/>
      <c r="P1297" s="3"/>
      <c r="Q1297" s="3">
        <v>0.77917778491973899</v>
      </c>
      <c r="R1297" s="3"/>
      <c r="S1297" s="3">
        <v>0.794897019863129</v>
      </c>
      <c r="T1297" s="3">
        <v>0.80755001306533802</v>
      </c>
      <c r="U1297" s="3">
        <v>0.81822001934051503</v>
      </c>
      <c r="V1297" s="3">
        <v>0.83350002765655495</v>
      </c>
      <c r="W1297" s="3">
        <v>0.85066998004913297</v>
      </c>
      <c r="X1297" s="3">
        <v>0.86787998676300004</v>
      </c>
      <c r="Y1297" s="3">
        <v>0.88414001464843806</v>
      </c>
      <c r="Z1297" s="3">
        <v>0.89806997776031505</v>
      </c>
      <c r="AA1297" s="3">
        <v>0.91513001918792702</v>
      </c>
      <c r="AB1297" s="3"/>
      <c r="AC1297" s="3"/>
      <c r="AD1297" s="3"/>
      <c r="AE1297" t="s">
        <v>6343</v>
      </c>
      <c r="AF1297" t="s">
        <v>1791</v>
      </c>
    </row>
    <row r="1298" spans="1:32" x14ac:dyDescent="0.3">
      <c r="A1298" t="s">
        <v>1826</v>
      </c>
      <c r="B1298" s="1" t="s">
        <v>1205</v>
      </c>
      <c r="C1298" s="5" t="s">
        <v>3363</v>
      </c>
      <c r="D1298" s="2" t="s">
        <v>4881</v>
      </c>
      <c r="E1298" s="1" t="s">
        <v>225</v>
      </c>
      <c r="F1298" s="3">
        <v>60.533851623535199</v>
      </c>
      <c r="G1298" s="3">
        <v>62.207561492919901</v>
      </c>
      <c r="H1298" s="3">
        <v>60.898368835449197</v>
      </c>
      <c r="I1298" s="3">
        <v>60.051368713378899</v>
      </c>
      <c r="J1298" s="3"/>
      <c r="K1298" s="3"/>
      <c r="L1298" s="3">
        <v>57.544391632080099</v>
      </c>
      <c r="M1298" s="3">
        <v>58.117870330810497</v>
      </c>
      <c r="N1298" s="3">
        <v>61.613479614257798</v>
      </c>
      <c r="O1298" s="3">
        <v>62.118438720703097</v>
      </c>
      <c r="P1298" s="3"/>
      <c r="Q1298" s="3">
        <v>71.066680908203097</v>
      </c>
      <c r="R1298" s="3">
        <v>74.102920532226605</v>
      </c>
      <c r="S1298" s="3">
        <v>75.619873046875</v>
      </c>
      <c r="T1298" s="3">
        <v>78.008277893066406</v>
      </c>
      <c r="U1298" s="3">
        <v>81.347930908203097</v>
      </c>
      <c r="V1298" s="3">
        <v>85.979347229003906</v>
      </c>
      <c r="W1298" s="3">
        <v>88.139709472656193</v>
      </c>
      <c r="X1298" s="3">
        <v>89.705886840820298</v>
      </c>
      <c r="Y1298" s="3">
        <v>90.862998962402301</v>
      </c>
      <c r="Z1298" s="3">
        <v>91.485160827636705</v>
      </c>
      <c r="AA1298" s="3">
        <v>90.466079711914105</v>
      </c>
      <c r="AB1298" s="3">
        <v>92.482269287109403</v>
      </c>
      <c r="AC1298" s="3">
        <v>99.353500366210895</v>
      </c>
      <c r="AD1298" s="3"/>
      <c r="AE1298" t="s">
        <v>6340</v>
      </c>
      <c r="AF1298" t="s">
        <v>782</v>
      </c>
    </row>
    <row r="1299" spans="1:32" x14ac:dyDescent="0.3">
      <c r="A1299" t="s">
        <v>1826</v>
      </c>
      <c r="B1299" s="1" t="s">
        <v>1205</v>
      </c>
      <c r="C1299" s="5" t="s">
        <v>3364</v>
      </c>
      <c r="D1299" s="2" t="s">
        <v>4882</v>
      </c>
      <c r="E1299" s="1" t="s">
        <v>859</v>
      </c>
      <c r="F1299" s="3">
        <v>47.390900000000002</v>
      </c>
      <c r="G1299" s="3">
        <v>51.253230000000002</v>
      </c>
      <c r="H1299" s="3">
        <v>50.448590000000003</v>
      </c>
      <c r="I1299" s="3">
        <v>49.879820000000002</v>
      </c>
      <c r="J1299" s="3"/>
      <c r="K1299" s="3"/>
      <c r="L1299" s="3"/>
      <c r="M1299" s="3"/>
      <c r="N1299" s="3"/>
      <c r="O1299" s="3">
        <v>50.483910000000002</v>
      </c>
      <c r="P1299" s="3"/>
      <c r="Q1299" s="3"/>
      <c r="R1299" s="3"/>
      <c r="S1299" s="3">
        <v>64.176230000000004</v>
      </c>
      <c r="T1299" s="3">
        <v>67.643519999999995</v>
      </c>
      <c r="U1299" s="3">
        <v>72.054069999999996</v>
      </c>
      <c r="V1299" s="3">
        <v>79.039770000000004</v>
      </c>
      <c r="W1299" s="3">
        <v>81.940799999999996</v>
      </c>
      <c r="X1299" s="3">
        <v>86.60521</v>
      </c>
      <c r="Y1299" s="3"/>
      <c r="Z1299" s="3"/>
      <c r="AA1299" s="3"/>
      <c r="AB1299" s="3"/>
      <c r="AC1299" s="3"/>
      <c r="AD1299" s="3"/>
      <c r="AE1299" t="s">
        <v>6341</v>
      </c>
      <c r="AF1299" t="s">
        <v>638</v>
      </c>
    </row>
    <row r="1300" spans="1:32" x14ac:dyDescent="0.3">
      <c r="A1300" t="s">
        <v>1826</v>
      </c>
      <c r="B1300" s="1" t="s">
        <v>1205</v>
      </c>
      <c r="C1300" s="5" t="s">
        <v>3365</v>
      </c>
      <c r="D1300" s="2" t="s">
        <v>4883</v>
      </c>
      <c r="E1300" s="1" t="s">
        <v>1487</v>
      </c>
      <c r="F1300" s="3">
        <v>80.365966796875</v>
      </c>
      <c r="G1300" s="3">
        <v>81.064079284667997</v>
      </c>
      <c r="H1300" s="3">
        <v>82.412200927734403</v>
      </c>
      <c r="I1300" s="3">
        <v>75.335929870605497</v>
      </c>
      <c r="J1300" s="3"/>
      <c r="K1300" s="3"/>
      <c r="L1300" s="3">
        <v>72.149040222167997</v>
      </c>
      <c r="M1300" s="3">
        <v>72.437652587890597</v>
      </c>
      <c r="N1300" s="3">
        <v>76.567268371582003</v>
      </c>
      <c r="O1300" s="3">
        <v>74.994812011718807</v>
      </c>
      <c r="P1300" s="3"/>
      <c r="Q1300" s="3">
        <v>82.952400207519503</v>
      </c>
      <c r="R1300" s="3">
        <v>85.199409484863295</v>
      </c>
      <c r="S1300" s="3">
        <v>85.469871520996094</v>
      </c>
      <c r="T1300" s="3">
        <v>87.546150207519503</v>
      </c>
      <c r="U1300" s="3">
        <v>90.314949035644503</v>
      </c>
      <c r="V1300" s="3">
        <v>94.192878723144503</v>
      </c>
      <c r="W1300" s="3">
        <v>95.424278259277301</v>
      </c>
      <c r="X1300" s="3">
        <v>96.048591613769503</v>
      </c>
      <c r="Y1300" s="3">
        <v>96.193870544433594</v>
      </c>
      <c r="Z1300" s="3">
        <v>96.809066772460895</v>
      </c>
      <c r="AA1300" s="3">
        <v>94.952499389648395</v>
      </c>
      <c r="AB1300" s="3">
        <v>96.797401428222699</v>
      </c>
      <c r="AC1300" s="3">
        <v>103.927597045898</v>
      </c>
      <c r="AD1300" s="3"/>
      <c r="AE1300" t="s">
        <v>6340</v>
      </c>
      <c r="AF1300" t="s">
        <v>1680</v>
      </c>
    </row>
    <row r="1301" spans="1:32" x14ac:dyDescent="0.3">
      <c r="A1301" t="s">
        <v>1826</v>
      </c>
      <c r="B1301" s="1" t="s">
        <v>1205</v>
      </c>
      <c r="C1301" s="5" t="s">
        <v>3366</v>
      </c>
      <c r="D1301" s="2" t="s">
        <v>4884</v>
      </c>
      <c r="E1301" s="1" t="s">
        <v>101</v>
      </c>
      <c r="F1301" s="3">
        <v>63.932690000000001</v>
      </c>
      <c r="G1301" s="3">
        <v>67.987480000000005</v>
      </c>
      <c r="H1301" s="3">
        <v>68.763509999999997</v>
      </c>
      <c r="I1301" s="3">
        <v>62.282919999999997</v>
      </c>
      <c r="J1301" s="3"/>
      <c r="K1301" s="3"/>
      <c r="L1301" s="3"/>
      <c r="M1301" s="3"/>
      <c r="N1301" s="3"/>
      <c r="O1301" s="3">
        <v>61.206580000000002</v>
      </c>
      <c r="P1301" s="3"/>
      <c r="Q1301" s="3"/>
      <c r="R1301" s="3"/>
      <c r="S1301" s="3">
        <v>69.651399999999995</v>
      </c>
      <c r="T1301" s="3">
        <v>77.024240000000006</v>
      </c>
      <c r="U1301" s="3">
        <v>81.398060000000001</v>
      </c>
      <c r="V1301" s="3">
        <v>87.279200000000003</v>
      </c>
      <c r="W1301" s="3">
        <v>89.18092</v>
      </c>
      <c r="X1301" s="3">
        <v>94.023880000000005</v>
      </c>
      <c r="Y1301" s="3"/>
      <c r="Z1301" s="3"/>
      <c r="AA1301" s="3"/>
      <c r="AB1301" s="3"/>
      <c r="AC1301" s="3"/>
      <c r="AD1301" s="3"/>
      <c r="AE1301" t="s">
        <v>6341</v>
      </c>
      <c r="AF1301" t="s">
        <v>1838</v>
      </c>
    </row>
    <row r="1302" spans="1:32" x14ac:dyDescent="0.3">
      <c r="A1302" t="s">
        <v>1826</v>
      </c>
      <c r="B1302" s="1" t="s">
        <v>1205</v>
      </c>
      <c r="C1302" s="5" t="s">
        <v>3367</v>
      </c>
      <c r="D1302" s="2" t="s">
        <v>4885</v>
      </c>
      <c r="E1302" s="1" t="s">
        <v>1469</v>
      </c>
      <c r="F1302" s="3">
        <v>11.6418504714966</v>
      </c>
      <c r="G1302" s="3">
        <v>11.3236799240112</v>
      </c>
      <c r="H1302" s="3">
        <v>10.910519599914601</v>
      </c>
      <c r="I1302" s="3"/>
      <c r="J1302" s="3"/>
      <c r="K1302" s="3"/>
      <c r="L1302" s="3">
        <v>11.711549758911101</v>
      </c>
      <c r="M1302" s="3">
        <v>11.7098302841187</v>
      </c>
      <c r="N1302" s="3">
        <v>9.6721000671386701</v>
      </c>
      <c r="O1302" s="3">
        <v>10.667300224304199</v>
      </c>
      <c r="P1302" s="3"/>
      <c r="Q1302" s="3">
        <v>14.166379928588899</v>
      </c>
      <c r="R1302" s="3">
        <v>12.2564401626587</v>
      </c>
      <c r="S1302" s="3">
        <v>13.0429496765137</v>
      </c>
      <c r="T1302" s="3">
        <v>13.511300086975099</v>
      </c>
      <c r="U1302" s="3">
        <v>13.314439773559601</v>
      </c>
      <c r="V1302" s="3">
        <v>12.9714002609253</v>
      </c>
      <c r="W1302" s="3">
        <v>13.855090141296399</v>
      </c>
      <c r="X1302" s="3">
        <v>14.4805097579956</v>
      </c>
      <c r="Y1302" s="3">
        <v>15.6327199935913</v>
      </c>
      <c r="Z1302" s="3">
        <v>16.9715900421143</v>
      </c>
      <c r="AA1302" s="3">
        <v>17.853919982910199</v>
      </c>
      <c r="AB1302" s="3">
        <v>18.1267604827881</v>
      </c>
      <c r="AC1302" s="3">
        <v>19.936399459838899</v>
      </c>
      <c r="AD1302" s="3"/>
      <c r="AE1302" t="s">
        <v>6344</v>
      </c>
      <c r="AF1302" t="s">
        <v>942</v>
      </c>
    </row>
    <row r="1303" spans="1:32" x14ac:dyDescent="0.3">
      <c r="A1303" t="s">
        <v>1826</v>
      </c>
      <c r="B1303" s="1" t="s">
        <v>1205</v>
      </c>
      <c r="C1303" s="5" t="s">
        <v>3368</v>
      </c>
      <c r="D1303" s="2" t="s">
        <v>4886</v>
      </c>
      <c r="E1303" s="1" t="s">
        <v>858</v>
      </c>
      <c r="F1303" s="3"/>
      <c r="G1303" s="3"/>
      <c r="H1303" s="3"/>
      <c r="I1303" s="3"/>
      <c r="J1303" s="3"/>
      <c r="K1303" s="3"/>
      <c r="L1303" s="3"/>
      <c r="M1303" s="3"/>
      <c r="N1303" s="3"/>
      <c r="O1303" s="3"/>
      <c r="P1303" s="3"/>
      <c r="Q1303" s="3"/>
      <c r="R1303" s="3"/>
      <c r="S1303" s="3"/>
      <c r="T1303" s="3">
        <v>38.475601196289098</v>
      </c>
      <c r="U1303" s="3">
        <v>41.663738250732401</v>
      </c>
      <c r="V1303" s="3">
        <v>43.8949584960938</v>
      </c>
      <c r="W1303" s="3">
        <v>46.8549613952637</v>
      </c>
      <c r="X1303" s="3">
        <v>49.045799255371101</v>
      </c>
      <c r="Y1303" s="3">
        <v>52.211151123046903</v>
      </c>
      <c r="Z1303" s="3">
        <v>54.652530670166001</v>
      </c>
      <c r="AA1303" s="3">
        <v>57.281509399414098</v>
      </c>
      <c r="AB1303" s="3">
        <v>55.066940307617202</v>
      </c>
      <c r="AC1303" s="3">
        <v>66.027679443359403</v>
      </c>
      <c r="AD1303" s="3"/>
      <c r="AE1303" t="s">
        <v>6345</v>
      </c>
      <c r="AF1303" t="s">
        <v>543</v>
      </c>
    </row>
    <row r="1304" spans="1:32" x14ac:dyDescent="0.3">
      <c r="A1304" t="s">
        <v>1826</v>
      </c>
      <c r="B1304" s="1" t="s">
        <v>1205</v>
      </c>
      <c r="C1304" s="5" t="s">
        <v>3369</v>
      </c>
      <c r="D1304" s="2" t="s">
        <v>4887</v>
      </c>
      <c r="E1304" s="1" t="s">
        <v>2005</v>
      </c>
      <c r="F1304" s="3"/>
      <c r="G1304" s="3"/>
      <c r="H1304" s="3"/>
      <c r="I1304" s="3"/>
      <c r="J1304" s="3"/>
      <c r="K1304" s="3"/>
      <c r="L1304" s="3"/>
      <c r="M1304" s="3"/>
      <c r="N1304" s="3"/>
      <c r="O1304" s="3"/>
      <c r="P1304" s="3"/>
      <c r="Q1304" s="3"/>
      <c r="R1304" s="3"/>
      <c r="S1304" s="3"/>
      <c r="T1304" s="3">
        <v>30.173660000000002</v>
      </c>
      <c r="U1304" s="3"/>
      <c r="V1304" s="3">
        <v>34.6828</v>
      </c>
      <c r="W1304" s="3">
        <v>37.99436</v>
      </c>
      <c r="X1304" s="3">
        <v>40.198140000000002</v>
      </c>
      <c r="Y1304" s="3"/>
      <c r="Z1304" s="3"/>
      <c r="AA1304" s="3"/>
      <c r="AB1304" s="3"/>
      <c r="AC1304" s="3"/>
      <c r="AD1304" s="3"/>
      <c r="AE1304" t="s">
        <v>6346</v>
      </c>
      <c r="AF1304" t="s">
        <v>1819</v>
      </c>
    </row>
    <row r="1305" spans="1:32" x14ac:dyDescent="0.3">
      <c r="A1305" t="s">
        <v>1826</v>
      </c>
      <c r="B1305" s="1" t="s">
        <v>1205</v>
      </c>
      <c r="C1305" s="5" t="s">
        <v>3370</v>
      </c>
      <c r="D1305" s="2" t="s">
        <v>4888</v>
      </c>
      <c r="E1305" s="1" t="s">
        <v>254</v>
      </c>
      <c r="F1305" s="3"/>
      <c r="G1305" s="3"/>
      <c r="H1305" s="3"/>
      <c r="I1305" s="3"/>
      <c r="J1305" s="3"/>
      <c r="K1305" s="3"/>
      <c r="L1305" s="3"/>
      <c r="M1305" s="3"/>
      <c r="N1305" s="3"/>
      <c r="O1305" s="3"/>
      <c r="P1305" s="3"/>
      <c r="Q1305" s="3">
        <v>0.67699056863784801</v>
      </c>
      <c r="R1305" s="3"/>
      <c r="S1305" s="3">
        <v>0.66265898942947399</v>
      </c>
      <c r="T1305" s="3">
        <v>0.69107997417449996</v>
      </c>
      <c r="U1305" s="3">
        <v>0.70302999019622803</v>
      </c>
      <c r="V1305" s="3">
        <v>0.71852999925613403</v>
      </c>
      <c r="W1305" s="3">
        <v>0.74361002445220903</v>
      </c>
      <c r="X1305" s="3">
        <v>0.76845997571945202</v>
      </c>
      <c r="Y1305" s="3">
        <v>0.79312998056411699</v>
      </c>
      <c r="Z1305" s="3">
        <v>0.82671999931335405</v>
      </c>
      <c r="AA1305" s="3">
        <v>0.85913997888565097</v>
      </c>
      <c r="AB1305" s="3"/>
      <c r="AC1305" s="3"/>
      <c r="AD1305" s="3"/>
      <c r="AE1305" t="s">
        <v>6347</v>
      </c>
      <c r="AF1305" t="s">
        <v>1320</v>
      </c>
    </row>
    <row r="1306" spans="1:32" x14ac:dyDescent="0.3">
      <c r="A1306" t="s">
        <v>1826</v>
      </c>
      <c r="B1306" s="1" t="s">
        <v>1205</v>
      </c>
      <c r="C1306" s="5" t="s">
        <v>3371</v>
      </c>
      <c r="D1306" s="2" t="s">
        <v>4889</v>
      </c>
      <c r="E1306" s="1" t="s">
        <v>1431</v>
      </c>
      <c r="F1306" s="3"/>
      <c r="G1306" s="3"/>
      <c r="H1306" s="3"/>
      <c r="I1306" s="3"/>
      <c r="J1306" s="3"/>
      <c r="K1306" s="3"/>
      <c r="L1306" s="3"/>
      <c r="M1306" s="3"/>
      <c r="N1306" s="3"/>
      <c r="O1306" s="3"/>
      <c r="P1306" s="3"/>
      <c r="Q1306" s="3"/>
      <c r="R1306" s="3"/>
      <c r="S1306" s="3"/>
      <c r="T1306" s="3">
        <v>31.918149948120099</v>
      </c>
      <c r="U1306" s="3">
        <v>34.954368591308601</v>
      </c>
      <c r="V1306" s="3">
        <v>37.319431304931598</v>
      </c>
      <c r="W1306" s="3">
        <v>40.636531829833999</v>
      </c>
      <c r="X1306" s="3">
        <v>43.3195991516113</v>
      </c>
      <c r="Y1306" s="3">
        <v>46.891811370849602</v>
      </c>
      <c r="Z1306" s="3">
        <v>50.141151428222699</v>
      </c>
      <c r="AA1306" s="3">
        <v>53.544479370117202</v>
      </c>
      <c r="AB1306" s="3">
        <v>52.223918914794901</v>
      </c>
      <c r="AC1306" s="3">
        <v>64.049468994140597</v>
      </c>
      <c r="AD1306" s="3"/>
      <c r="AE1306" t="s">
        <v>6345</v>
      </c>
      <c r="AF1306" t="s">
        <v>543</v>
      </c>
    </row>
    <row r="1307" spans="1:32" x14ac:dyDescent="0.3">
      <c r="A1307" t="s">
        <v>1826</v>
      </c>
      <c r="B1307" s="1" t="s">
        <v>1205</v>
      </c>
      <c r="C1307" s="5" t="s">
        <v>3372</v>
      </c>
      <c r="D1307" s="2" t="s">
        <v>4890</v>
      </c>
      <c r="E1307" s="1" t="s">
        <v>36</v>
      </c>
      <c r="F1307" s="3"/>
      <c r="G1307" s="3"/>
      <c r="H1307" s="3"/>
      <c r="I1307" s="3"/>
      <c r="J1307" s="3"/>
      <c r="K1307" s="3"/>
      <c r="L1307" s="3"/>
      <c r="M1307" s="3"/>
      <c r="N1307" s="3"/>
      <c r="O1307" s="3"/>
      <c r="P1307" s="3"/>
      <c r="Q1307" s="3"/>
      <c r="R1307" s="3"/>
      <c r="S1307" s="3"/>
      <c r="T1307" s="3">
        <v>24.519760000000002</v>
      </c>
      <c r="U1307" s="3"/>
      <c r="V1307" s="3">
        <v>28.998999999999999</v>
      </c>
      <c r="W1307" s="3">
        <v>32.408140000000003</v>
      </c>
      <c r="X1307" s="3">
        <v>35.05883</v>
      </c>
      <c r="Y1307" s="3"/>
      <c r="Z1307" s="3"/>
      <c r="AA1307" s="3"/>
      <c r="AB1307" s="3"/>
      <c r="AC1307" s="3"/>
      <c r="AD1307" s="3"/>
      <c r="AE1307" t="s">
        <v>6346</v>
      </c>
      <c r="AF1307" t="s">
        <v>1819</v>
      </c>
    </row>
    <row r="1308" spans="1:32" x14ac:dyDescent="0.3">
      <c r="A1308" t="s">
        <v>1826</v>
      </c>
      <c r="B1308" s="1" t="s">
        <v>1205</v>
      </c>
      <c r="C1308" s="5" t="s">
        <v>3373</v>
      </c>
      <c r="D1308" s="2" t="s">
        <v>4891</v>
      </c>
      <c r="E1308" s="1" t="s">
        <v>659</v>
      </c>
      <c r="F1308" s="3"/>
      <c r="G1308" s="3"/>
      <c r="H1308" s="3"/>
      <c r="I1308" s="3"/>
      <c r="J1308" s="3"/>
      <c r="K1308" s="3"/>
      <c r="L1308" s="3"/>
      <c r="M1308" s="3"/>
      <c r="N1308" s="3"/>
      <c r="O1308" s="3"/>
      <c r="P1308" s="3"/>
      <c r="Q1308" s="3"/>
      <c r="R1308" s="3"/>
      <c r="S1308" s="3"/>
      <c r="T1308" s="3">
        <v>44.8885688781738</v>
      </c>
      <c r="U1308" s="3">
        <v>48.202201843261697</v>
      </c>
      <c r="V1308" s="3">
        <v>50.285999298095703</v>
      </c>
      <c r="W1308" s="3">
        <v>52.888431549072301</v>
      </c>
      <c r="X1308" s="3">
        <v>54.597358703613303</v>
      </c>
      <c r="Y1308" s="3">
        <v>57.3697319030762</v>
      </c>
      <c r="Z1308" s="3">
        <v>59.033889770507798</v>
      </c>
      <c r="AA1308" s="3">
        <v>60.920528411865199</v>
      </c>
      <c r="AB1308" s="3">
        <v>57.844718933105497</v>
      </c>
      <c r="AC1308" s="3">
        <v>67.968162536621094</v>
      </c>
      <c r="AD1308" s="3"/>
      <c r="AE1308" t="s">
        <v>6345</v>
      </c>
      <c r="AF1308" t="s">
        <v>1470</v>
      </c>
    </row>
    <row r="1309" spans="1:32" x14ac:dyDescent="0.3">
      <c r="A1309" t="s">
        <v>1826</v>
      </c>
      <c r="B1309" s="1" t="s">
        <v>1205</v>
      </c>
      <c r="C1309" s="5" t="s">
        <v>3374</v>
      </c>
      <c r="D1309" s="2" t="s">
        <v>4892</v>
      </c>
      <c r="E1309" s="1" t="s">
        <v>735</v>
      </c>
      <c r="F1309" s="3"/>
      <c r="G1309" s="3"/>
      <c r="H1309" s="3"/>
      <c r="I1309" s="3"/>
      <c r="J1309" s="3"/>
      <c r="K1309" s="3"/>
      <c r="L1309" s="3"/>
      <c r="M1309" s="3"/>
      <c r="N1309" s="3"/>
      <c r="O1309" s="3"/>
      <c r="P1309" s="3"/>
      <c r="Q1309" s="3"/>
      <c r="R1309" s="3"/>
      <c r="S1309" s="3"/>
      <c r="T1309" s="3">
        <v>35.862830000000002</v>
      </c>
      <c r="U1309" s="3"/>
      <c r="V1309" s="3">
        <v>40.388680000000001</v>
      </c>
      <c r="W1309" s="3">
        <v>43.594740000000002</v>
      </c>
      <c r="X1309" s="3">
        <v>45.34263</v>
      </c>
      <c r="Y1309" s="3"/>
      <c r="Z1309" s="3"/>
      <c r="AA1309" s="3"/>
      <c r="AB1309" s="3"/>
      <c r="AC1309" s="3"/>
      <c r="AD1309" s="3"/>
      <c r="AE1309" t="s">
        <v>6346</v>
      </c>
      <c r="AF1309" t="s">
        <v>1819</v>
      </c>
    </row>
    <row r="1310" spans="1:32" x14ac:dyDescent="0.3">
      <c r="A1310" t="s">
        <v>1826</v>
      </c>
      <c r="B1310" s="1" t="s">
        <v>1205</v>
      </c>
      <c r="C1310" s="5" t="s">
        <v>3375</v>
      </c>
      <c r="D1310" s="2" t="s">
        <v>4893</v>
      </c>
      <c r="E1310" s="1" t="s">
        <v>640</v>
      </c>
      <c r="F1310" s="3"/>
      <c r="G1310" s="3"/>
      <c r="H1310" s="3"/>
      <c r="I1310" s="3"/>
      <c r="J1310" s="3"/>
      <c r="K1310" s="3"/>
      <c r="L1310" s="3"/>
      <c r="M1310" s="3"/>
      <c r="N1310" s="3"/>
      <c r="O1310" s="3"/>
      <c r="P1310" s="3"/>
      <c r="Q1310" s="3"/>
      <c r="R1310" s="3"/>
      <c r="S1310" s="3"/>
      <c r="T1310" s="3">
        <v>51.110191345214801</v>
      </c>
      <c r="U1310" s="3">
        <v>52.068859100341797</v>
      </c>
      <c r="V1310" s="3">
        <v>51.797130584716797</v>
      </c>
      <c r="W1310" s="3">
        <v>50.5660209655762</v>
      </c>
      <c r="X1310" s="3">
        <v>50.6244506835938</v>
      </c>
      <c r="Y1310" s="3">
        <v>51.6245307922363</v>
      </c>
      <c r="Z1310" s="3">
        <v>52.796901702880902</v>
      </c>
      <c r="AA1310" s="3">
        <v>50.223869323730497</v>
      </c>
      <c r="AB1310" s="3">
        <v>57.866401672363303</v>
      </c>
      <c r="AC1310" s="3">
        <v>65.423240661621094</v>
      </c>
      <c r="AD1310" s="3"/>
      <c r="AE1310" t="s">
        <v>6344</v>
      </c>
      <c r="AF1310" t="s">
        <v>95</v>
      </c>
    </row>
    <row r="1311" spans="1:32" x14ac:dyDescent="0.3">
      <c r="A1311" t="s">
        <v>1826</v>
      </c>
      <c r="B1311" s="1" t="s">
        <v>1205</v>
      </c>
      <c r="C1311" s="5" t="s">
        <v>3376</v>
      </c>
      <c r="D1311" s="2" t="s">
        <v>4894</v>
      </c>
      <c r="E1311" s="1" t="s">
        <v>284</v>
      </c>
      <c r="F1311" s="3"/>
      <c r="G1311" s="3"/>
      <c r="H1311" s="3"/>
      <c r="I1311" s="3"/>
      <c r="J1311" s="3"/>
      <c r="K1311" s="3"/>
      <c r="L1311" s="3"/>
      <c r="M1311" s="3">
        <v>8.7814197540283203</v>
      </c>
      <c r="N1311" s="3">
        <v>8.3458099365234393</v>
      </c>
      <c r="O1311" s="3">
        <v>8.1834697723388707</v>
      </c>
      <c r="P1311" s="3">
        <v>7.4738202095031703</v>
      </c>
      <c r="Q1311" s="3">
        <v>3.30475997924805</v>
      </c>
      <c r="R1311" s="3"/>
      <c r="S1311" s="3">
        <v>8.1219501495361293</v>
      </c>
      <c r="T1311" s="3">
        <v>8.3683004379272496</v>
      </c>
      <c r="U1311" s="3">
        <v>8.8992795944213903</v>
      </c>
      <c r="V1311" s="3">
        <v>9.0927696228027308</v>
      </c>
      <c r="W1311" s="3">
        <v>9.4700002670288104</v>
      </c>
      <c r="X1311" s="3"/>
      <c r="Y1311" s="3">
        <v>9.9126100540161097</v>
      </c>
      <c r="Z1311" s="3">
        <v>9.7769804000854492</v>
      </c>
      <c r="AA1311" s="3">
        <v>10.2318000793457</v>
      </c>
      <c r="AB1311" s="3">
        <v>10.6260900497437</v>
      </c>
      <c r="AC1311" s="3">
        <v>11.1203804016113</v>
      </c>
      <c r="AD1311" s="3"/>
      <c r="AE1311" t="s">
        <v>6348</v>
      </c>
      <c r="AF1311" t="s">
        <v>981</v>
      </c>
    </row>
    <row r="1312" spans="1:32" x14ac:dyDescent="0.3">
      <c r="A1312" t="s">
        <v>1826</v>
      </c>
      <c r="B1312" s="1" t="s">
        <v>1205</v>
      </c>
      <c r="C1312" s="5" t="s">
        <v>3377</v>
      </c>
      <c r="D1312" s="2" t="s">
        <v>4895</v>
      </c>
      <c r="E1312" s="1" t="s">
        <v>527</v>
      </c>
      <c r="F1312" s="3"/>
      <c r="G1312" s="3"/>
      <c r="H1312" s="3"/>
      <c r="I1312" s="3"/>
      <c r="J1312" s="3"/>
      <c r="K1312" s="3"/>
      <c r="L1312" s="3"/>
      <c r="M1312" s="3">
        <v>0.50642997026443504</v>
      </c>
      <c r="N1312" s="3">
        <v>0.55208998918533303</v>
      </c>
      <c r="O1312" s="3">
        <v>0.52869999408721902</v>
      </c>
      <c r="P1312" s="3">
        <v>0.51282000541687001</v>
      </c>
      <c r="Q1312" s="3">
        <v>0.66662001609802202</v>
      </c>
      <c r="R1312" s="3"/>
      <c r="S1312" s="3">
        <v>0.61162000894546498</v>
      </c>
      <c r="T1312" s="3">
        <v>0.57450002431869496</v>
      </c>
      <c r="U1312" s="3">
        <v>0.651319980621338</v>
      </c>
      <c r="V1312" s="3">
        <v>0.68853998184204102</v>
      </c>
      <c r="W1312" s="3">
        <v>0.70177000761032104</v>
      </c>
      <c r="X1312" s="3"/>
      <c r="Y1312" s="3">
        <v>0.76450002193450906</v>
      </c>
      <c r="Z1312" s="3">
        <v>0.80564999580383301</v>
      </c>
      <c r="AA1312" s="3">
        <v>0.80895000696182295</v>
      </c>
      <c r="AB1312" s="3">
        <v>0.80593997240066495</v>
      </c>
      <c r="AC1312" s="3">
        <v>0.87632000446319602</v>
      </c>
      <c r="AD1312" s="3"/>
      <c r="AE1312" t="s">
        <v>6349</v>
      </c>
      <c r="AF1312" t="s">
        <v>1310</v>
      </c>
    </row>
    <row r="1313" spans="1:32" x14ac:dyDescent="0.3">
      <c r="A1313" t="s">
        <v>1826</v>
      </c>
      <c r="B1313" s="1" t="s">
        <v>1205</v>
      </c>
      <c r="C1313" s="5" t="s">
        <v>3378</v>
      </c>
      <c r="D1313" s="2" t="s">
        <v>4896</v>
      </c>
      <c r="E1313" s="1" t="s">
        <v>1540</v>
      </c>
      <c r="F1313" s="3"/>
      <c r="G1313" s="3"/>
      <c r="H1313" s="3"/>
      <c r="I1313" s="3"/>
      <c r="J1313" s="3"/>
      <c r="K1313" s="3"/>
      <c r="L1313" s="3"/>
      <c r="M1313" s="3">
        <v>5.8903498649597203</v>
      </c>
      <c r="N1313" s="3">
        <v>5.9247598648071298</v>
      </c>
      <c r="O1313" s="3">
        <v>5.6504597663879403</v>
      </c>
      <c r="P1313" s="3">
        <v>5.0619101524353001</v>
      </c>
      <c r="Q1313" s="3">
        <v>2.64382004737854</v>
      </c>
      <c r="R1313" s="3"/>
      <c r="S1313" s="3">
        <v>6.1670999526977504</v>
      </c>
      <c r="T1313" s="3">
        <v>6.1075801849365199</v>
      </c>
      <c r="U1313" s="3">
        <v>7.0190901756286603</v>
      </c>
      <c r="V1313" s="3">
        <v>7.4124898910522496</v>
      </c>
      <c r="W1313" s="3">
        <v>7.8047900199890101</v>
      </c>
      <c r="X1313" s="3"/>
      <c r="Y1313" s="3">
        <v>8.58026027679443</v>
      </c>
      <c r="Z1313" s="3">
        <v>8.7150602340698207</v>
      </c>
      <c r="AA1313" s="3">
        <v>9.1393003463745099</v>
      </c>
      <c r="AB1313" s="3">
        <v>9.4700698852539098</v>
      </c>
      <c r="AC1313" s="3">
        <v>10.377200126647899</v>
      </c>
      <c r="AD1313" s="3"/>
      <c r="AE1313" t="s">
        <v>6348</v>
      </c>
      <c r="AF1313" t="s">
        <v>981</v>
      </c>
    </row>
    <row r="1314" spans="1:32" x14ac:dyDescent="0.3">
      <c r="A1314" t="s">
        <v>1826</v>
      </c>
      <c r="B1314" s="1" t="s">
        <v>1205</v>
      </c>
      <c r="C1314" s="5" t="s">
        <v>3379</v>
      </c>
      <c r="D1314" s="2" t="s">
        <v>4897</v>
      </c>
      <c r="E1314" s="1" t="s">
        <v>762</v>
      </c>
      <c r="F1314" s="3"/>
      <c r="G1314" s="3"/>
      <c r="H1314" s="3"/>
      <c r="I1314" s="3"/>
      <c r="J1314" s="3"/>
      <c r="K1314" s="3"/>
      <c r="L1314" s="3"/>
      <c r="M1314" s="3">
        <v>11.6311702728271</v>
      </c>
      <c r="N1314" s="3">
        <v>10.731570243835399</v>
      </c>
      <c r="O1314" s="3">
        <v>10.6874399185181</v>
      </c>
      <c r="P1314" s="3">
        <v>9.8707599639892596</v>
      </c>
      <c r="Q1314" s="3">
        <v>3.96601009368896</v>
      </c>
      <c r="R1314" s="3"/>
      <c r="S1314" s="3">
        <v>10.083239555358899</v>
      </c>
      <c r="T1314" s="3">
        <v>10.631110191345201</v>
      </c>
      <c r="U1314" s="3">
        <v>10.776689529418899</v>
      </c>
      <c r="V1314" s="3">
        <v>10.765469551086399</v>
      </c>
      <c r="W1314" s="3">
        <v>11.121620178222701</v>
      </c>
      <c r="X1314" s="3"/>
      <c r="Y1314" s="3">
        <v>11.2233896255493</v>
      </c>
      <c r="Z1314" s="3">
        <v>10.817410469055201</v>
      </c>
      <c r="AA1314" s="3">
        <v>11.2977504730225</v>
      </c>
      <c r="AB1314" s="3">
        <v>11.750410079956101</v>
      </c>
      <c r="AC1314" s="3">
        <v>11.841819763183601</v>
      </c>
      <c r="AD1314" s="3"/>
      <c r="AE1314" t="s">
        <v>6348</v>
      </c>
      <c r="AF1314" t="s">
        <v>981</v>
      </c>
    </row>
    <row r="1315" spans="1:32" x14ac:dyDescent="0.3">
      <c r="A1315" t="s">
        <v>1826</v>
      </c>
      <c r="B1315" s="1" t="s">
        <v>1205</v>
      </c>
      <c r="C1315" s="5" t="s">
        <v>3380</v>
      </c>
      <c r="D1315" s="2" t="s">
        <v>4898</v>
      </c>
      <c r="E1315" s="1" t="s">
        <v>199</v>
      </c>
      <c r="F1315" s="3">
        <v>75.760000000000005</v>
      </c>
      <c r="G1315" s="3">
        <v>81.14</v>
      </c>
      <c r="H1315" s="3">
        <v>78.97</v>
      </c>
      <c r="I1315" s="3">
        <v>99.37</v>
      </c>
      <c r="J1315" s="3">
        <v>107.13</v>
      </c>
      <c r="K1315" s="3">
        <v>102.07</v>
      </c>
      <c r="L1315" s="3">
        <v>100.1</v>
      </c>
      <c r="M1315" s="3">
        <v>119.18</v>
      </c>
      <c r="N1315" s="3">
        <v>165.66</v>
      </c>
      <c r="O1315" s="3">
        <v>150</v>
      </c>
      <c r="P1315" s="3">
        <v>155.06</v>
      </c>
      <c r="Q1315" s="3">
        <v>180.31</v>
      </c>
      <c r="R1315" s="3">
        <v>185.59</v>
      </c>
      <c r="S1315" s="3">
        <v>157.68</v>
      </c>
      <c r="T1315" s="3">
        <v>181.43</v>
      </c>
      <c r="U1315" s="3">
        <v>177.4</v>
      </c>
      <c r="V1315" s="3">
        <v>174.13</v>
      </c>
      <c r="W1315" s="3">
        <v>205.54</v>
      </c>
      <c r="X1315" s="3">
        <v>248.35</v>
      </c>
      <c r="Y1315" s="3">
        <v>241.19</v>
      </c>
      <c r="Z1315" s="3">
        <v>249.23</v>
      </c>
      <c r="AA1315" s="3">
        <v>334.45</v>
      </c>
      <c r="AB1315" s="3">
        <v>297.64999999999998</v>
      </c>
      <c r="AC1315" s="3"/>
      <c r="AD1315" s="3"/>
      <c r="AE1315" t="s">
        <v>6350</v>
      </c>
      <c r="AF1315" t="s">
        <v>32</v>
      </c>
    </row>
    <row r="1316" spans="1:32" x14ac:dyDescent="0.3">
      <c r="A1316" t="s">
        <v>1826</v>
      </c>
      <c r="B1316" s="1" t="s">
        <v>1205</v>
      </c>
      <c r="C1316" s="5" t="s">
        <v>3381</v>
      </c>
      <c r="D1316" s="2" t="s">
        <v>4899</v>
      </c>
      <c r="E1316" s="1" t="s">
        <v>17</v>
      </c>
      <c r="F1316" s="3">
        <v>7</v>
      </c>
      <c r="G1316" s="3">
        <v>7</v>
      </c>
      <c r="H1316" s="3">
        <v>7</v>
      </c>
      <c r="I1316" s="3">
        <v>7</v>
      </c>
      <c r="J1316" s="3">
        <v>7</v>
      </c>
      <c r="K1316" s="3">
        <v>7</v>
      </c>
      <c r="L1316" s="3">
        <v>7</v>
      </c>
      <c r="M1316" s="3">
        <v>7</v>
      </c>
      <c r="N1316" s="3">
        <v>7</v>
      </c>
      <c r="O1316" s="3">
        <v>7</v>
      </c>
      <c r="P1316" s="3">
        <v>7</v>
      </c>
      <c r="Q1316" s="3">
        <v>7</v>
      </c>
      <c r="R1316" s="3">
        <v>7</v>
      </c>
      <c r="S1316" s="3">
        <v>7</v>
      </c>
      <c r="T1316" s="3">
        <v>7</v>
      </c>
      <c r="U1316" s="3">
        <v>7</v>
      </c>
      <c r="V1316" s="3">
        <v>7</v>
      </c>
      <c r="W1316" s="3">
        <v>7</v>
      </c>
      <c r="X1316" s="3">
        <v>7</v>
      </c>
      <c r="Y1316" s="3">
        <v>7</v>
      </c>
      <c r="Z1316" s="3">
        <v>7</v>
      </c>
      <c r="AA1316" s="3">
        <v>7</v>
      </c>
      <c r="AB1316" s="3">
        <v>7</v>
      </c>
      <c r="AC1316" s="3">
        <v>7</v>
      </c>
      <c r="AD1316" s="3"/>
      <c r="AE1316" t="s">
        <v>6351</v>
      </c>
      <c r="AF1316" t="s">
        <v>702</v>
      </c>
    </row>
    <row r="1317" spans="1:32" x14ac:dyDescent="0.3">
      <c r="A1317" t="s">
        <v>1826</v>
      </c>
      <c r="B1317" s="1" t="s">
        <v>1205</v>
      </c>
      <c r="C1317" s="5" t="s">
        <v>3382</v>
      </c>
      <c r="D1317" s="2" t="s">
        <v>4900</v>
      </c>
      <c r="E1317" s="1" t="s">
        <v>63</v>
      </c>
      <c r="F1317" s="3">
        <v>599080</v>
      </c>
      <c r="G1317" s="3">
        <v>639460</v>
      </c>
      <c r="H1317" s="3">
        <v>703743</v>
      </c>
      <c r="I1317" s="3"/>
      <c r="J1317" s="3"/>
      <c r="K1317" s="3"/>
      <c r="L1317" s="3">
        <v>762727</v>
      </c>
      <c r="M1317" s="3">
        <v>808250</v>
      </c>
      <c r="N1317" s="3">
        <v>851267</v>
      </c>
      <c r="O1317" s="3">
        <v>929606</v>
      </c>
      <c r="P1317" s="3"/>
      <c r="Q1317" s="3">
        <v>999932</v>
      </c>
      <c r="R1317" s="3">
        <v>1132464</v>
      </c>
      <c r="S1317" s="3">
        <v>1215672</v>
      </c>
      <c r="T1317" s="3">
        <v>1321556</v>
      </c>
      <c r="U1317" s="3">
        <v>1478964</v>
      </c>
      <c r="V1317" s="3">
        <v>1621874</v>
      </c>
      <c r="W1317" s="3">
        <v>1791183</v>
      </c>
      <c r="X1317" s="3">
        <v>1923876</v>
      </c>
      <c r="Y1317" s="3"/>
      <c r="Z1317" s="3"/>
      <c r="AA1317" s="3"/>
      <c r="AB1317" s="3"/>
      <c r="AC1317" s="3"/>
      <c r="AD1317" s="3"/>
      <c r="AE1317" t="s">
        <v>6352</v>
      </c>
      <c r="AF1317" t="s">
        <v>552</v>
      </c>
    </row>
    <row r="1318" spans="1:32" x14ac:dyDescent="0.3">
      <c r="A1318" t="s">
        <v>1826</v>
      </c>
      <c r="B1318" s="1" t="s">
        <v>1205</v>
      </c>
      <c r="C1318" s="5" t="s">
        <v>3383</v>
      </c>
      <c r="D1318" s="2" t="s">
        <v>4901</v>
      </c>
      <c r="E1318" s="1" t="s">
        <v>153</v>
      </c>
      <c r="F1318" s="3">
        <v>34.715060000000001</v>
      </c>
      <c r="G1318" s="3">
        <v>35.121670000000002</v>
      </c>
      <c r="H1318" s="3">
        <v>35.115940000000002</v>
      </c>
      <c r="I1318" s="3"/>
      <c r="J1318" s="3"/>
      <c r="K1318" s="3"/>
      <c r="L1318" s="3">
        <v>37.288179999999997</v>
      </c>
      <c r="M1318" s="3">
        <v>36.697429999999997</v>
      </c>
      <c r="N1318" s="3">
        <v>36.806429999999999</v>
      </c>
      <c r="O1318" s="3">
        <v>38.143149999999999</v>
      </c>
      <c r="P1318" s="3"/>
      <c r="Q1318" s="3">
        <v>39.206569999999999</v>
      </c>
      <c r="R1318" s="3">
        <v>39.511629999999997</v>
      </c>
      <c r="S1318" s="3">
        <v>39.875309999999999</v>
      </c>
      <c r="T1318" s="3">
        <v>40.483339999999998</v>
      </c>
      <c r="U1318" s="3">
        <v>40.787469999999999</v>
      </c>
      <c r="V1318" s="3">
        <v>41.442489999999999</v>
      </c>
      <c r="W1318" s="3">
        <v>42.299419999999998</v>
      </c>
      <c r="X1318" s="3">
        <v>43.188749999999999</v>
      </c>
      <c r="Y1318" s="3"/>
      <c r="Z1318" s="3"/>
      <c r="AA1318" s="3"/>
      <c r="AB1318" s="3"/>
      <c r="AC1318" s="3"/>
      <c r="AD1318" s="3"/>
      <c r="AE1318" t="s">
        <v>6352</v>
      </c>
      <c r="AF1318" t="s">
        <v>1214</v>
      </c>
    </row>
    <row r="1319" spans="1:32" x14ac:dyDescent="0.3">
      <c r="A1319" t="s">
        <v>1826</v>
      </c>
      <c r="B1319" s="1" t="s">
        <v>1205</v>
      </c>
      <c r="C1319" s="5" t="s">
        <v>3384</v>
      </c>
      <c r="D1319" s="2" t="s">
        <v>4902</v>
      </c>
      <c r="E1319" s="1" t="s">
        <v>1785</v>
      </c>
      <c r="F1319" s="3"/>
      <c r="G1319" s="3"/>
      <c r="H1319" s="3"/>
      <c r="I1319" s="3"/>
      <c r="J1319" s="3"/>
      <c r="K1319" s="3"/>
      <c r="L1319" s="3"/>
      <c r="M1319" s="3"/>
      <c r="N1319" s="3"/>
      <c r="O1319" s="3"/>
      <c r="P1319" s="3"/>
      <c r="Q1319" s="3"/>
      <c r="R1319" s="3"/>
      <c r="S1319" s="3"/>
      <c r="T1319" s="3">
        <v>1418361</v>
      </c>
      <c r="U1319" s="3">
        <v>1587348</v>
      </c>
      <c r="V1319" s="3">
        <v>1727227</v>
      </c>
      <c r="W1319" s="3">
        <v>1898243</v>
      </c>
      <c r="X1319" s="3">
        <v>2040520</v>
      </c>
      <c r="Y1319" s="3">
        <v>2227143</v>
      </c>
      <c r="Z1319" s="3">
        <v>2387532</v>
      </c>
      <c r="AA1319" s="3">
        <v>2563544</v>
      </c>
      <c r="AB1319" s="3">
        <v>2522965</v>
      </c>
      <c r="AC1319" s="3">
        <v>3098275</v>
      </c>
      <c r="AD1319" s="3"/>
      <c r="AE1319" t="s">
        <v>6353</v>
      </c>
      <c r="AF1319" t="s">
        <v>186</v>
      </c>
    </row>
    <row r="1320" spans="1:32" x14ac:dyDescent="0.3">
      <c r="A1320" t="s">
        <v>1826</v>
      </c>
      <c r="B1320" s="1" t="s">
        <v>1205</v>
      </c>
      <c r="C1320" s="5" t="s">
        <v>3385</v>
      </c>
      <c r="D1320" s="2" t="s">
        <v>4903</v>
      </c>
      <c r="E1320" s="1" t="s">
        <v>271</v>
      </c>
      <c r="F1320" s="3"/>
      <c r="G1320" s="3"/>
      <c r="H1320" s="3"/>
      <c r="I1320" s="3"/>
      <c r="J1320" s="3"/>
      <c r="K1320" s="3"/>
      <c r="L1320" s="3"/>
      <c r="M1320" s="3"/>
      <c r="N1320" s="3"/>
      <c r="O1320" s="3"/>
      <c r="P1320" s="3"/>
      <c r="Q1320" s="3"/>
      <c r="R1320" s="3"/>
      <c r="S1320" s="3"/>
      <c r="T1320" s="3">
        <v>41.01643</v>
      </c>
      <c r="U1320" s="3">
        <v>41.407049999999998</v>
      </c>
      <c r="V1320" s="3">
        <v>41.905149999999999</v>
      </c>
      <c r="W1320" s="3">
        <v>42.709499999999998</v>
      </c>
      <c r="X1320" s="3">
        <v>43.478529999999999</v>
      </c>
      <c r="Y1320" s="3"/>
      <c r="Z1320" s="3"/>
      <c r="AA1320" s="3"/>
      <c r="AB1320" s="3"/>
      <c r="AC1320" s="3"/>
      <c r="AD1320" s="3"/>
      <c r="AE1320" t="s">
        <v>6354</v>
      </c>
      <c r="AF1320" t="s">
        <v>1214</v>
      </c>
    </row>
    <row r="1321" spans="1:32" x14ac:dyDescent="0.3">
      <c r="A1321" t="s">
        <v>1826</v>
      </c>
      <c r="B1321" s="1" t="s">
        <v>1205</v>
      </c>
      <c r="C1321" s="5" t="s">
        <v>3386</v>
      </c>
      <c r="D1321" s="2" t="s">
        <v>4904</v>
      </c>
      <c r="E1321" s="1" t="s">
        <v>1795</v>
      </c>
      <c r="F1321" s="3"/>
      <c r="G1321" s="3"/>
      <c r="H1321" s="3"/>
      <c r="I1321" s="3"/>
      <c r="J1321" s="3"/>
      <c r="K1321" s="3"/>
      <c r="L1321" s="3"/>
      <c r="M1321" s="3"/>
      <c r="N1321" s="3"/>
      <c r="O1321" s="3"/>
      <c r="P1321" s="3"/>
      <c r="Q1321" s="3"/>
      <c r="R1321" s="3"/>
      <c r="S1321" s="3"/>
      <c r="T1321" s="3">
        <v>63602</v>
      </c>
      <c r="U1321" s="3"/>
      <c r="V1321" s="3">
        <v>66852</v>
      </c>
      <c r="W1321" s="3">
        <v>72134</v>
      </c>
      <c r="X1321" s="3">
        <v>74796</v>
      </c>
      <c r="Y1321" s="3">
        <v>77178</v>
      </c>
      <c r="Z1321" s="3">
        <v>90432</v>
      </c>
      <c r="AA1321" s="3">
        <v>87535</v>
      </c>
      <c r="AB1321" s="3">
        <v>95734</v>
      </c>
      <c r="AC1321" s="3">
        <v>96802</v>
      </c>
      <c r="AD1321" s="3"/>
      <c r="AE1321" t="s">
        <v>6355</v>
      </c>
      <c r="AF1321" t="s">
        <v>1207</v>
      </c>
    </row>
    <row r="1322" spans="1:32" x14ac:dyDescent="0.3">
      <c r="A1322" t="s">
        <v>1826</v>
      </c>
      <c r="B1322" s="1" t="s">
        <v>1205</v>
      </c>
      <c r="C1322" s="5" t="s">
        <v>3387</v>
      </c>
      <c r="D1322" s="2" t="s">
        <v>4905</v>
      </c>
      <c r="E1322" s="1" t="s">
        <v>977</v>
      </c>
      <c r="F1322" s="3"/>
      <c r="G1322" s="3"/>
      <c r="H1322" s="3"/>
      <c r="I1322" s="3"/>
      <c r="J1322" s="3"/>
      <c r="K1322" s="3"/>
      <c r="L1322" s="3"/>
      <c r="M1322" s="3"/>
      <c r="N1322" s="3"/>
      <c r="O1322" s="3"/>
      <c r="P1322" s="3"/>
      <c r="Q1322" s="3"/>
      <c r="R1322" s="3"/>
      <c r="S1322" s="3"/>
      <c r="T1322" s="3">
        <v>14.5954504013062</v>
      </c>
      <c r="U1322" s="3"/>
      <c r="V1322" s="3">
        <v>15.336859703064</v>
      </c>
      <c r="W1322" s="3">
        <v>16.215650558471701</v>
      </c>
      <c r="X1322" s="3">
        <v>15.692020416259799</v>
      </c>
      <c r="Y1322" s="3">
        <v>16.369949340820298</v>
      </c>
      <c r="Z1322" s="3">
        <v>15.0433502197266</v>
      </c>
      <c r="AA1322" s="3">
        <v>15.5686302185059</v>
      </c>
      <c r="AB1322" s="3">
        <v>15.532620429992701</v>
      </c>
      <c r="AC1322" s="3">
        <v>16.403589248657202</v>
      </c>
      <c r="AD1322" s="3"/>
      <c r="AE1322" t="s">
        <v>6356</v>
      </c>
      <c r="AF1322" t="s">
        <v>1694</v>
      </c>
    </row>
    <row r="1323" spans="1:32" x14ac:dyDescent="0.3">
      <c r="A1323" t="s">
        <v>1826</v>
      </c>
      <c r="B1323" s="1" t="s">
        <v>1205</v>
      </c>
      <c r="C1323" s="5" t="s">
        <v>3388</v>
      </c>
      <c r="D1323" s="2" t="s">
        <v>4906</v>
      </c>
      <c r="E1323" s="1" t="s">
        <v>299</v>
      </c>
      <c r="F1323" s="3"/>
      <c r="G1323" s="3"/>
      <c r="H1323" s="3"/>
      <c r="I1323" s="3"/>
      <c r="J1323" s="3"/>
      <c r="K1323" s="3"/>
      <c r="L1323" s="3"/>
      <c r="M1323" s="3"/>
      <c r="N1323" s="3"/>
      <c r="O1323" s="3"/>
      <c r="P1323" s="3"/>
      <c r="Q1323" s="3"/>
      <c r="R1323" s="3"/>
      <c r="S1323" s="3"/>
      <c r="T1323" s="3">
        <v>9283</v>
      </c>
      <c r="U1323" s="3"/>
      <c r="V1323" s="3">
        <v>10253</v>
      </c>
      <c r="W1323" s="3">
        <v>11697</v>
      </c>
      <c r="X1323" s="3">
        <v>11737</v>
      </c>
      <c r="Y1323" s="3">
        <v>12634</v>
      </c>
      <c r="Z1323" s="3">
        <v>13604</v>
      </c>
      <c r="AA1323" s="3">
        <v>13628</v>
      </c>
      <c r="AB1323" s="3">
        <v>14870</v>
      </c>
      <c r="AC1323" s="3">
        <v>15879</v>
      </c>
      <c r="AD1323" s="3"/>
      <c r="AE1323" t="s">
        <v>6357</v>
      </c>
      <c r="AF1323" t="s">
        <v>1207</v>
      </c>
    </row>
    <row r="1324" spans="1:32" x14ac:dyDescent="0.3">
      <c r="A1324" t="s">
        <v>1826</v>
      </c>
      <c r="B1324" s="1" t="s">
        <v>1205</v>
      </c>
      <c r="C1324" s="5" t="s">
        <v>3389</v>
      </c>
      <c r="D1324" s="2" t="s">
        <v>4907</v>
      </c>
      <c r="E1324" s="1" t="s">
        <v>506</v>
      </c>
      <c r="F1324" s="3"/>
      <c r="G1324" s="3"/>
      <c r="H1324" s="3"/>
      <c r="I1324" s="3"/>
      <c r="J1324" s="3"/>
      <c r="K1324" s="3"/>
      <c r="L1324" s="3"/>
      <c r="M1324" s="3"/>
      <c r="N1324" s="3"/>
      <c r="O1324" s="3"/>
      <c r="P1324" s="3"/>
      <c r="Q1324" s="3"/>
      <c r="R1324" s="3"/>
      <c r="S1324" s="3"/>
      <c r="T1324" s="3">
        <v>96805</v>
      </c>
      <c r="U1324" s="3">
        <v>108384</v>
      </c>
      <c r="V1324" s="3">
        <v>105353</v>
      </c>
      <c r="W1324" s="3">
        <v>107060</v>
      </c>
      <c r="X1324" s="3">
        <v>116644</v>
      </c>
      <c r="Y1324" s="3"/>
      <c r="Z1324" s="3"/>
      <c r="AA1324" s="3"/>
      <c r="AB1324" s="3"/>
      <c r="AC1324" s="3"/>
      <c r="AD1324" s="3"/>
      <c r="AE1324" t="s">
        <v>6358</v>
      </c>
      <c r="AF1324" t="s">
        <v>552</v>
      </c>
    </row>
    <row r="1325" spans="1:32" x14ac:dyDescent="0.3">
      <c r="A1325" t="s">
        <v>1826</v>
      </c>
      <c r="B1325" s="1" t="s">
        <v>1205</v>
      </c>
      <c r="C1325" s="5" t="s">
        <v>3390</v>
      </c>
      <c r="D1325" s="2" t="s">
        <v>4908</v>
      </c>
      <c r="E1325" s="1" t="s">
        <v>425</v>
      </c>
      <c r="F1325" s="3"/>
      <c r="G1325" s="3"/>
      <c r="H1325" s="3"/>
      <c r="I1325" s="3"/>
      <c r="J1325" s="3"/>
      <c r="K1325" s="3"/>
      <c r="L1325" s="3"/>
      <c r="M1325" s="3"/>
      <c r="N1325" s="3"/>
      <c r="O1325" s="3"/>
      <c r="P1325" s="3"/>
      <c r="Q1325" s="3"/>
      <c r="R1325" s="3"/>
      <c r="S1325" s="3"/>
      <c r="T1325" s="3">
        <v>48.293990000000001</v>
      </c>
      <c r="U1325" s="3">
        <v>49.861600000000003</v>
      </c>
      <c r="V1325" s="3">
        <v>49.027549999999998</v>
      </c>
      <c r="W1325" s="3">
        <v>49.570329999999998</v>
      </c>
      <c r="X1325" s="3">
        <v>48.257950000000001</v>
      </c>
      <c r="Y1325" s="3"/>
      <c r="Z1325" s="3"/>
      <c r="AA1325" s="3"/>
      <c r="AB1325" s="3"/>
      <c r="AC1325" s="3"/>
      <c r="AD1325" s="3"/>
      <c r="AE1325" t="s">
        <v>6358</v>
      </c>
      <c r="AF1325" t="s">
        <v>1214</v>
      </c>
    </row>
    <row r="1326" spans="1:32" x14ac:dyDescent="0.3">
      <c r="A1326" t="s">
        <v>1826</v>
      </c>
      <c r="B1326" s="1" t="s">
        <v>1205</v>
      </c>
      <c r="C1326" s="5" t="s">
        <v>3391</v>
      </c>
      <c r="D1326" s="2" t="s">
        <v>4909</v>
      </c>
      <c r="E1326" s="1" t="s">
        <v>1455</v>
      </c>
      <c r="F1326" s="3"/>
      <c r="G1326" s="3"/>
      <c r="H1326" s="3"/>
      <c r="I1326" s="3"/>
      <c r="J1326" s="3"/>
      <c r="K1326" s="3">
        <v>194891171.53801301</v>
      </c>
      <c r="L1326" s="3">
        <v>217937242.30668199</v>
      </c>
      <c r="M1326" s="3">
        <v>477214603.11467803</v>
      </c>
      <c r="N1326" s="3">
        <v>584696349.96723795</v>
      </c>
      <c r="O1326" s="3">
        <v>793198157.235394</v>
      </c>
      <c r="P1326" s="3">
        <v>433176333.46277499</v>
      </c>
      <c r="Q1326" s="3">
        <v>357092238.45910001</v>
      </c>
      <c r="R1326" s="3">
        <v>305332952.52376902</v>
      </c>
      <c r="S1326" s="3">
        <v>421044493.509628</v>
      </c>
      <c r="T1326" s="3">
        <v>594381474.95271099</v>
      </c>
      <c r="U1326" s="3">
        <v>459543410.46883601</v>
      </c>
      <c r="V1326" s="3">
        <v>437841885.741171</v>
      </c>
      <c r="W1326" s="3">
        <v>486723008.38765597</v>
      </c>
      <c r="X1326" s="3">
        <v>527490767.41783702</v>
      </c>
      <c r="Y1326" s="3">
        <v>525963231.73248202</v>
      </c>
      <c r="Z1326" s="3">
        <v>389741040.98340398</v>
      </c>
      <c r="AA1326" s="3">
        <v>520764716.90724897</v>
      </c>
      <c r="AB1326" s="3">
        <v>1289097714.0604701</v>
      </c>
      <c r="AC1326" s="3"/>
      <c r="AD1326" s="3"/>
      <c r="AE1326" t="s">
        <v>6359</v>
      </c>
      <c r="AF1326" t="s">
        <v>613</v>
      </c>
    </row>
    <row r="1327" spans="1:32" x14ac:dyDescent="0.3">
      <c r="A1327" t="s">
        <v>1826</v>
      </c>
      <c r="B1327" s="1" t="s">
        <v>1205</v>
      </c>
      <c r="C1327" s="5" t="s">
        <v>3392</v>
      </c>
      <c r="D1327" s="2" t="s">
        <v>4910</v>
      </c>
      <c r="E1327" s="1" t="s">
        <v>399</v>
      </c>
      <c r="F1327" s="3"/>
      <c r="G1327" s="3"/>
      <c r="H1327" s="3"/>
      <c r="I1327" s="3"/>
      <c r="J1327" s="3"/>
      <c r="K1327" s="3">
        <v>635623868.18453598</v>
      </c>
      <c r="L1327" s="3">
        <v>713448924.09285295</v>
      </c>
      <c r="M1327" s="3">
        <v>765213535.657094</v>
      </c>
      <c r="N1327" s="3">
        <v>846817920.57584703</v>
      </c>
      <c r="O1327" s="3">
        <v>833639985.96322894</v>
      </c>
      <c r="P1327" s="3">
        <v>811377097.820948</v>
      </c>
      <c r="Q1327" s="3">
        <v>838187250.88219702</v>
      </c>
      <c r="R1327" s="3">
        <v>724519769.90852106</v>
      </c>
      <c r="S1327" s="3">
        <v>778053982.11762094</v>
      </c>
      <c r="T1327" s="3">
        <v>802032589.77442205</v>
      </c>
      <c r="U1327" s="3">
        <v>709580868.29388106</v>
      </c>
      <c r="V1327" s="3">
        <v>744739349.04087102</v>
      </c>
      <c r="W1327" s="3">
        <v>896322001.54293704</v>
      </c>
      <c r="X1327" s="3">
        <v>954259409.42806196</v>
      </c>
      <c r="Y1327" s="3">
        <v>977676192.89391601</v>
      </c>
      <c r="Z1327" s="3">
        <v>968825788.82731998</v>
      </c>
      <c r="AA1327" s="3">
        <v>1049712877.53996</v>
      </c>
      <c r="AB1327" s="3">
        <v>1495659192.73561</v>
      </c>
      <c r="AC1327" s="3"/>
      <c r="AD1327" s="3"/>
      <c r="AE1327" t="s">
        <v>6359</v>
      </c>
      <c r="AF1327" t="s">
        <v>613</v>
      </c>
    </row>
    <row r="1328" spans="1:32" x14ac:dyDescent="0.3">
      <c r="A1328" t="s">
        <v>1826</v>
      </c>
      <c r="B1328" s="1" t="s">
        <v>1205</v>
      </c>
      <c r="C1328" s="5" t="s">
        <v>3393</v>
      </c>
      <c r="D1328" s="2" t="s">
        <v>4911</v>
      </c>
      <c r="E1328" s="1" t="s">
        <v>303</v>
      </c>
      <c r="F1328" s="3"/>
      <c r="G1328" s="3"/>
      <c r="H1328" s="3"/>
      <c r="I1328" s="3"/>
      <c r="J1328" s="3"/>
      <c r="K1328" s="3"/>
      <c r="L1328" s="3"/>
      <c r="M1328" s="3"/>
      <c r="N1328" s="3"/>
      <c r="O1328" s="3"/>
      <c r="P1328" s="3">
        <v>11</v>
      </c>
      <c r="Q1328" s="3">
        <v>14</v>
      </c>
      <c r="R1328" s="3">
        <v>39</v>
      </c>
      <c r="S1328" s="3">
        <v>54</v>
      </c>
      <c r="T1328" s="3">
        <v>78</v>
      </c>
      <c r="U1328" s="3">
        <v>117</v>
      </c>
      <c r="V1328" s="3">
        <v>144</v>
      </c>
      <c r="W1328" s="3">
        <v>212</v>
      </c>
      <c r="X1328" s="3">
        <v>292</v>
      </c>
      <c r="Y1328" s="3">
        <v>1145</v>
      </c>
      <c r="Z1328" s="3">
        <v>1493</v>
      </c>
      <c r="AA1328" s="3">
        <v>1673</v>
      </c>
      <c r="AB1328" s="3">
        <v>2001</v>
      </c>
      <c r="AC1328" s="3">
        <v>1977</v>
      </c>
      <c r="AD1328" s="3">
        <v>1940</v>
      </c>
      <c r="AE1328" t="s">
        <v>6360</v>
      </c>
      <c r="AF1328" t="s">
        <v>590</v>
      </c>
    </row>
    <row r="1329" spans="1:32" x14ac:dyDescent="0.3">
      <c r="A1329" t="s">
        <v>1826</v>
      </c>
      <c r="B1329" s="1" t="s">
        <v>1205</v>
      </c>
      <c r="C1329" s="5" t="s">
        <v>3394</v>
      </c>
      <c r="D1329" s="2" t="s">
        <v>4912</v>
      </c>
      <c r="E1329" s="1" t="s">
        <v>331</v>
      </c>
      <c r="F1329" s="3"/>
      <c r="G1329" s="3"/>
      <c r="H1329" s="3"/>
      <c r="I1329" s="3"/>
      <c r="J1329" s="3"/>
      <c r="K1329" s="3"/>
      <c r="L1329" s="3"/>
      <c r="M1329" s="3"/>
      <c r="N1329" s="3"/>
      <c r="O1329" s="3"/>
      <c r="P1329" s="3">
        <v>0.48914835491626335</v>
      </c>
      <c r="Q1329" s="3">
        <v>0.60917239578800808</v>
      </c>
      <c r="R1329" s="3">
        <v>1.6619026876716394</v>
      </c>
      <c r="S1329" s="3">
        <v>2.2556602975591877</v>
      </c>
      <c r="T1329" s="3">
        <v>3.180117578731863</v>
      </c>
      <c r="U1329" s="3">
        <v>4.6343347483766166</v>
      </c>
      <c r="V1329" s="3">
        <v>5.5407193816095441</v>
      </c>
      <c r="W1329" s="3">
        <v>7.930163093529691</v>
      </c>
      <c r="X1329" s="3">
        <v>10.632033231075264</v>
      </c>
      <c r="Y1329" s="3">
        <v>40.612905135453971</v>
      </c>
      <c r="Z1329" s="3">
        <v>51.633298172198536</v>
      </c>
      <c r="AA1329" s="3">
        <v>56.444497346400119</v>
      </c>
      <c r="AB1329" s="3">
        <v>65.833191917539608</v>
      </c>
      <c r="AC1329" s="3">
        <v>63.435216215902287</v>
      </c>
      <c r="AD1329" s="3">
        <v>60.74985994652134</v>
      </c>
      <c r="AE1329" t="s">
        <v>6361</v>
      </c>
      <c r="AF1329" t="s">
        <v>706</v>
      </c>
    </row>
    <row r="1330" spans="1:32" x14ac:dyDescent="0.3">
      <c r="A1330" t="s">
        <v>1826</v>
      </c>
      <c r="B1330" s="1" t="s">
        <v>1205</v>
      </c>
      <c r="C1330" s="5" t="s">
        <v>3395</v>
      </c>
      <c r="D1330" s="2" t="s">
        <v>4913</v>
      </c>
      <c r="E1330" s="1" t="s">
        <v>906</v>
      </c>
      <c r="F1330" s="3">
        <v>92.561334745669299</v>
      </c>
      <c r="G1330" s="3">
        <v>92.504607476793495</v>
      </c>
      <c r="H1330" s="3">
        <v>92.3266411220593</v>
      </c>
      <c r="I1330" s="3">
        <v>92.103651965971096</v>
      </c>
      <c r="J1330" s="3">
        <v>91.956709820750902</v>
      </c>
      <c r="K1330" s="3">
        <v>91.780509209159106</v>
      </c>
      <c r="L1330" s="3">
        <v>91.541992733202207</v>
      </c>
      <c r="M1330" s="3">
        <v>91.280263637266899</v>
      </c>
      <c r="N1330" s="3">
        <v>91.001045188356699</v>
      </c>
      <c r="O1330" s="3">
        <v>90.601889448974802</v>
      </c>
      <c r="P1330" s="3">
        <v>90.126663425186095</v>
      </c>
      <c r="Q1330" s="3">
        <v>89.566954954431907</v>
      </c>
      <c r="R1330" s="3">
        <v>89.127729271383103</v>
      </c>
      <c r="S1330" s="3">
        <v>86.620094550630299</v>
      </c>
      <c r="T1330" s="3">
        <v>85.856315895601199</v>
      </c>
      <c r="U1330" s="3">
        <v>85.068856304178794</v>
      </c>
      <c r="V1330" s="3">
        <v>84.241536712950804</v>
      </c>
      <c r="W1330" s="3">
        <v>81.908061874607</v>
      </c>
      <c r="X1330" s="3">
        <v>82.322819006465807</v>
      </c>
      <c r="Y1330" s="3">
        <v>82.767754768730796</v>
      </c>
      <c r="Z1330" s="3">
        <v>83.646912477302095</v>
      </c>
      <c r="AA1330" s="3">
        <v>83.962372566918205</v>
      </c>
      <c r="AB1330" s="3">
        <v>84.727264390524894</v>
      </c>
      <c r="AC1330" s="3">
        <v>84.209628661241794</v>
      </c>
      <c r="AD1330" s="3"/>
      <c r="AE1330" t="s">
        <v>6362</v>
      </c>
      <c r="AF1330" t="s">
        <v>1166</v>
      </c>
    </row>
    <row r="1331" spans="1:32" x14ac:dyDescent="0.3">
      <c r="A1331" t="s">
        <v>1826</v>
      </c>
      <c r="B1331" s="1" t="s">
        <v>1205</v>
      </c>
      <c r="C1331" s="5" t="s">
        <v>3396</v>
      </c>
      <c r="D1331" s="2" t="s">
        <v>4914</v>
      </c>
      <c r="E1331" s="1" t="s">
        <v>1669</v>
      </c>
      <c r="F1331" s="3">
        <v>74.918833592172007</v>
      </c>
      <c r="G1331" s="3">
        <v>75.0242974636583</v>
      </c>
      <c r="H1331" s="3">
        <v>74.812836758185796</v>
      </c>
      <c r="I1331" s="3">
        <v>74.581861179455998</v>
      </c>
      <c r="J1331" s="3">
        <v>74.437997809631199</v>
      </c>
      <c r="K1331" s="3">
        <v>74.258788373306999</v>
      </c>
      <c r="L1331" s="3">
        <v>73.864439245338104</v>
      </c>
      <c r="M1331" s="3">
        <v>73.457800515330305</v>
      </c>
      <c r="N1331" s="3">
        <v>72.903756657588005</v>
      </c>
      <c r="O1331" s="3">
        <v>72.371023261402797</v>
      </c>
      <c r="P1331" s="3">
        <v>71.706337397543393</v>
      </c>
      <c r="Q1331" s="3">
        <v>70.999344963034005</v>
      </c>
      <c r="R1331" s="3">
        <v>70.421252676741304</v>
      </c>
      <c r="S1331" s="3">
        <v>68.855208050620803</v>
      </c>
      <c r="T1331" s="3">
        <v>67.963802762224901</v>
      </c>
      <c r="U1331" s="3">
        <v>67.149890952835406</v>
      </c>
      <c r="V1331" s="3">
        <v>66.278043734293504</v>
      </c>
      <c r="W1331" s="3">
        <v>68.693734202978106</v>
      </c>
      <c r="X1331" s="3">
        <v>68.239751667463295</v>
      </c>
      <c r="Y1331" s="3">
        <v>67.638349960485101</v>
      </c>
      <c r="Z1331" s="3">
        <v>68.085729723632099</v>
      </c>
      <c r="AA1331" s="3">
        <v>67.648107104770205</v>
      </c>
      <c r="AB1331" s="3">
        <v>67.406637753579702</v>
      </c>
      <c r="AC1331" s="3">
        <v>66.951230939740697</v>
      </c>
      <c r="AD1331" s="3"/>
      <c r="AE1331" t="s">
        <v>6362</v>
      </c>
      <c r="AF1331" t="s">
        <v>1166</v>
      </c>
    </row>
    <row r="1332" spans="1:32" x14ac:dyDescent="0.3">
      <c r="A1332" t="s">
        <v>1826</v>
      </c>
      <c r="B1332" s="1" t="s">
        <v>1205</v>
      </c>
      <c r="C1332" s="5" t="s">
        <v>3397</v>
      </c>
      <c r="D1332" s="2" t="s">
        <v>4915</v>
      </c>
      <c r="E1332" s="1" t="s">
        <v>116</v>
      </c>
      <c r="F1332" s="3">
        <v>81.640343781002997</v>
      </c>
      <c r="G1332" s="3">
        <v>81.806244169829696</v>
      </c>
      <c r="H1332" s="3">
        <v>81.729154878439999</v>
      </c>
      <c r="I1332" s="3">
        <v>81.622203890500799</v>
      </c>
      <c r="J1332" s="3">
        <v>81.596786522240805</v>
      </c>
      <c r="K1332" s="3">
        <v>81.539055777349901</v>
      </c>
      <c r="L1332" s="3">
        <v>81.330027213978397</v>
      </c>
      <c r="M1332" s="3">
        <v>81.106917620341903</v>
      </c>
      <c r="N1332" s="3">
        <v>80.774041965792804</v>
      </c>
      <c r="O1332" s="3">
        <v>80.385599873884601</v>
      </c>
      <c r="P1332" s="3">
        <v>79.893477716268094</v>
      </c>
      <c r="Q1332" s="3">
        <v>79.344763410787706</v>
      </c>
      <c r="R1332" s="3">
        <v>78.918705601908201</v>
      </c>
      <c r="S1332" s="3">
        <v>76.7041979038611</v>
      </c>
      <c r="T1332" s="3">
        <v>75.739323343235498</v>
      </c>
      <c r="U1332" s="3">
        <v>74.821382803339105</v>
      </c>
      <c r="V1332" s="3">
        <v>73.852718224772104</v>
      </c>
      <c r="W1332" s="3">
        <v>74.253188160441695</v>
      </c>
      <c r="X1332" s="3">
        <v>74.159688561596397</v>
      </c>
      <c r="Y1332" s="3">
        <v>73.995569478573898</v>
      </c>
      <c r="Z1332" s="3">
        <v>74.658556902241003</v>
      </c>
      <c r="AA1332" s="3">
        <v>74.593582896341601</v>
      </c>
      <c r="AB1332" s="3">
        <v>74.825946324792696</v>
      </c>
      <c r="AC1332" s="3">
        <v>74.367444216654405</v>
      </c>
      <c r="AD1332" s="3"/>
      <c r="AE1332" t="s">
        <v>6362</v>
      </c>
      <c r="AF1332" t="s">
        <v>1166</v>
      </c>
    </row>
    <row r="1333" spans="1:32" x14ac:dyDescent="0.3">
      <c r="A1333" t="s">
        <v>1826</v>
      </c>
      <c r="B1333" s="1" t="s">
        <v>1205</v>
      </c>
      <c r="C1333" s="5" t="s">
        <v>3398</v>
      </c>
      <c r="D1333" s="2" t="s">
        <v>4916</v>
      </c>
      <c r="E1333" s="1" t="s">
        <v>194</v>
      </c>
      <c r="F1333" s="3"/>
      <c r="G1333" s="3"/>
      <c r="H1333" s="3"/>
      <c r="I1333" s="3"/>
      <c r="J1333" s="3"/>
      <c r="K1333" s="3">
        <v>934814950.15667498</v>
      </c>
      <c r="L1333" s="3">
        <v>954183669.876495</v>
      </c>
      <c r="M1333" s="3">
        <v>1047886641.60702</v>
      </c>
      <c r="N1333" s="3">
        <v>1159872031.04879</v>
      </c>
      <c r="O1333" s="3">
        <v>1176507525.2709701</v>
      </c>
      <c r="P1333" s="3">
        <v>1184201887.2567799</v>
      </c>
      <c r="Q1333" s="3">
        <v>1018045881.81194</v>
      </c>
      <c r="R1333" s="3">
        <v>984708568.74526799</v>
      </c>
      <c r="S1333" s="3">
        <v>935278117.27931297</v>
      </c>
      <c r="T1333" s="3">
        <v>904122545.92379904</v>
      </c>
      <c r="U1333" s="3">
        <v>766164717.21146798</v>
      </c>
      <c r="V1333" s="3">
        <v>913950351.18322504</v>
      </c>
      <c r="W1333" s="3">
        <v>973389804.56384099</v>
      </c>
      <c r="X1333" s="3">
        <v>1166751841.89099</v>
      </c>
      <c r="Y1333" s="3">
        <v>1162206699.95733</v>
      </c>
      <c r="Z1333" s="3">
        <v>731741417.12031305</v>
      </c>
      <c r="AA1333" s="3">
        <v>910215950.09859097</v>
      </c>
      <c r="AB1333" s="3">
        <v>912960618.22662902</v>
      </c>
      <c r="AC1333" s="3"/>
      <c r="AD1333" s="3"/>
      <c r="AE1333" t="s">
        <v>6363</v>
      </c>
      <c r="AF1333" t="s">
        <v>613</v>
      </c>
    </row>
    <row r="1334" spans="1:32" x14ac:dyDescent="0.3">
      <c r="A1334" t="s">
        <v>1826</v>
      </c>
      <c r="B1334" s="1" t="s">
        <v>1205</v>
      </c>
      <c r="C1334" s="5" t="s">
        <v>3399</v>
      </c>
      <c r="D1334" s="2" t="s">
        <v>4917</v>
      </c>
      <c r="E1334" s="1" t="s">
        <v>408</v>
      </c>
      <c r="F1334" s="3"/>
      <c r="G1334" s="3"/>
      <c r="H1334" s="3"/>
      <c r="I1334" s="3"/>
      <c r="J1334" s="3"/>
      <c r="K1334" s="3">
        <v>2272291849.4441299</v>
      </c>
      <c r="L1334" s="3">
        <v>2387526454.6034999</v>
      </c>
      <c r="M1334" s="3">
        <v>2647313507.9648299</v>
      </c>
      <c r="N1334" s="3">
        <v>2849793250.5037699</v>
      </c>
      <c r="O1334" s="3">
        <v>2786263540.0116</v>
      </c>
      <c r="P1334" s="3">
        <v>2989695171.39856</v>
      </c>
      <c r="Q1334" s="3">
        <v>2804725289.4021702</v>
      </c>
      <c r="R1334" s="3">
        <v>2930697719.6785598</v>
      </c>
      <c r="S1334" s="3">
        <v>3222364009.1381502</v>
      </c>
      <c r="T1334" s="3">
        <v>3066919031.2220898</v>
      </c>
      <c r="U1334" s="3">
        <v>2785506355.4619298</v>
      </c>
      <c r="V1334" s="3">
        <v>2904248738.5425301</v>
      </c>
      <c r="W1334" s="3">
        <v>3340776442.1525698</v>
      </c>
      <c r="X1334" s="3">
        <v>3468091433.2743201</v>
      </c>
      <c r="Y1334" s="3">
        <v>3403458223.63585</v>
      </c>
      <c r="Z1334" s="3">
        <v>3142307637.9311199</v>
      </c>
      <c r="AA1334" s="3">
        <v>3923794802.6855602</v>
      </c>
      <c r="AB1334" s="3">
        <v>4725161487.5328703</v>
      </c>
      <c r="AC1334" s="3"/>
      <c r="AD1334" s="3"/>
      <c r="AE1334" t="s">
        <v>6364</v>
      </c>
      <c r="AF1334" t="s">
        <v>613</v>
      </c>
    </row>
    <row r="1335" spans="1:32" x14ac:dyDescent="0.3">
      <c r="A1335" t="s">
        <v>1826</v>
      </c>
      <c r="B1335" s="1" t="s">
        <v>1205</v>
      </c>
      <c r="C1335" s="5" t="s">
        <v>3400</v>
      </c>
      <c r="D1335" s="2" t="s">
        <v>4918</v>
      </c>
      <c r="E1335" s="1" t="s">
        <v>863</v>
      </c>
      <c r="F1335" s="3">
        <v>34.676876940070017</v>
      </c>
      <c r="G1335" s="3">
        <v>35.183166914455427</v>
      </c>
      <c r="H1335" s="3">
        <v>35.472387041315024</v>
      </c>
      <c r="I1335" s="3">
        <v>36.198594385247027</v>
      </c>
      <c r="J1335" s="3">
        <v>38.373068660701321</v>
      </c>
      <c r="K1335" s="3">
        <v>38.816778365594551</v>
      </c>
      <c r="L1335" s="3">
        <v>37.944819229639172</v>
      </c>
      <c r="M1335" s="3">
        <v>38.767287073272819</v>
      </c>
      <c r="N1335" s="3">
        <v>37.779545207837359</v>
      </c>
      <c r="O1335" s="3">
        <v>38.665360122859887</v>
      </c>
      <c r="P1335" s="3">
        <v>37.832201102879395</v>
      </c>
      <c r="Q1335" s="3">
        <v>34.013135247308156</v>
      </c>
      <c r="R1335" s="3">
        <v>39.686736993825477</v>
      </c>
      <c r="S1335" s="3">
        <v>38.813444973770608</v>
      </c>
      <c r="T1335" s="3">
        <v>37.315143801001369</v>
      </c>
      <c r="U1335" s="3">
        <v>54.132612173496732</v>
      </c>
      <c r="V1335" s="3">
        <v>54.493573696894003</v>
      </c>
      <c r="W1335" s="3">
        <v>55.750035411337407</v>
      </c>
      <c r="X1335" s="3">
        <v>55.618647981272929</v>
      </c>
      <c r="Y1335" s="3">
        <v>54.997476893286112</v>
      </c>
      <c r="Z1335" s="3">
        <v>55.572812135195072</v>
      </c>
      <c r="AA1335" s="3">
        <v>54.100032900751586</v>
      </c>
      <c r="AB1335" s="3">
        <v>52.965557384015838</v>
      </c>
      <c r="AC1335" s="3">
        <v>52.704144735300154</v>
      </c>
      <c r="AD1335" s="3">
        <v>53.870661422449963</v>
      </c>
      <c r="AE1335" t="s">
        <v>6365</v>
      </c>
      <c r="AF1335" t="s">
        <v>718</v>
      </c>
    </row>
    <row r="1336" spans="1:32" x14ac:dyDescent="0.3">
      <c r="A1336" t="s">
        <v>1826</v>
      </c>
      <c r="B1336" s="1" t="s">
        <v>1205</v>
      </c>
      <c r="C1336" s="5" t="s">
        <v>3401</v>
      </c>
      <c r="D1336" s="2" t="s">
        <v>4919</v>
      </c>
      <c r="E1336" s="1" t="s">
        <v>1552</v>
      </c>
      <c r="F1336" s="3"/>
      <c r="G1336" s="3"/>
      <c r="H1336" s="3"/>
      <c r="I1336" s="3"/>
      <c r="J1336" s="3"/>
      <c r="K1336" s="3"/>
      <c r="L1336" s="3"/>
      <c r="M1336" s="3"/>
      <c r="N1336" s="3"/>
      <c r="O1336" s="3">
        <v>5.6084441065413131</v>
      </c>
      <c r="P1336" s="3">
        <v>7.2164394669523375</v>
      </c>
      <c r="Q1336" s="3">
        <v>-7.1004083957742097</v>
      </c>
      <c r="R1336" s="3">
        <v>18.3234724672308</v>
      </c>
      <c r="S1336" s="3">
        <v>4.745918313594359</v>
      </c>
      <c r="T1336" s="3">
        <v>8.1280536337948348</v>
      </c>
      <c r="U1336" s="3">
        <v>-12.413787171637097</v>
      </c>
      <c r="V1336" s="3">
        <v>9.6167812021613202</v>
      </c>
      <c r="W1336" s="3">
        <v>4.2094852768625373</v>
      </c>
      <c r="X1336" s="3">
        <v>2.2305897342047842</v>
      </c>
      <c r="Y1336" s="3">
        <v>5.9819675069590943</v>
      </c>
      <c r="Z1336" s="3">
        <v>1.9205815109841353</v>
      </c>
      <c r="AA1336" s="3">
        <v>5.9746915715462023</v>
      </c>
      <c r="AB1336" s="3">
        <v>3.7227685633930463</v>
      </c>
      <c r="AC1336" s="3">
        <v>3.8389988897351799</v>
      </c>
      <c r="AD1336" s="3">
        <v>8.4209421607038877</v>
      </c>
      <c r="AE1336" t="s">
        <v>6366</v>
      </c>
      <c r="AF1336" t="s">
        <v>718</v>
      </c>
    </row>
    <row r="1337" spans="1:32" x14ac:dyDescent="0.3">
      <c r="A1337" t="s">
        <v>1826</v>
      </c>
      <c r="B1337" s="1" t="s">
        <v>1205</v>
      </c>
      <c r="C1337" s="5" t="s">
        <v>3402</v>
      </c>
      <c r="D1337" s="2" t="s">
        <v>4920</v>
      </c>
      <c r="E1337" s="1" t="s">
        <v>1901</v>
      </c>
      <c r="F1337" s="3"/>
      <c r="G1337" s="3"/>
      <c r="H1337" s="3"/>
      <c r="I1337" s="3"/>
      <c r="J1337" s="3"/>
      <c r="K1337" s="3"/>
      <c r="L1337" s="3"/>
      <c r="M1337" s="3"/>
      <c r="N1337" s="3">
        <v>20086799554.497314</v>
      </c>
      <c r="O1337" s="3">
        <v>21213356480.304287</v>
      </c>
      <c r="P1337" s="3">
        <v>22744205509.614258</v>
      </c>
      <c r="Q1337" s="3">
        <v>21129274032.057465</v>
      </c>
      <c r="R1337" s="3">
        <v>25000890741.847263</v>
      </c>
      <c r="S1337" s="3">
        <v>26187412594.126312</v>
      </c>
      <c r="T1337" s="3">
        <v>28315939535.08004</v>
      </c>
      <c r="U1337" s="3">
        <v>24800859065.545757</v>
      </c>
      <c r="V1337" s="3">
        <v>27185903418.135681</v>
      </c>
      <c r="W1337" s="3">
        <v>28330290019.904171</v>
      </c>
      <c r="X1337" s="3">
        <v>28962222560.758595</v>
      </c>
      <c r="Y1337" s="3">
        <v>30694733303.636349</v>
      </c>
      <c r="Z1337" s="3">
        <v>31284250676.311878</v>
      </c>
      <c r="AA1337" s="3">
        <v>33153388164.690868</v>
      </c>
      <c r="AB1337" s="3">
        <v>34387612076.985649</v>
      </c>
      <c r="AC1337" s="3">
        <v>35707752122.827568</v>
      </c>
      <c r="AD1337" s="3">
        <v>38714681275.978394</v>
      </c>
      <c r="AE1337" t="s">
        <v>6367</v>
      </c>
      <c r="AF1337" t="s">
        <v>718</v>
      </c>
    </row>
    <row r="1338" spans="1:32" x14ac:dyDescent="0.3">
      <c r="A1338" t="s">
        <v>1826</v>
      </c>
      <c r="B1338" s="1" t="s">
        <v>1205</v>
      </c>
      <c r="C1338" s="5" t="s">
        <v>3403</v>
      </c>
      <c r="D1338" s="2" t="s">
        <v>4921</v>
      </c>
      <c r="E1338" s="1" t="s">
        <v>1821</v>
      </c>
      <c r="F1338" s="3"/>
      <c r="G1338" s="3"/>
      <c r="H1338" s="3"/>
      <c r="I1338" s="3"/>
      <c r="J1338" s="3"/>
      <c r="K1338" s="3"/>
      <c r="L1338" s="3"/>
      <c r="M1338" s="3"/>
      <c r="N1338" s="3">
        <v>11875550872000</v>
      </c>
      <c r="O1338" s="3">
        <v>12541584505000</v>
      </c>
      <c r="P1338" s="3">
        <v>13446640359000</v>
      </c>
      <c r="Q1338" s="3">
        <v>12491873978000</v>
      </c>
      <c r="R1338" s="3">
        <v>14780819067000</v>
      </c>
      <c r="S1338" s="3">
        <v>15482304666000</v>
      </c>
      <c r="T1338" s="3">
        <v>16740714693000</v>
      </c>
      <c r="U1338" s="3">
        <v>14662558000000</v>
      </c>
      <c r="V1338" s="3">
        <v>16072624121500</v>
      </c>
      <c r="W1338" s="3">
        <v>16749198867500</v>
      </c>
      <c r="X1338" s="3">
        <v>17122804778000</v>
      </c>
      <c r="Y1338" s="3">
        <v>18147085396100</v>
      </c>
      <c r="Z1338" s="3">
        <v>18495614963000</v>
      </c>
      <c r="AA1338" s="3">
        <v>19600670911300</v>
      </c>
      <c r="AB1338" s="3">
        <v>20330358526200</v>
      </c>
      <c r="AC1338" s="3">
        <v>21110840764300</v>
      </c>
      <c r="AD1338" s="3">
        <v>22888572454700</v>
      </c>
      <c r="AE1338" t="s">
        <v>6368</v>
      </c>
      <c r="AF1338" t="s">
        <v>718</v>
      </c>
    </row>
    <row r="1339" spans="1:32" x14ac:dyDescent="0.3">
      <c r="A1339" t="s">
        <v>1826</v>
      </c>
      <c r="B1339" s="1" t="s">
        <v>1205</v>
      </c>
      <c r="C1339" s="5" t="s">
        <v>3404</v>
      </c>
      <c r="D1339" s="2" t="s">
        <v>4922</v>
      </c>
      <c r="E1339" s="1" t="s">
        <v>1681</v>
      </c>
      <c r="F1339" s="3">
        <v>4082681000000</v>
      </c>
      <c r="G1339" s="3">
        <v>4331751000000</v>
      </c>
      <c r="H1339" s="3">
        <v>4442762000000</v>
      </c>
      <c r="I1339" s="3">
        <v>4461056000000</v>
      </c>
      <c r="J1339" s="3">
        <v>4757501000000</v>
      </c>
      <c r="K1339" s="3">
        <v>4919509000000</v>
      </c>
      <c r="L1339" s="3">
        <v>5011622000000</v>
      </c>
      <c r="M1339" s="3">
        <v>5336530000000</v>
      </c>
      <c r="N1339" s="3">
        <v>5742074000000</v>
      </c>
      <c r="O1339" s="3">
        <v>6162000000000</v>
      </c>
      <c r="P1339" s="3">
        <v>6539782000000</v>
      </c>
      <c r="Q1339" s="3">
        <v>5881504000000</v>
      </c>
      <c r="R1339" s="3">
        <v>7355687000000</v>
      </c>
      <c r="S1339" s="3">
        <v>8197114000000</v>
      </c>
      <c r="T1339" s="3">
        <v>8999141000000</v>
      </c>
      <c r="U1339" s="3">
        <v>14662558000000</v>
      </c>
      <c r="V1339" s="3">
        <v>15632414000000</v>
      </c>
      <c r="W1339" s="3">
        <v>16999104000000</v>
      </c>
      <c r="X1339" s="3">
        <v>18079455000000</v>
      </c>
      <c r="Y1339" s="3">
        <v>19457559000000</v>
      </c>
      <c r="Z1339" s="3">
        <v>20160677000000</v>
      </c>
      <c r="AA1339" s="3">
        <v>21838484000000</v>
      </c>
      <c r="AB1339" s="3">
        <v>23431327000000</v>
      </c>
      <c r="AC1339" s="3">
        <v>25452889343400</v>
      </c>
      <c r="AD1339" s="3">
        <v>28267099840500</v>
      </c>
      <c r="AE1339" t="s">
        <v>6369</v>
      </c>
      <c r="AF1339" t="s">
        <v>718</v>
      </c>
    </row>
    <row r="1340" spans="1:32" x14ac:dyDescent="0.3">
      <c r="A1340" t="s">
        <v>1826</v>
      </c>
      <c r="B1340" s="1" t="s">
        <v>1205</v>
      </c>
      <c r="C1340" s="5" t="s">
        <v>3405</v>
      </c>
      <c r="D1340" s="2" t="s">
        <v>4923</v>
      </c>
      <c r="E1340" s="1" t="s">
        <v>1767</v>
      </c>
      <c r="F1340" s="3">
        <v>5748571027.3851233</v>
      </c>
      <c r="G1340" s="3">
        <v>5914479307.3508492</v>
      </c>
      <c r="H1340" s="3">
        <v>6404320729.4936018</v>
      </c>
      <c r="I1340" s="3">
        <v>7692836353.4415827</v>
      </c>
      <c r="J1340" s="3">
        <v>9021729348.7377377</v>
      </c>
      <c r="K1340" s="3">
        <v>9330357458.9294853</v>
      </c>
      <c r="L1340" s="3">
        <v>9592986561.4842319</v>
      </c>
      <c r="M1340" s="3">
        <v>11149507022.403299</v>
      </c>
      <c r="N1340" s="3">
        <v>12874604197.626072</v>
      </c>
      <c r="O1340" s="3">
        <v>13102458377.352217</v>
      </c>
      <c r="P1340" s="3">
        <v>13217174292.938749</v>
      </c>
      <c r="Q1340" s="3">
        <v>12480681482.135504</v>
      </c>
      <c r="R1340" s="3">
        <v>14407199465.615095</v>
      </c>
      <c r="S1340" s="3">
        <v>16596720470.47357</v>
      </c>
      <c r="T1340" s="3">
        <v>18225837781.486706</v>
      </c>
      <c r="U1340" s="3">
        <v>24800859065.545757</v>
      </c>
      <c r="V1340" s="3">
        <v>26379118935.617916</v>
      </c>
      <c r="W1340" s="3">
        <v>29275650373.477962</v>
      </c>
      <c r="X1340" s="3">
        <v>32549410910.097115</v>
      </c>
      <c r="Y1340" s="3">
        <v>33209068558.675476</v>
      </c>
      <c r="Z1340" s="3">
        <v>35026350232.40358</v>
      </c>
      <c r="AA1340" s="3">
        <v>39381922377.326477</v>
      </c>
      <c r="AB1340" s="3">
        <v>37564669480.524429</v>
      </c>
      <c r="AC1340" s="3">
        <v>41962015640.309296</v>
      </c>
      <c r="AD1340" s="3">
        <v>46618815965.030037</v>
      </c>
      <c r="AE1340" t="s">
        <v>6370</v>
      </c>
      <c r="AF1340" t="s">
        <v>718</v>
      </c>
    </row>
    <row r="1341" spans="1:32" x14ac:dyDescent="0.3">
      <c r="A1341" t="s">
        <v>1826</v>
      </c>
      <c r="B1341" s="1" t="s">
        <v>1205</v>
      </c>
      <c r="C1341" s="5" t="s">
        <v>3406</v>
      </c>
      <c r="D1341" s="2" t="s">
        <v>4924</v>
      </c>
      <c r="E1341" s="1" t="s">
        <v>1741</v>
      </c>
      <c r="F1341" s="3"/>
      <c r="G1341" s="3"/>
      <c r="H1341" s="3"/>
      <c r="I1341" s="3"/>
      <c r="J1341" s="3"/>
      <c r="K1341" s="3"/>
      <c r="L1341" s="3"/>
      <c r="M1341" s="3"/>
      <c r="N1341" s="3">
        <v>6937.3767271802844</v>
      </c>
      <c r="O1341" s="3">
        <v>6925.8990022872094</v>
      </c>
      <c r="P1341" s="3">
        <v>7032.0812639316546</v>
      </c>
      <c r="Q1341" s="3">
        <v>6284.6310115459473</v>
      </c>
      <c r="R1341" s="3">
        <v>7039.5654334897145</v>
      </c>
      <c r="S1341" s="3">
        <v>6837.0810053491368</v>
      </c>
      <c r="T1341" s="3">
        <v>7039.6946024286244</v>
      </c>
      <c r="U1341" s="3">
        <v>5873.1298980144165</v>
      </c>
      <c r="V1341" s="3">
        <v>6152.1080583500243</v>
      </c>
      <c r="W1341" s="3">
        <v>6309.9526872484994</v>
      </c>
      <c r="X1341" s="3">
        <v>6456.3252760412206</v>
      </c>
      <c r="Y1341" s="3">
        <v>6853.4115820447414</v>
      </c>
      <c r="Z1341" s="3">
        <v>6820.2856001838454</v>
      </c>
      <c r="AA1341" s="3">
        <v>6853.3417743388245</v>
      </c>
      <c r="AB1341" s="3">
        <v>6735.5767784068121</v>
      </c>
      <c r="AC1341" s="3">
        <v>6739.7900329037766</v>
      </c>
      <c r="AD1341" s="3"/>
      <c r="AE1341" t="s">
        <v>6371</v>
      </c>
      <c r="AF1341" t="s">
        <v>1480</v>
      </c>
    </row>
    <row r="1342" spans="1:32" x14ac:dyDescent="0.3">
      <c r="A1342" t="s">
        <v>1826</v>
      </c>
      <c r="B1342" s="1" t="s">
        <v>1205</v>
      </c>
      <c r="C1342" s="5" t="s">
        <v>3407</v>
      </c>
      <c r="D1342" s="2" t="s">
        <v>4925</v>
      </c>
      <c r="E1342" s="1" t="s">
        <v>1869</v>
      </c>
      <c r="F1342" s="3">
        <v>1.03</v>
      </c>
      <c r="G1342" s="3">
        <v>1.0309999999999999</v>
      </c>
      <c r="H1342" s="3">
        <v>1.032</v>
      </c>
      <c r="I1342" s="3">
        <v>1.032</v>
      </c>
      <c r="J1342" s="3">
        <v>1.0329999999999999</v>
      </c>
      <c r="K1342" s="3">
        <v>1.034</v>
      </c>
      <c r="L1342" s="3">
        <v>1.034</v>
      </c>
      <c r="M1342" s="3">
        <v>1.0329999999999999</v>
      </c>
      <c r="N1342" s="3">
        <v>1.032</v>
      </c>
      <c r="O1342" s="3">
        <v>1.032</v>
      </c>
      <c r="P1342" s="3">
        <v>1.0309999999999999</v>
      </c>
      <c r="Q1342" s="3">
        <v>1.0309999999999999</v>
      </c>
      <c r="R1342" s="3">
        <v>1.0309999999999999</v>
      </c>
      <c r="S1342" s="3">
        <v>1.0309999999999999</v>
      </c>
      <c r="T1342" s="3">
        <v>1.03</v>
      </c>
      <c r="U1342" s="3">
        <v>1.03</v>
      </c>
      <c r="V1342" s="3">
        <v>1.03</v>
      </c>
      <c r="W1342" s="3">
        <v>1.03</v>
      </c>
      <c r="X1342" s="3">
        <v>1.03</v>
      </c>
      <c r="Y1342" s="3">
        <v>1.03</v>
      </c>
      <c r="Z1342" s="3">
        <v>1.03</v>
      </c>
      <c r="AA1342" s="3">
        <v>1.03</v>
      </c>
      <c r="AB1342" s="3">
        <v>1.03</v>
      </c>
      <c r="AC1342" s="3">
        <v>1.03</v>
      </c>
      <c r="AD1342" s="3"/>
      <c r="AE1342" t="s">
        <v>6372</v>
      </c>
      <c r="AF1342" t="s">
        <v>1989</v>
      </c>
    </row>
    <row r="1343" spans="1:32" ht="28.8" x14ac:dyDescent="0.3">
      <c r="A1343" t="s">
        <v>1826</v>
      </c>
      <c r="B1343" s="1" t="s">
        <v>1205</v>
      </c>
      <c r="C1343" s="5" t="s">
        <v>3408</v>
      </c>
      <c r="D1343" s="2" t="s">
        <v>4926</v>
      </c>
      <c r="E1343" s="1" t="s">
        <v>1516</v>
      </c>
      <c r="F1343" s="3"/>
      <c r="G1343" s="3"/>
      <c r="H1343" s="3"/>
      <c r="I1343" s="3"/>
      <c r="J1343" s="3"/>
      <c r="K1343" s="3"/>
      <c r="L1343" s="3"/>
      <c r="M1343" s="3"/>
      <c r="N1343" s="3"/>
      <c r="O1343" s="3"/>
      <c r="P1343" s="3"/>
      <c r="Q1343" s="3"/>
      <c r="R1343" s="3">
        <v>28.199000000000002</v>
      </c>
      <c r="S1343" s="3">
        <v>24.452000000000002</v>
      </c>
      <c r="T1343" s="3"/>
      <c r="U1343" s="3"/>
      <c r="V1343" s="3">
        <v>36.048999999999999</v>
      </c>
      <c r="W1343" s="3">
        <v>44.161000000000001</v>
      </c>
      <c r="X1343" s="3"/>
      <c r="Y1343" s="3">
        <v>31.457000000000001</v>
      </c>
      <c r="Z1343" s="3"/>
      <c r="AA1343" s="3"/>
      <c r="AB1343" s="3">
        <v>24.568000000000001</v>
      </c>
      <c r="AC1343" s="3"/>
      <c r="AD1343" s="3"/>
      <c r="AE1343" t="s">
        <v>6373</v>
      </c>
      <c r="AF1343" t="s">
        <v>2068</v>
      </c>
    </row>
    <row r="1344" spans="1:32" ht="28.8" x14ac:dyDescent="0.3">
      <c r="A1344" t="s">
        <v>1826</v>
      </c>
      <c r="B1344" s="1" t="s">
        <v>1205</v>
      </c>
      <c r="C1344" s="5" t="s">
        <v>3409</v>
      </c>
      <c r="D1344" s="2" t="s">
        <v>4927</v>
      </c>
      <c r="E1344" s="1" t="s">
        <v>389</v>
      </c>
      <c r="F1344" s="3"/>
      <c r="G1344" s="3"/>
      <c r="H1344" s="3"/>
      <c r="I1344" s="3"/>
      <c r="J1344" s="3"/>
      <c r="K1344" s="3">
        <v>29.491</v>
      </c>
      <c r="L1344" s="3">
        <v>29.341000000000001</v>
      </c>
      <c r="M1344" s="3">
        <v>29.274000000000001</v>
      </c>
      <c r="N1344" s="3">
        <v>29.189</v>
      </c>
      <c r="O1344" s="3">
        <v>29.155999999999999</v>
      </c>
      <c r="P1344" s="3">
        <v>28.99</v>
      </c>
      <c r="Q1344" s="3">
        <v>29.062999999999999</v>
      </c>
      <c r="R1344" s="3">
        <v>28.533000000000001</v>
      </c>
      <c r="S1344" s="3">
        <v>30.527000000000001</v>
      </c>
      <c r="T1344" s="3">
        <v>32.822000000000003</v>
      </c>
      <c r="U1344" s="3">
        <v>35.182000000000002</v>
      </c>
      <c r="V1344" s="3">
        <v>37.648000000000003</v>
      </c>
      <c r="W1344" s="3">
        <v>36.71</v>
      </c>
      <c r="X1344" s="3">
        <v>34.497999999999998</v>
      </c>
      <c r="Y1344" s="3">
        <v>32.308999999999997</v>
      </c>
      <c r="Z1344" s="3">
        <v>30.309000000000001</v>
      </c>
      <c r="AA1344" s="3">
        <v>27.49</v>
      </c>
      <c r="AB1344" s="3">
        <v>24.992999999999999</v>
      </c>
      <c r="AC1344" s="3">
        <v>25.289000000000001</v>
      </c>
      <c r="AD1344" s="3">
        <v>25.387</v>
      </c>
      <c r="AE1344" t="s">
        <v>6373</v>
      </c>
      <c r="AF1344" t="s">
        <v>1659</v>
      </c>
    </row>
    <row r="1345" spans="1:32" x14ac:dyDescent="0.3">
      <c r="A1345" t="s">
        <v>1826</v>
      </c>
      <c r="B1345" s="1" t="s">
        <v>1205</v>
      </c>
      <c r="C1345" s="5" t="s">
        <v>3410</v>
      </c>
      <c r="D1345" s="2" t="s">
        <v>4928</v>
      </c>
      <c r="E1345" s="1" t="s">
        <v>244</v>
      </c>
      <c r="F1345" s="3"/>
      <c r="G1345" s="3"/>
      <c r="H1345" s="3"/>
      <c r="I1345" s="3"/>
      <c r="J1345" s="3"/>
      <c r="K1345" s="3"/>
      <c r="L1345" s="3"/>
      <c r="M1345" s="3"/>
      <c r="N1345" s="3"/>
      <c r="O1345" s="3"/>
      <c r="P1345" s="3"/>
      <c r="Q1345" s="3"/>
      <c r="R1345" s="3">
        <v>16.667999999999999</v>
      </c>
      <c r="S1345" s="3">
        <v>10.099</v>
      </c>
      <c r="T1345" s="3"/>
      <c r="U1345" s="3"/>
      <c r="V1345" s="3">
        <v>13.635999999999999</v>
      </c>
      <c r="W1345" s="3">
        <v>25.359000000000002</v>
      </c>
      <c r="X1345" s="3"/>
      <c r="Y1345" s="3">
        <v>11.878</v>
      </c>
      <c r="Z1345" s="3"/>
      <c r="AA1345" s="3"/>
      <c r="AB1345" s="3">
        <v>12.86</v>
      </c>
      <c r="AC1345" s="3"/>
      <c r="AD1345" s="3"/>
      <c r="AE1345" t="s">
        <v>6373</v>
      </c>
      <c r="AF1345" t="s">
        <v>1659</v>
      </c>
    </row>
    <row r="1346" spans="1:32" ht="28.8" x14ac:dyDescent="0.3">
      <c r="A1346" t="s">
        <v>1826</v>
      </c>
      <c r="B1346" s="1" t="s">
        <v>1205</v>
      </c>
      <c r="C1346" s="5" t="s">
        <v>3411</v>
      </c>
      <c r="D1346" s="2" t="s">
        <v>4929</v>
      </c>
      <c r="E1346" s="1" t="s">
        <v>661</v>
      </c>
      <c r="F1346" s="3"/>
      <c r="G1346" s="3"/>
      <c r="H1346" s="3"/>
      <c r="I1346" s="3"/>
      <c r="J1346" s="3"/>
      <c r="K1346" s="3">
        <v>14.775</v>
      </c>
      <c r="L1346" s="3">
        <v>14.978999999999999</v>
      </c>
      <c r="M1346" s="3">
        <v>15.305</v>
      </c>
      <c r="N1346" s="3">
        <v>15.672000000000001</v>
      </c>
      <c r="O1346" s="3">
        <v>15.984999999999999</v>
      </c>
      <c r="P1346" s="3">
        <v>16.218</v>
      </c>
      <c r="Q1346" s="3">
        <v>17.155999999999999</v>
      </c>
      <c r="R1346" s="3">
        <v>16.866</v>
      </c>
      <c r="S1346" s="3">
        <v>15.048</v>
      </c>
      <c r="T1346" s="3">
        <v>14.738</v>
      </c>
      <c r="U1346" s="3">
        <v>14.513</v>
      </c>
      <c r="V1346" s="3">
        <v>14.241</v>
      </c>
      <c r="W1346" s="3">
        <v>14.635999999999999</v>
      </c>
      <c r="X1346" s="3">
        <v>13.436</v>
      </c>
      <c r="Y1346" s="3">
        <v>12.2</v>
      </c>
      <c r="Z1346" s="3">
        <v>12.794</v>
      </c>
      <c r="AA1346" s="3">
        <v>12.744999999999999</v>
      </c>
      <c r="AB1346" s="3">
        <v>13.013</v>
      </c>
      <c r="AC1346" s="3">
        <v>13.252000000000001</v>
      </c>
      <c r="AD1346" s="3">
        <v>13.286</v>
      </c>
      <c r="AE1346" t="s">
        <v>6373</v>
      </c>
      <c r="AF1346" t="s">
        <v>1659</v>
      </c>
    </row>
    <row r="1347" spans="1:32" x14ac:dyDescent="0.3">
      <c r="A1347" t="s">
        <v>1826</v>
      </c>
      <c r="B1347" s="1" t="s">
        <v>1205</v>
      </c>
      <c r="C1347" s="5" t="s">
        <v>3412</v>
      </c>
      <c r="D1347" s="2" t="s">
        <v>4930</v>
      </c>
      <c r="E1347" s="1" t="s">
        <v>79</v>
      </c>
      <c r="F1347" s="3"/>
      <c r="G1347" s="3"/>
      <c r="H1347" s="3"/>
      <c r="I1347" s="3"/>
      <c r="J1347" s="3"/>
      <c r="K1347" s="3"/>
      <c r="L1347" s="3"/>
      <c r="M1347" s="3"/>
      <c r="N1347" s="3"/>
      <c r="O1347" s="3"/>
      <c r="P1347" s="3"/>
      <c r="Q1347" s="3"/>
      <c r="R1347" s="3">
        <v>22.756</v>
      </c>
      <c r="S1347" s="3">
        <v>17.510999999999999</v>
      </c>
      <c r="T1347" s="3"/>
      <c r="U1347" s="3"/>
      <c r="V1347" s="3">
        <v>25.759</v>
      </c>
      <c r="W1347" s="3">
        <v>34.826999999999998</v>
      </c>
      <c r="X1347" s="3"/>
      <c r="Y1347" s="3">
        <v>21.917000000000002</v>
      </c>
      <c r="Z1347" s="3"/>
      <c r="AA1347" s="3"/>
      <c r="AB1347" s="3">
        <v>18.834</v>
      </c>
      <c r="AC1347" s="3"/>
      <c r="AD1347" s="3"/>
      <c r="AE1347" t="s">
        <v>6373</v>
      </c>
      <c r="AF1347" t="s">
        <v>1659</v>
      </c>
    </row>
    <row r="1348" spans="1:32" ht="28.8" x14ac:dyDescent="0.3">
      <c r="A1348" t="s">
        <v>1826</v>
      </c>
      <c r="B1348" s="1" t="s">
        <v>1205</v>
      </c>
      <c r="C1348" s="5" t="s">
        <v>3413</v>
      </c>
      <c r="D1348" s="2" t="s">
        <v>4931</v>
      </c>
      <c r="E1348" s="1" t="s">
        <v>1276</v>
      </c>
      <c r="F1348" s="3"/>
      <c r="G1348" s="3"/>
      <c r="H1348" s="3"/>
      <c r="I1348" s="3"/>
      <c r="J1348" s="3"/>
      <c r="K1348" s="3">
        <v>22.151</v>
      </c>
      <c r="L1348" s="3">
        <v>22.17</v>
      </c>
      <c r="M1348" s="3">
        <v>22.294</v>
      </c>
      <c r="N1348" s="3">
        <v>22.442</v>
      </c>
      <c r="O1348" s="3">
        <v>22.600999999999999</v>
      </c>
      <c r="P1348" s="3">
        <v>22.652000000000001</v>
      </c>
      <c r="Q1348" s="3">
        <v>23.166</v>
      </c>
      <c r="R1348" s="3">
        <v>22.756</v>
      </c>
      <c r="S1348" s="3">
        <v>22.84</v>
      </c>
      <c r="T1348" s="3">
        <v>23.782</v>
      </c>
      <c r="U1348" s="3">
        <v>24.765000000000001</v>
      </c>
      <c r="V1348" s="3">
        <v>25.759</v>
      </c>
      <c r="W1348" s="3">
        <v>25.417999999999999</v>
      </c>
      <c r="X1348" s="3">
        <v>23.66</v>
      </c>
      <c r="Y1348" s="3">
        <v>21.917000000000002</v>
      </c>
      <c r="Z1348" s="3">
        <v>21.234000000000002</v>
      </c>
      <c r="AA1348" s="3">
        <v>19.84</v>
      </c>
      <c r="AB1348" s="3">
        <v>18.777000000000001</v>
      </c>
      <c r="AC1348" s="3">
        <v>19.050999999999998</v>
      </c>
      <c r="AD1348" s="3">
        <v>19.129000000000001</v>
      </c>
      <c r="AE1348" t="s">
        <v>6373</v>
      </c>
      <c r="AF1348" t="s">
        <v>673</v>
      </c>
    </row>
    <row r="1349" spans="1:32" x14ac:dyDescent="0.3">
      <c r="A1349" t="s">
        <v>1826</v>
      </c>
      <c r="B1349" s="1" t="s">
        <v>1205</v>
      </c>
      <c r="C1349" s="5" t="s">
        <v>3414</v>
      </c>
      <c r="D1349" s="2" t="s">
        <v>4932</v>
      </c>
      <c r="E1349" s="1" t="s">
        <v>172</v>
      </c>
      <c r="F1349" s="3"/>
      <c r="G1349" s="3"/>
      <c r="H1349" s="3"/>
      <c r="I1349" s="3"/>
      <c r="J1349" s="3"/>
      <c r="K1349" s="3">
        <v>10.125263555191493</v>
      </c>
      <c r="L1349" s="3">
        <v>19.137106115747837</v>
      </c>
      <c r="M1349" s="3">
        <v>19.373983485753961</v>
      </c>
      <c r="N1349" s="3">
        <v>11.495885806746845</v>
      </c>
      <c r="O1349" s="3">
        <v>3.8251622125372684</v>
      </c>
      <c r="P1349" s="3">
        <v>3.2047582222381918</v>
      </c>
      <c r="Q1349" s="3">
        <v>3.3976429098397558</v>
      </c>
      <c r="R1349" s="3">
        <v>5.5339053641095024</v>
      </c>
      <c r="S1349" s="3">
        <v>0</v>
      </c>
      <c r="T1349" s="3">
        <v>0</v>
      </c>
      <c r="U1349" s="3">
        <v>0</v>
      </c>
      <c r="V1349" s="3">
        <v>2.2287072334840357</v>
      </c>
      <c r="W1349" s="3">
        <v>0.21176277914507921</v>
      </c>
      <c r="X1349" s="3">
        <v>1.0261520774150579</v>
      </c>
      <c r="Y1349" s="3">
        <v>6.2780124820474237</v>
      </c>
      <c r="Z1349" s="3">
        <v>7.7465979496543147</v>
      </c>
      <c r="AA1349" s="3">
        <v>13.044501487236035</v>
      </c>
      <c r="AB1349" s="3">
        <v>9.4416089426902481</v>
      </c>
      <c r="AC1349" s="3"/>
      <c r="AD1349" s="3"/>
      <c r="AE1349" t="s">
        <v>6374</v>
      </c>
      <c r="AF1349" t="s">
        <v>1002</v>
      </c>
    </row>
    <row r="1350" spans="1:32" x14ac:dyDescent="0.3">
      <c r="A1350" t="s">
        <v>1826</v>
      </c>
      <c r="B1350" s="1" t="s">
        <v>1205</v>
      </c>
      <c r="C1350" s="5" t="s">
        <v>3415</v>
      </c>
      <c r="D1350" s="2" t="s">
        <v>4933</v>
      </c>
      <c r="E1350" s="1" t="s">
        <v>1992</v>
      </c>
      <c r="F1350" s="3">
        <v>7.5918000000000001</v>
      </c>
      <c r="G1350" s="3">
        <v>9.8606999999999996</v>
      </c>
      <c r="H1350" s="3">
        <v>6.8859000000000004</v>
      </c>
      <c r="I1350" s="3">
        <v>3.0771000000000002</v>
      </c>
      <c r="J1350" s="3">
        <v>5.3754</v>
      </c>
      <c r="K1350" s="3">
        <v>7.3517999999999999</v>
      </c>
      <c r="L1350" s="3">
        <v>13.3527</v>
      </c>
      <c r="M1350" s="3">
        <v>13.232799999999999</v>
      </c>
      <c r="N1350" s="3">
        <v>10.3636</v>
      </c>
      <c r="O1350" s="3">
        <v>3.2387000000000001</v>
      </c>
      <c r="P1350" s="3">
        <v>3.5112999999999999</v>
      </c>
      <c r="Q1350" s="3">
        <v>3.6861999999999999</v>
      </c>
      <c r="R1350" s="3">
        <v>7.7210999999999999</v>
      </c>
      <c r="S1350" s="3">
        <v>0</v>
      </c>
      <c r="T1350" s="3">
        <v>0</v>
      </c>
      <c r="U1350" s="3">
        <v>0</v>
      </c>
      <c r="V1350" s="3">
        <v>2.3494999999999999</v>
      </c>
      <c r="W1350" s="3">
        <v>0.20699999999999999</v>
      </c>
      <c r="X1350" s="3">
        <v>0.85109999999999997</v>
      </c>
      <c r="Y1350" s="3">
        <v>4.4865000000000004</v>
      </c>
      <c r="Z1350" s="3">
        <v>4.2058999999999997</v>
      </c>
      <c r="AA1350" s="3">
        <v>7.3502000000000001</v>
      </c>
      <c r="AB1350" s="3">
        <v>5.3038999999999996</v>
      </c>
      <c r="AC1350" s="3">
        <v>8.1636000000000006</v>
      </c>
      <c r="AD1350" s="3"/>
      <c r="AE1350" t="s">
        <v>6375</v>
      </c>
      <c r="AF1350" t="s">
        <v>252</v>
      </c>
    </row>
    <row r="1351" spans="1:32" x14ac:dyDescent="0.3">
      <c r="A1351" t="s">
        <v>1826</v>
      </c>
      <c r="B1351" s="1" t="s">
        <v>1205</v>
      </c>
      <c r="C1351" s="5" t="s">
        <v>3416</v>
      </c>
      <c r="D1351" s="2" t="s">
        <v>4934</v>
      </c>
      <c r="E1351" s="1" t="s">
        <v>799</v>
      </c>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t="s">
        <v>6376</v>
      </c>
      <c r="AF1351" t="s">
        <v>252</v>
      </c>
    </row>
    <row r="1352" spans="1:32" x14ac:dyDescent="0.3">
      <c r="A1352" t="s">
        <v>1826</v>
      </c>
      <c r="B1352" s="1" t="s">
        <v>1205</v>
      </c>
      <c r="C1352" s="5" t="s">
        <v>3417</v>
      </c>
      <c r="D1352" s="2" t="s">
        <v>4935</v>
      </c>
      <c r="E1352" s="1" t="s">
        <v>1350</v>
      </c>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t="s">
        <v>6377</v>
      </c>
      <c r="AF1352" t="s">
        <v>115</v>
      </c>
    </row>
    <row r="1353" spans="1:32" x14ac:dyDescent="0.3">
      <c r="A1353" t="s">
        <v>1826</v>
      </c>
      <c r="B1353" s="1" t="s">
        <v>1205</v>
      </c>
      <c r="C1353" s="5" t="s">
        <v>3418</v>
      </c>
      <c r="D1353" s="2" t="s">
        <v>4936</v>
      </c>
      <c r="E1353" s="1" t="s">
        <v>122</v>
      </c>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t="s">
        <v>6378</v>
      </c>
      <c r="AF1353" t="s">
        <v>115</v>
      </c>
    </row>
    <row r="1354" spans="1:32" x14ac:dyDescent="0.3">
      <c r="A1354" t="s">
        <v>1826</v>
      </c>
      <c r="B1354" s="1" t="s">
        <v>1205</v>
      </c>
      <c r="C1354" s="5" t="s">
        <v>3419</v>
      </c>
      <c r="D1354" s="2" t="s">
        <v>4937</v>
      </c>
      <c r="E1354" s="1" t="s">
        <v>621</v>
      </c>
      <c r="F1354" s="3"/>
      <c r="G1354" s="3"/>
      <c r="H1354" s="3"/>
      <c r="I1354" s="3"/>
      <c r="J1354" s="3"/>
      <c r="K1354" s="3"/>
      <c r="L1354" s="3"/>
      <c r="M1354" s="3"/>
      <c r="N1354" s="3"/>
      <c r="O1354" s="3"/>
      <c r="P1354" s="3"/>
      <c r="Q1354" s="3"/>
      <c r="R1354" s="3"/>
      <c r="S1354" s="3"/>
      <c r="T1354" s="3">
        <v>2.81</v>
      </c>
      <c r="U1354" s="3"/>
      <c r="V1354" s="3"/>
      <c r="W1354" s="3"/>
      <c r="X1354" s="3"/>
      <c r="Y1354" s="3"/>
      <c r="Z1354" s="3"/>
      <c r="AA1354" s="3"/>
      <c r="AB1354" s="3"/>
      <c r="AC1354" s="3"/>
      <c r="AD1354" s="3"/>
      <c r="AE1354" t="s">
        <v>6379</v>
      </c>
      <c r="AF1354" t="s">
        <v>1269</v>
      </c>
    </row>
    <row r="1355" spans="1:32" x14ac:dyDescent="0.3">
      <c r="A1355" t="s">
        <v>1826</v>
      </c>
      <c r="B1355" s="1" t="s">
        <v>1205</v>
      </c>
      <c r="C1355" s="5" t="s">
        <v>3420</v>
      </c>
      <c r="D1355" s="2" t="s">
        <v>4938</v>
      </c>
      <c r="E1355" s="1" t="s">
        <v>1920</v>
      </c>
      <c r="F1355" s="3"/>
      <c r="G1355" s="3"/>
      <c r="H1355" s="3"/>
      <c r="I1355" s="3"/>
      <c r="J1355" s="3"/>
      <c r="K1355" s="3"/>
      <c r="L1355" s="3"/>
      <c r="M1355" s="3"/>
      <c r="N1355" s="3"/>
      <c r="O1355" s="3"/>
      <c r="P1355" s="3"/>
      <c r="Q1355" s="3"/>
      <c r="R1355" s="3"/>
      <c r="S1355" s="3"/>
      <c r="T1355" s="3"/>
      <c r="U1355" s="3"/>
      <c r="V1355" s="3">
        <v>50.9166666666667</v>
      </c>
      <c r="W1355" s="3">
        <v>56.155000000000001</v>
      </c>
      <c r="X1355" s="3">
        <v>57.2783333333333</v>
      </c>
      <c r="Y1355" s="3">
        <v>55.7783333333333</v>
      </c>
      <c r="Z1355" s="3">
        <v>60.7991666666667</v>
      </c>
      <c r="AA1355" s="3">
        <v>70.685833333333306</v>
      </c>
      <c r="AB1355" s="3">
        <v>67.753749999999997</v>
      </c>
      <c r="AC1355" s="3">
        <v>68.886250000000004</v>
      </c>
      <c r="AD1355" s="3"/>
      <c r="AE1355" t="s">
        <v>6380</v>
      </c>
      <c r="AF1355" t="s">
        <v>1137</v>
      </c>
    </row>
    <row r="1356" spans="1:32" ht="28.8" x14ac:dyDescent="0.3">
      <c r="A1356" t="s">
        <v>1826</v>
      </c>
      <c r="B1356" s="1" t="s">
        <v>1205</v>
      </c>
      <c r="C1356" s="5" t="s">
        <v>3421</v>
      </c>
      <c r="D1356" s="2" t="s">
        <v>4939</v>
      </c>
      <c r="E1356" s="1" t="s">
        <v>110</v>
      </c>
      <c r="F1356" s="3"/>
      <c r="G1356" s="3"/>
      <c r="H1356" s="3"/>
      <c r="I1356" s="3"/>
      <c r="J1356" s="3">
        <v>30</v>
      </c>
      <c r="K1356" s="3">
        <v>30</v>
      </c>
      <c r="L1356" s="3">
        <v>30</v>
      </c>
      <c r="M1356" s="3">
        <v>30</v>
      </c>
      <c r="N1356" s="3">
        <v>30</v>
      </c>
      <c r="O1356" s="3">
        <v>30</v>
      </c>
      <c r="P1356" s="3">
        <v>30</v>
      </c>
      <c r="Q1356" s="3">
        <v>30</v>
      </c>
      <c r="R1356" s="3">
        <v>50</v>
      </c>
      <c r="S1356" s="3">
        <v>40</v>
      </c>
      <c r="T1356" s="3">
        <v>30</v>
      </c>
      <c r="U1356" s="3">
        <v>60</v>
      </c>
      <c r="V1356" s="3">
        <v>90</v>
      </c>
      <c r="W1356" s="3">
        <v>90</v>
      </c>
      <c r="X1356" s="3">
        <v>90</v>
      </c>
      <c r="Y1356" s="3">
        <v>90</v>
      </c>
      <c r="Z1356" s="3">
        <v>90</v>
      </c>
      <c r="AA1356" s="3">
        <v>100</v>
      </c>
      <c r="AB1356" s="3">
        <v>100</v>
      </c>
      <c r="AC1356" s="3">
        <v>100</v>
      </c>
      <c r="AD1356" s="3"/>
      <c r="AE1356" t="s">
        <v>6381</v>
      </c>
      <c r="AF1356" t="s">
        <v>907</v>
      </c>
    </row>
    <row r="1357" spans="1:32" ht="28.8" x14ac:dyDescent="0.3">
      <c r="A1357" t="s">
        <v>1826</v>
      </c>
      <c r="B1357" s="1" t="s">
        <v>1205</v>
      </c>
      <c r="C1357" s="5" t="s">
        <v>3422</v>
      </c>
      <c r="D1357" s="2" t="s">
        <v>4940</v>
      </c>
      <c r="E1357" s="1" t="s">
        <v>1861</v>
      </c>
      <c r="F1357" s="3"/>
      <c r="G1357" s="3"/>
      <c r="H1357" s="3"/>
      <c r="I1357" s="3"/>
      <c r="J1357" s="3"/>
      <c r="K1357" s="3"/>
      <c r="L1357" s="3"/>
      <c r="M1357" s="3"/>
      <c r="N1357" s="3"/>
      <c r="O1357" s="3"/>
      <c r="P1357" s="3"/>
      <c r="Q1357" s="3"/>
      <c r="R1357" s="3"/>
      <c r="S1357" s="3"/>
      <c r="T1357" s="3"/>
      <c r="U1357" s="3"/>
      <c r="V1357" s="3">
        <v>41.566666666666698</v>
      </c>
      <c r="W1357" s="3">
        <v>59.133333333333297</v>
      </c>
      <c r="X1357" s="3">
        <v>59.9</v>
      </c>
      <c r="Y1357" s="3">
        <v>59.9</v>
      </c>
      <c r="Z1357" s="3">
        <v>64.1666666666667</v>
      </c>
      <c r="AA1357" s="3">
        <v>64.1666666666667</v>
      </c>
      <c r="AB1357" s="3">
        <v>58.1</v>
      </c>
      <c r="AC1357" s="3">
        <v>58.1</v>
      </c>
      <c r="AD1357" s="3"/>
      <c r="AE1357" t="s">
        <v>6382</v>
      </c>
      <c r="AF1357" t="s">
        <v>265</v>
      </c>
    </row>
    <row r="1358" spans="1:32" ht="28.8" x14ac:dyDescent="0.3">
      <c r="A1358" t="s">
        <v>1826</v>
      </c>
      <c r="B1358" s="1" t="s">
        <v>1205</v>
      </c>
      <c r="C1358" s="5" t="s">
        <v>3423</v>
      </c>
      <c r="D1358" s="2" t="s">
        <v>4941</v>
      </c>
      <c r="E1358" s="1" t="s">
        <v>1551</v>
      </c>
      <c r="F1358" s="3"/>
      <c r="G1358" s="3"/>
      <c r="H1358" s="3"/>
      <c r="I1358" s="3"/>
      <c r="J1358" s="3"/>
      <c r="K1358" s="3">
        <v>57.225000000000001</v>
      </c>
      <c r="L1358" s="3">
        <v>59.643749999999997</v>
      </c>
      <c r="M1358" s="3">
        <v>60</v>
      </c>
      <c r="N1358" s="3">
        <v>63.706249999999997</v>
      </c>
      <c r="O1358" s="3">
        <v>65.993750000000006</v>
      </c>
      <c r="P1358" s="3">
        <v>62.131250000000001</v>
      </c>
      <c r="Q1358" s="3">
        <v>61.7</v>
      </c>
      <c r="R1358" s="3">
        <v>67.512500000000003</v>
      </c>
      <c r="S1358" s="3">
        <v>63.618749999999999</v>
      </c>
      <c r="T1358" s="3">
        <v>64.793750000000003</v>
      </c>
      <c r="U1358" s="3">
        <v>63.712499999999999</v>
      </c>
      <c r="V1358" s="3">
        <v>71.974999999999994</v>
      </c>
      <c r="W1358" s="3">
        <v>70.849999999999994</v>
      </c>
      <c r="X1358" s="3">
        <v>69.325000000000003</v>
      </c>
      <c r="Y1358" s="3">
        <v>68.474999999999994</v>
      </c>
      <c r="Z1358" s="3">
        <v>74.6875</v>
      </c>
      <c r="AA1358" s="3">
        <v>79.137500000000003</v>
      </c>
      <c r="AB1358" s="3">
        <v>72.96875</v>
      </c>
      <c r="AC1358" s="3">
        <v>78.631249999999994</v>
      </c>
      <c r="AD1358" s="3"/>
      <c r="AE1358" t="s">
        <v>6383</v>
      </c>
      <c r="AF1358" t="s">
        <v>272</v>
      </c>
    </row>
    <row r="1359" spans="1:32" ht="28.8" x14ac:dyDescent="0.3">
      <c r="A1359" t="s">
        <v>1826</v>
      </c>
      <c r="B1359" s="1" t="s">
        <v>1205</v>
      </c>
      <c r="C1359" s="5" t="s">
        <v>3424</v>
      </c>
      <c r="D1359" s="2" t="s">
        <v>4942</v>
      </c>
      <c r="E1359" s="1" t="s">
        <v>657</v>
      </c>
      <c r="F1359" s="3"/>
      <c r="G1359" s="3"/>
      <c r="H1359" s="3"/>
      <c r="I1359" s="3"/>
      <c r="J1359" s="3"/>
      <c r="K1359" s="3"/>
      <c r="L1359" s="3"/>
      <c r="M1359" s="3"/>
      <c r="N1359" s="3"/>
      <c r="O1359" s="3"/>
      <c r="P1359" s="3"/>
      <c r="Q1359" s="3"/>
      <c r="R1359" s="3"/>
      <c r="S1359" s="3"/>
      <c r="T1359" s="3"/>
      <c r="U1359" s="3">
        <v>32.716666666666697</v>
      </c>
      <c r="V1359" s="3">
        <v>36.0416666666667</v>
      </c>
      <c r="W1359" s="3">
        <v>35.7916666666667</v>
      </c>
      <c r="X1359" s="3">
        <v>37.1666666666667</v>
      </c>
      <c r="Y1359" s="3">
        <v>35.516666666666701</v>
      </c>
      <c r="Z1359" s="3">
        <v>35.141666666666701</v>
      </c>
      <c r="AA1359" s="3">
        <v>45.125</v>
      </c>
      <c r="AB1359" s="3">
        <v>42.7</v>
      </c>
      <c r="AC1359" s="3">
        <v>42.7</v>
      </c>
      <c r="AD1359" s="3"/>
      <c r="AE1359" t="s">
        <v>6384</v>
      </c>
      <c r="AF1359" t="s">
        <v>360</v>
      </c>
    </row>
    <row r="1360" spans="1:32" ht="28.8" x14ac:dyDescent="0.3">
      <c r="A1360" t="s">
        <v>1826</v>
      </c>
      <c r="B1360" s="1" t="s">
        <v>1205</v>
      </c>
      <c r="C1360" s="5" t="s">
        <v>3425</v>
      </c>
      <c r="D1360" s="2" t="s">
        <v>4943</v>
      </c>
      <c r="E1360" s="1" t="s">
        <v>375</v>
      </c>
      <c r="F1360" s="3"/>
      <c r="G1360" s="3"/>
      <c r="H1360" s="3"/>
      <c r="I1360" s="3"/>
      <c r="J1360" s="3"/>
      <c r="K1360" s="3"/>
      <c r="L1360" s="3"/>
      <c r="M1360" s="3"/>
      <c r="N1360" s="3"/>
      <c r="O1360" s="3"/>
      <c r="P1360" s="3"/>
      <c r="Q1360" s="3"/>
      <c r="R1360" s="3"/>
      <c r="S1360" s="3"/>
      <c r="T1360" s="3"/>
      <c r="U1360" s="3"/>
      <c r="V1360" s="3">
        <v>15</v>
      </c>
      <c r="W1360" s="3">
        <v>25</v>
      </c>
      <c r="X1360" s="3">
        <v>30</v>
      </c>
      <c r="Y1360" s="3">
        <v>25</v>
      </c>
      <c r="Z1360" s="3">
        <v>40</v>
      </c>
      <c r="AA1360" s="3">
        <v>65</v>
      </c>
      <c r="AB1360" s="3">
        <v>65</v>
      </c>
      <c r="AC1360" s="3">
        <v>65</v>
      </c>
      <c r="AD1360" s="3"/>
      <c r="AE1360" t="s">
        <v>6385</v>
      </c>
      <c r="AF1360" t="s">
        <v>333</v>
      </c>
    </row>
    <row r="1361" spans="1:32" x14ac:dyDescent="0.3">
      <c r="A1361" t="s">
        <v>1826</v>
      </c>
      <c r="B1361" s="1" t="s">
        <v>1205</v>
      </c>
      <c r="C1361" s="5" t="s">
        <v>3426</v>
      </c>
      <c r="D1361" s="2" t="s">
        <v>4944</v>
      </c>
      <c r="E1361" s="1" t="s">
        <v>579</v>
      </c>
      <c r="F1361" s="3">
        <v>0.1990042681569304</v>
      </c>
      <c r="G1361" s="3">
        <v>5.1158389393341698E-2</v>
      </c>
      <c r="H1361" s="3">
        <v>9.687398173165146E-2</v>
      </c>
      <c r="I1361" s="3">
        <v>0.11439055623634459</v>
      </c>
      <c r="J1361" s="3">
        <v>0.2133933285170812</v>
      </c>
      <c r="K1361" s="3">
        <v>0.1454429348108689</v>
      </c>
      <c r="L1361" s="3">
        <v>0.42339405192621909</v>
      </c>
      <c r="M1361" s="3">
        <v>0.57148637070320141</v>
      </c>
      <c r="N1361" s="3">
        <v>0.85644093558950252</v>
      </c>
      <c r="O1361" s="3">
        <v>0.71001070010191802</v>
      </c>
      <c r="P1361" s="3">
        <v>0.64978245591820094</v>
      </c>
      <c r="Q1361" s="3">
        <v>0.31771112120815959</v>
      </c>
      <c r="R1361" s="3">
        <v>0.47985936481439834</v>
      </c>
      <c r="S1361" s="3">
        <v>0.85913932848248087</v>
      </c>
      <c r="T1361" s="3">
        <v>0.81686209721708014</v>
      </c>
      <c r="U1361" s="3">
        <v>1.1390373046385289</v>
      </c>
      <c r="V1361" s="3"/>
      <c r="W1361" s="3"/>
      <c r="X1361" s="3"/>
      <c r="Y1361" s="3">
        <v>0.24972303953921487</v>
      </c>
      <c r="Z1361" s="3">
        <v>0.26829408344600508</v>
      </c>
      <c r="AA1361" s="3"/>
      <c r="AB1361" s="3"/>
      <c r="AC1361" s="3"/>
      <c r="AD1361" s="3"/>
      <c r="AE1361" t="s">
        <v>6386</v>
      </c>
      <c r="AF1361" t="s">
        <v>1303</v>
      </c>
    </row>
    <row r="1362" spans="1:32" x14ac:dyDescent="0.3">
      <c r="A1362" t="s">
        <v>1826</v>
      </c>
      <c r="B1362" s="1" t="s">
        <v>1205</v>
      </c>
      <c r="C1362" s="5" t="s">
        <v>3427</v>
      </c>
      <c r="D1362" s="2" t="s">
        <v>4945</v>
      </c>
      <c r="E1362" s="1" t="s">
        <v>1322</v>
      </c>
      <c r="F1362" s="3">
        <v>32990000.000000004</v>
      </c>
      <c r="G1362" s="3">
        <v>8600000</v>
      </c>
      <c r="H1362" s="3">
        <v>17490000</v>
      </c>
      <c r="I1362" s="3">
        <v>24310000</v>
      </c>
      <c r="J1362" s="3">
        <v>50170000</v>
      </c>
      <c r="K1362" s="3">
        <v>34960000</v>
      </c>
      <c r="L1362" s="3">
        <v>107040000</v>
      </c>
      <c r="M1362" s="3">
        <v>164360000</v>
      </c>
      <c r="N1362" s="3">
        <v>291860000</v>
      </c>
      <c r="O1362" s="3">
        <v>240600000</v>
      </c>
      <c r="P1362" s="3">
        <v>227010000</v>
      </c>
      <c r="Q1362" s="3">
        <v>116580000</v>
      </c>
      <c r="R1362" s="3">
        <v>174200000</v>
      </c>
      <c r="S1362" s="3">
        <v>367370000</v>
      </c>
      <c r="T1362" s="3">
        <v>398980000</v>
      </c>
      <c r="U1362" s="3">
        <v>521850000</v>
      </c>
      <c r="V1362" s="3"/>
      <c r="W1362" s="3"/>
      <c r="X1362" s="3"/>
      <c r="Y1362" s="3">
        <v>150790000</v>
      </c>
      <c r="Z1362" s="3">
        <v>169100000</v>
      </c>
      <c r="AA1362" s="3"/>
      <c r="AB1362" s="3"/>
      <c r="AC1362" s="3"/>
      <c r="AD1362" s="3"/>
      <c r="AE1362" t="s">
        <v>6387</v>
      </c>
      <c r="AF1362" t="s">
        <v>507</v>
      </c>
    </row>
    <row r="1363" spans="1:32" x14ac:dyDescent="0.3">
      <c r="A1363" t="s">
        <v>1826</v>
      </c>
      <c r="B1363" s="1" t="s">
        <v>1205</v>
      </c>
      <c r="C1363" s="5" t="s">
        <v>3428</v>
      </c>
      <c r="D1363" s="2" t="s">
        <v>4946</v>
      </c>
      <c r="E1363" s="1" t="s">
        <v>2023</v>
      </c>
      <c r="F1363" s="3">
        <v>7.5607911443173705</v>
      </c>
      <c r="G1363" s="3">
        <v>0.87377950275850202</v>
      </c>
      <c r="H1363" s="3">
        <v>1.3303314038837499</v>
      </c>
      <c r="I1363" s="3">
        <v>1.4732351176588201</v>
      </c>
      <c r="J1363" s="3">
        <v>2.4089385689454801</v>
      </c>
      <c r="K1363" s="3">
        <v>1.4988788420560701</v>
      </c>
      <c r="L1363" s="3">
        <v>2.5760120906994999</v>
      </c>
      <c r="M1363" s="3">
        <v>1.9790082563030003</v>
      </c>
      <c r="N1363" s="3">
        <v>4.1177856567420896</v>
      </c>
      <c r="O1363" s="3">
        <v>3.9285930052756801</v>
      </c>
      <c r="P1363" s="3">
        <v>3.1713634306214504</v>
      </c>
      <c r="Q1363" s="3">
        <v>1.85412558050767</v>
      </c>
      <c r="R1363" s="3"/>
      <c r="S1363" s="3">
        <v>3.1083396438739799</v>
      </c>
      <c r="T1363" s="3">
        <v>3.4070569749965798</v>
      </c>
      <c r="U1363" s="3">
        <v>4.1771291672236401</v>
      </c>
      <c r="V1363" s="3">
        <v>5.2736143597361096</v>
      </c>
      <c r="W1363" s="3"/>
      <c r="X1363" s="3"/>
      <c r="Y1363" s="3">
        <v>1.8616000000000001</v>
      </c>
      <c r="Z1363" s="3"/>
      <c r="AA1363" s="3"/>
      <c r="AB1363" s="3"/>
      <c r="AC1363" s="3"/>
      <c r="AD1363" s="3"/>
      <c r="AE1363" t="s">
        <v>6388</v>
      </c>
      <c r="AF1363" t="s">
        <v>1866</v>
      </c>
    </row>
    <row r="1364" spans="1:32" x14ac:dyDescent="0.3">
      <c r="A1364" t="s">
        <v>1826</v>
      </c>
      <c r="B1364" s="1" t="s">
        <v>1205</v>
      </c>
      <c r="C1364" s="5" t="s">
        <v>3429</v>
      </c>
      <c r="D1364" s="2" t="s">
        <v>4947</v>
      </c>
      <c r="E1364" s="1" t="s">
        <v>1434</v>
      </c>
      <c r="F1364" s="3"/>
      <c r="G1364" s="3">
        <v>6.401566043722311</v>
      </c>
      <c r="H1364" s="3">
        <v>6.8542439154750792</v>
      </c>
      <c r="I1364" s="3">
        <v>8.0128961232995213</v>
      </c>
      <c r="J1364" s="3">
        <v>6.7592370920118103</v>
      </c>
      <c r="K1364" s="3">
        <v>7.0673761522895893</v>
      </c>
      <c r="L1364" s="3">
        <v>3.8661594596692805</v>
      </c>
      <c r="M1364" s="3">
        <v>6.3164349959116919</v>
      </c>
      <c r="N1364" s="3">
        <v>3.707684040838259</v>
      </c>
      <c r="O1364" s="3">
        <v>8.3936561354762986</v>
      </c>
      <c r="P1364" s="3">
        <v>10.602272541664172</v>
      </c>
      <c r="Q1364" s="3">
        <v>14.803456659364993</v>
      </c>
      <c r="R1364" s="3">
        <v>15.083227768754945</v>
      </c>
      <c r="S1364" s="3">
        <v>11.82098632984785</v>
      </c>
      <c r="T1364" s="3">
        <v>9.9820076112022811</v>
      </c>
      <c r="U1364" s="3">
        <v>38.236947049805785</v>
      </c>
      <c r="V1364" s="3">
        <v>35.263089018099315</v>
      </c>
      <c r="W1364" s="3">
        <v>34.6572403259254</v>
      </c>
      <c r="X1364" s="3">
        <v>38.551094474876933</v>
      </c>
      <c r="Y1364" s="3">
        <v>37.438104921568105</v>
      </c>
      <c r="Z1364" s="3">
        <v>37.996673282028034</v>
      </c>
      <c r="AA1364" s="3">
        <v>36.2442183864122</v>
      </c>
      <c r="AB1364" s="3">
        <v>42.723325935790442</v>
      </c>
      <c r="AC1364" s="3">
        <v>43.562409316865327</v>
      </c>
      <c r="AD1364" s="3"/>
      <c r="AE1364" t="s">
        <v>6389</v>
      </c>
      <c r="AF1364" t="s">
        <v>115</v>
      </c>
    </row>
    <row r="1365" spans="1:32" x14ac:dyDescent="0.3">
      <c r="A1365" t="s">
        <v>1826</v>
      </c>
      <c r="B1365" s="1" t="s">
        <v>1205</v>
      </c>
      <c r="C1365" s="5" t="s">
        <v>3430</v>
      </c>
      <c r="D1365" s="2" t="s">
        <v>4948</v>
      </c>
      <c r="E1365" s="1" t="s">
        <v>216</v>
      </c>
      <c r="F1365" s="3"/>
      <c r="G1365" s="3">
        <v>65371000000</v>
      </c>
      <c r="H1365" s="3">
        <v>77971000000</v>
      </c>
      <c r="I1365" s="3">
        <v>101900000000</v>
      </c>
      <c r="J1365" s="3">
        <v>84700000000</v>
      </c>
      <c r="K1365" s="3">
        <v>94300000000</v>
      </c>
      <c r="L1365" s="3">
        <v>49800000000</v>
      </c>
      <c r="M1365" s="3">
        <v>92700000000</v>
      </c>
      <c r="N1365" s="3">
        <v>62100000000</v>
      </c>
      <c r="O1365" s="3">
        <v>140170700000</v>
      </c>
      <c r="P1365" s="3">
        <v>194733000000</v>
      </c>
      <c r="Q1365" s="3">
        <v>245992000000</v>
      </c>
      <c r="R1365" s="3">
        <v>316503434854</v>
      </c>
      <c r="S1365" s="3">
        <v>247918000000</v>
      </c>
      <c r="T1365" s="3">
        <v>221866500000</v>
      </c>
      <c r="U1365" s="3">
        <v>1393491986308</v>
      </c>
      <c r="V1365" s="3">
        <v>1355539492741</v>
      </c>
      <c r="W1365" s="3">
        <v>1579555466374.7358</v>
      </c>
      <c r="X1365" s="3">
        <v>1846766271946</v>
      </c>
      <c r="Y1365" s="3">
        <v>1804941646966.71</v>
      </c>
      <c r="Z1365" s="3">
        <v>2209926691551.2632</v>
      </c>
      <c r="AA1365" s="3">
        <v>2396114214780.1401</v>
      </c>
      <c r="AB1365" s="3">
        <v>3480225612787.3101</v>
      </c>
      <c r="AC1365" s="3">
        <v>3816766278599.208</v>
      </c>
      <c r="AD1365" s="3"/>
      <c r="AE1365" t="s">
        <v>6390</v>
      </c>
      <c r="AF1365" t="s">
        <v>115</v>
      </c>
    </row>
    <row r="1366" spans="1:32" x14ac:dyDescent="0.3">
      <c r="A1366" t="s">
        <v>1826</v>
      </c>
      <c r="B1366" s="1" t="s">
        <v>1205</v>
      </c>
      <c r="C1366" s="5" t="s">
        <v>3431</v>
      </c>
      <c r="D1366" s="2" t="s">
        <v>4949</v>
      </c>
      <c r="E1366" s="1" t="s">
        <v>1496</v>
      </c>
      <c r="F1366" s="3">
        <v>5.92</v>
      </c>
      <c r="G1366" s="3">
        <v>5.84</v>
      </c>
      <c r="H1366" s="3">
        <v>5.71</v>
      </c>
      <c r="I1366" s="3">
        <v>5.65</v>
      </c>
      <c r="J1366" s="3">
        <v>5.15</v>
      </c>
      <c r="K1366" s="3">
        <v>5.18</v>
      </c>
      <c r="L1366" s="3">
        <v>5.29</v>
      </c>
      <c r="M1366" s="3">
        <v>5.48</v>
      </c>
      <c r="N1366" s="3">
        <v>5.81</v>
      </c>
      <c r="O1366" s="3">
        <v>6.68</v>
      </c>
      <c r="P1366" s="3">
        <v>7.93</v>
      </c>
      <c r="Q1366" s="3">
        <v>8.5</v>
      </c>
      <c r="R1366" s="3">
        <v>8.7899999999999991</v>
      </c>
      <c r="S1366" s="3">
        <v>8.92</v>
      </c>
      <c r="T1366" s="3">
        <v>8.6</v>
      </c>
      <c r="U1366" s="3">
        <v>8.06</v>
      </c>
      <c r="V1366" s="3">
        <v>7.82</v>
      </c>
      <c r="W1366" s="3">
        <v>7.68</v>
      </c>
      <c r="X1366" s="3">
        <v>7.71</v>
      </c>
      <c r="Y1366" s="3">
        <v>7.75</v>
      </c>
      <c r="Z1366" s="3">
        <v>7.3</v>
      </c>
      <c r="AA1366" s="3">
        <v>7.39</v>
      </c>
      <c r="AB1366" s="3"/>
      <c r="AC1366" s="3"/>
      <c r="AD1366" s="3"/>
      <c r="AE1366" t="s">
        <v>6391</v>
      </c>
      <c r="AF1366" t="s">
        <v>342</v>
      </c>
    </row>
    <row r="1367" spans="1:32" x14ac:dyDescent="0.3">
      <c r="A1367" t="s">
        <v>1826</v>
      </c>
      <c r="B1367" s="1" t="s">
        <v>1205</v>
      </c>
      <c r="C1367" s="5" t="s">
        <v>3432</v>
      </c>
      <c r="D1367" s="2" t="s">
        <v>4950</v>
      </c>
      <c r="E1367" s="1" t="s">
        <v>1336</v>
      </c>
      <c r="F1367" s="3">
        <v>1.66</v>
      </c>
      <c r="G1367" s="3">
        <v>1.67</v>
      </c>
      <c r="H1367" s="3">
        <v>1.54</v>
      </c>
      <c r="I1367" s="3">
        <v>1.61</v>
      </c>
      <c r="J1367" s="3">
        <v>1.63</v>
      </c>
      <c r="K1367" s="3">
        <v>1.66</v>
      </c>
      <c r="L1367" s="3">
        <v>1.65</v>
      </c>
      <c r="M1367" s="3">
        <v>1.74</v>
      </c>
      <c r="N1367" s="3">
        <v>1.69</v>
      </c>
      <c r="O1367" s="3">
        <v>2.2999999999999998</v>
      </c>
      <c r="P1367" s="3">
        <v>3.19</v>
      </c>
      <c r="Q1367" s="3">
        <v>3.36</v>
      </c>
      <c r="R1367" s="3">
        <v>3.04</v>
      </c>
      <c r="S1367" s="3">
        <v>2.76</v>
      </c>
      <c r="T1367" s="3">
        <v>2.72</v>
      </c>
      <c r="U1367" s="3">
        <v>2.58</v>
      </c>
      <c r="V1367" s="3">
        <v>2.54</v>
      </c>
      <c r="W1367" s="3">
        <v>2.5</v>
      </c>
      <c r="X1367" s="3">
        <v>2.5</v>
      </c>
      <c r="Y1367" s="3">
        <v>2.58</v>
      </c>
      <c r="Z1367" s="3">
        <v>2.4</v>
      </c>
      <c r="AA1367" s="3">
        <v>2.59</v>
      </c>
      <c r="AB1367" s="3"/>
      <c r="AC1367" s="3"/>
      <c r="AD1367" s="3"/>
      <c r="AE1367" t="s">
        <v>6391</v>
      </c>
      <c r="AF1367" t="s">
        <v>342</v>
      </c>
    </row>
    <row r="1368" spans="1:32" x14ac:dyDescent="0.3">
      <c r="A1368" t="s">
        <v>1826</v>
      </c>
      <c r="B1368" s="1" t="s">
        <v>1205</v>
      </c>
      <c r="C1368" s="5" t="s">
        <v>3433</v>
      </c>
      <c r="D1368" s="2" t="s">
        <v>4951</v>
      </c>
      <c r="E1368" s="1" t="s">
        <v>1528</v>
      </c>
      <c r="F1368" s="3">
        <v>10.130000000000001</v>
      </c>
      <c r="G1368" s="3">
        <v>9.9700000000000006</v>
      </c>
      <c r="H1368" s="3">
        <v>9.84</v>
      </c>
      <c r="I1368" s="3">
        <v>9.65</v>
      </c>
      <c r="J1368" s="3">
        <v>8.64</v>
      </c>
      <c r="K1368" s="3">
        <v>8.67</v>
      </c>
      <c r="L1368" s="3">
        <v>8.9</v>
      </c>
      <c r="M1368" s="3">
        <v>9.2100000000000009</v>
      </c>
      <c r="N1368" s="3">
        <v>9.89</v>
      </c>
      <c r="O1368" s="3">
        <v>10.98</v>
      </c>
      <c r="P1368" s="3">
        <v>12.55</v>
      </c>
      <c r="Q1368" s="3">
        <v>13.45</v>
      </c>
      <c r="R1368" s="3">
        <v>14.29</v>
      </c>
      <c r="S1368" s="3">
        <v>14.76</v>
      </c>
      <c r="T1368" s="3">
        <v>14.15</v>
      </c>
      <c r="U1368" s="3">
        <v>13.25</v>
      </c>
      <c r="V1368" s="3">
        <v>12.83</v>
      </c>
      <c r="W1368" s="3">
        <v>12.62</v>
      </c>
      <c r="X1368" s="3">
        <v>12.68</v>
      </c>
      <c r="Y1368" s="3">
        <v>12.7</v>
      </c>
      <c r="Z1368" s="3">
        <v>11.99</v>
      </c>
      <c r="AA1368" s="3">
        <v>12</v>
      </c>
      <c r="AB1368" s="3"/>
      <c r="AC1368" s="3"/>
      <c r="AD1368" s="3"/>
      <c r="AE1368" t="s">
        <v>6391</v>
      </c>
      <c r="AF1368" t="s">
        <v>342</v>
      </c>
    </row>
    <row r="1369" spans="1:32" x14ac:dyDescent="0.3">
      <c r="A1369" t="s">
        <v>1826</v>
      </c>
      <c r="B1369" s="1" t="s">
        <v>1205</v>
      </c>
      <c r="C1369" s="5" t="s">
        <v>3434</v>
      </c>
      <c r="D1369" s="2" t="s">
        <v>4952</v>
      </c>
      <c r="E1369" s="1" t="s">
        <v>200</v>
      </c>
      <c r="F1369" s="3">
        <v>322460</v>
      </c>
      <c r="G1369" s="3">
        <v>322460</v>
      </c>
      <c r="H1369" s="3">
        <v>322460</v>
      </c>
      <c r="I1369" s="3">
        <v>322460</v>
      </c>
      <c r="J1369" s="3">
        <v>322460</v>
      </c>
      <c r="K1369" s="3">
        <v>322460</v>
      </c>
      <c r="L1369" s="3">
        <v>322460</v>
      </c>
      <c r="M1369" s="3">
        <v>322460</v>
      </c>
      <c r="N1369" s="3">
        <v>322460</v>
      </c>
      <c r="O1369" s="3">
        <v>322460</v>
      </c>
      <c r="P1369" s="3">
        <v>322460</v>
      </c>
      <c r="Q1369" s="3">
        <v>322460</v>
      </c>
      <c r="R1369" s="3">
        <v>322460</v>
      </c>
      <c r="S1369" s="3">
        <v>322460</v>
      </c>
      <c r="T1369" s="3">
        <v>322460</v>
      </c>
      <c r="U1369" s="3">
        <v>322460</v>
      </c>
      <c r="V1369" s="3">
        <v>322460</v>
      </c>
      <c r="W1369" s="3">
        <v>322460</v>
      </c>
      <c r="X1369" s="3">
        <v>322460</v>
      </c>
      <c r="Y1369" s="3">
        <v>322460</v>
      </c>
      <c r="Z1369" s="3">
        <v>322460</v>
      </c>
      <c r="AA1369" s="3">
        <v>322460</v>
      </c>
      <c r="AB1369" s="3">
        <v>322460</v>
      </c>
      <c r="AC1369" s="3"/>
      <c r="AD1369" s="3"/>
      <c r="AE1369" t="s">
        <v>6392</v>
      </c>
      <c r="AF1369" t="s">
        <v>840</v>
      </c>
    </row>
    <row r="1370" spans="1:32" ht="28.8" x14ac:dyDescent="0.3">
      <c r="A1370" t="s">
        <v>1826</v>
      </c>
      <c r="B1370" s="1" t="s">
        <v>1205</v>
      </c>
      <c r="C1370" s="5" t="s">
        <v>3435</v>
      </c>
      <c r="D1370" s="2" t="s">
        <v>4953</v>
      </c>
      <c r="E1370" s="1" t="s">
        <v>1319</v>
      </c>
      <c r="F1370" s="3"/>
      <c r="G1370" s="3"/>
      <c r="H1370" s="3"/>
      <c r="I1370" s="3"/>
      <c r="J1370" s="3"/>
      <c r="K1370" s="3"/>
      <c r="L1370" s="3"/>
      <c r="M1370" s="3"/>
      <c r="N1370" s="3"/>
      <c r="O1370" s="3"/>
      <c r="P1370" s="3"/>
      <c r="Q1370" s="3"/>
      <c r="R1370" s="3"/>
      <c r="S1370" s="3"/>
      <c r="T1370" s="3"/>
      <c r="U1370" s="3"/>
      <c r="V1370" s="3"/>
      <c r="W1370" s="3"/>
      <c r="X1370" s="3">
        <v>2.8</v>
      </c>
      <c r="Y1370" s="3"/>
      <c r="Z1370" s="3"/>
      <c r="AA1370" s="3">
        <v>2.91</v>
      </c>
      <c r="AB1370" s="3"/>
      <c r="AC1370" s="3"/>
      <c r="AD1370" s="3"/>
      <c r="AE1370" t="s">
        <v>6393</v>
      </c>
      <c r="AF1370" t="s">
        <v>1044</v>
      </c>
    </row>
    <row r="1371" spans="1:32" ht="28.8" x14ac:dyDescent="0.3">
      <c r="A1371" t="s">
        <v>1826</v>
      </c>
      <c r="B1371" s="1" t="s">
        <v>1205</v>
      </c>
      <c r="C1371" s="5" t="s">
        <v>3436</v>
      </c>
      <c r="D1371" s="2" t="s">
        <v>4954</v>
      </c>
      <c r="E1371" s="1" t="s">
        <v>1221</v>
      </c>
      <c r="F1371" s="3"/>
      <c r="G1371" s="3"/>
      <c r="H1371" s="3"/>
      <c r="I1371" s="3"/>
      <c r="J1371" s="3"/>
      <c r="K1371" s="3"/>
      <c r="L1371" s="3"/>
      <c r="M1371" s="3"/>
      <c r="N1371" s="3"/>
      <c r="O1371" s="3"/>
      <c r="P1371" s="3"/>
      <c r="Q1371" s="3"/>
      <c r="R1371" s="3"/>
      <c r="S1371" s="3"/>
      <c r="T1371" s="3"/>
      <c r="U1371" s="3"/>
      <c r="V1371" s="3"/>
      <c r="W1371" s="3"/>
      <c r="X1371" s="3">
        <v>6.2</v>
      </c>
      <c r="Y1371" s="3"/>
      <c r="Z1371" s="3"/>
      <c r="AA1371" s="3">
        <v>6.07</v>
      </c>
      <c r="AB1371" s="3"/>
      <c r="AC1371" s="3"/>
      <c r="AD1371" s="3"/>
      <c r="AE1371" t="s">
        <v>6394</v>
      </c>
      <c r="AF1371" t="s">
        <v>1312</v>
      </c>
    </row>
    <row r="1372" spans="1:32" x14ac:dyDescent="0.3">
      <c r="A1372" t="s">
        <v>1826</v>
      </c>
      <c r="B1372" s="1" t="s">
        <v>1205</v>
      </c>
      <c r="C1372" s="5" t="s">
        <v>3437</v>
      </c>
      <c r="D1372" s="2" t="s">
        <v>4955</v>
      </c>
      <c r="E1372" s="1" t="s">
        <v>1756</v>
      </c>
      <c r="F1372" s="3">
        <v>41.783306000000003</v>
      </c>
      <c r="G1372" s="3">
        <v>41.232410999999999</v>
      </c>
      <c r="H1372" s="3">
        <v>40.859909000000002</v>
      </c>
      <c r="I1372" s="3">
        <v>39.805979999999998</v>
      </c>
      <c r="J1372" s="3">
        <v>40.797372000000003</v>
      </c>
      <c r="K1372" s="3">
        <v>41.944605000000003</v>
      </c>
      <c r="L1372" s="3">
        <v>42.134464999999999</v>
      </c>
      <c r="M1372" s="3">
        <v>43.447139</v>
      </c>
      <c r="N1372" s="3">
        <v>45.315280000000001</v>
      </c>
      <c r="O1372" s="3">
        <v>46.513080000000002</v>
      </c>
      <c r="P1372" s="3">
        <v>47.497003999999997</v>
      </c>
      <c r="Q1372" s="3">
        <v>48.940685000000002</v>
      </c>
      <c r="R1372" s="3">
        <v>50.045197000000002</v>
      </c>
      <c r="S1372" s="3">
        <v>50.927008000000001</v>
      </c>
      <c r="T1372" s="3">
        <v>52.026674999999997</v>
      </c>
      <c r="U1372" s="3">
        <v>53.021555999999997</v>
      </c>
      <c r="V1372" s="3">
        <v>54.218955999999999</v>
      </c>
      <c r="W1372" s="3">
        <v>55.253310999999997</v>
      </c>
      <c r="X1372" s="3">
        <v>56.205435999999999</v>
      </c>
      <c r="Y1372" s="3">
        <v>57.192866000000002</v>
      </c>
      <c r="Z1372" s="3">
        <v>56.669364999999999</v>
      </c>
      <c r="AA1372" s="3">
        <v>55.988821000000002</v>
      </c>
      <c r="AB1372" s="3">
        <v>59.718358000000002</v>
      </c>
      <c r="AC1372" s="3">
        <v>60.484715000000001</v>
      </c>
      <c r="AD1372" s="3"/>
      <c r="AE1372" t="s">
        <v>6395</v>
      </c>
      <c r="AF1372" t="s">
        <v>676</v>
      </c>
    </row>
    <row r="1373" spans="1:32" x14ac:dyDescent="0.3">
      <c r="A1373" t="s">
        <v>1826</v>
      </c>
      <c r="B1373" s="1" t="s">
        <v>1205</v>
      </c>
      <c r="C1373" s="5" t="s">
        <v>3438</v>
      </c>
      <c r="D1373" s="2" t="s">
        <v>4956</v>
      </c>
      <c r="E1373" s="1" t="s">
        <v>1927</v>
      </c>
      <c r="F1373" s="3">
        <v>38.952962999999997</v>
      </c>
      <c r="G1373" s="3">
        <v>38.780228000000001</v>
      </c>
      <c r="H1373" s="3">
        <v>38.778319000000003</v>
      </c>
      <c r="I1373" s="3">
        <v>38.238751999999998</v>
      </c>
      <c r="J1373" s="3">
        <v>38.588611</v>
      </c>
      <c r="K1373" s="3">
        <v>38.977649</v>
      </c>
      <c r="L1373" s="3">
        <v>39.722045000000001</v>
      </c>
      <c r="M1373" s="3">
        <v>40.333269000000001</v>
      </c>
      <c r="N1373" s="3">
        <v>41.028021000000003</v>
      </c>
      <c r="O1373" s="3">
        <v>41.674540999999998</v>
      </c>
      <c r="P1373" s="3">
        <v>42.376137</v>
      </c>
      <c r="Q1373" s="3">
        <v>43.548628999999998</v>
      </c>
      <c r="R1373" s="3">
        <v>44.429071999999998</v>
      </c>
      <c r="S1373" s="3">
        <v>45.083818999999998</v>
      </c>
      <c r="T1373" s="3">
        <v>46.702100999999999</v>
      </c>
      <c r="U1373" s="3">
        <v>47.442802999999998</v>
      </c>
      <c r="V1373" s="3">
        <v>48.173194000000002</v>
      </c>
      <c r="W1373" s="3">
        <v>48.902098000000002</v>
      </c>
      <c r="X1373" s="3">
        <v>49.641449999999999</v>
      </c>
      <c r="Y1373" s="3">
        <v>50.383310000000002</v>
      </c>
      <c r="Z1373" s="3">
        <v>49.132247999999997</v>
      </c>
      <c r="AA1373" s="3">
        <v>49.369613999999999</v>
      </c>
      <c r="AB1373" s="3">
        <v>52.348726999999997</v>
      </c>
      <c r="AC1373" s="3">
        <v>52.97822</v>
      </c>
      <c r="AD1373" s="3"/>
      <c r="AE1373" t="s">
        <v>6395</v>
      </c>
      <c r="AF1373" t="s">
        <v>941</v>
      </c>
    </row>
    <row r="1374" spans="1:32" x14ac:dyDescent="0.3">
      <c r="A1374" t="s">
        <v>1826</v>
      </c>
      <c r="B1374" s="1" t="s">
        <v>1205</v>
      </c>
      <c r="C1374" s="5" t="s">
        <v>3439</v>
      </c>
      <c r="D1374" s="2" t="s">
        <v>4957</v>
      </c>
      <c r="E1374" s="1" t="s">
        <v>1022</v>
      </c>
      <c r="F1374" s="3"/>
      <c r="G1374" s="3">
        <v>13.42</v>
      </c>
      <c r="H1374" s="3">
        <v>13.59</v>
      </c>
      <c r="I1374" s="3">
        <v>13.59</v>
      </c>
      <c r="J1374" s="3">
        <v>13.62</v>
      </c>
      <c r="K1374" s="3">
        <v>13.64</v>
      </c>
      <c r="L1374" s="3">
        <v>13.45</v>
      </c>
      <c r="M1374" s="3">
        <v>13.22</v>
      </c>
      <c r="N1374" s="3">
        <v>13.22</v>
      </c>
      <c r="O1374" s="3">
        <v>13.13</v>
      </c>
      <c r="P1374" s="3">
        <v>13.02</v>
      </c>
      <c r="Q1374" s="3">
        <v>12.94</v>
      </c>
      <c r="R1374" s="3">
        <v>12.88</v>
      </c>
      <c r="S1374" s="3">
        <v>12.88</v>
      </c>
      <c r="T1374" s="3">
        <v>12.91</v>
      </c>
      <c r="U1374" s="3">
        <v>12.55</v>
      </c>
      <c r="V1374" s="3">
        <v>12.19</v>
      </c>
      <c r="W1374" s="3">
        <v>12.84</v>
      </c>
      <c r="X1374" s="3">
        <v>12.51</v>
      </c>
      <c r="Y1374" s="3">
        <v>12.13</v>
      </c>
      <c r="Z1374" s="3">
        <v>12.13</v>
      </c>
      <c r="AA1374" s="3">
        <v>12.13</v>
      </c>
      <c r="AB1374" s="3">
        <v>12.72</v>
      </c>
      <c r="AC1374" s="3"/>
      <c r="AD1374" s="3"/>
      <c r="AE1374" t="s">
        <v>6396</v>
      </c>
      <c r="AF1374" t="s">
        <v>452</v>
      </c>
    </row>
    <row r="1375" spans="1:32" x14ac:dyDescent="0.3">
      <c r="A1375" t="s">
        <v>1826</v>
      </c>
      <c r="B1375" s="1" t="s">
        <v>1205</v>
      </c>
      <c r="C1375" s="5" t="s">
        <v>3440</v>
      </c>
      <c r="D1375" s="2" t="s">
        <v>4958</v>
      </c>
      <c r="E1375" s="1" t="s">
        <v>1629</v>
      </c>
      <c r="F1375" s="3"/>
      <c r="G1375" s="3">
        <v>13.2</v>
      </c>
      <c r="H1375" s="3">
        <v>13.28</v>
      </c>
      <c r="I1375" s="3">
        <v>13.3</v>
      </c>
      <c r="J1375" s="3">
        <v>13.24</v>
      </c>
      <c r="K1375" s="3">
        <v>13.29</v>
      </c>
      <c r="L1375" s="3">
        <v>13.14</v>
      </c>
      <c r="M1375" s="3">
        <v>12.9</v>
      </c>
      <c r="N1375" s="3">
        <v>12.9</v>
      </c>
      <c r="O1375" s="3">
        <v>12.82</v>
      </c>
      <c r="P1375" s="3">
        <v>12.68</v>
      </c>
      <c r="Q1375" s="3">
        <v>12.58</v>
      </c>
      <c r="R1375" s="3">
        <v>12.62</v>
      </c>
      <c r="S1375" s="3">
        <v>12.62</v>
      </c>
      <c r="T1375" s="3">
        <v>12.68</v>
      </c>
      <c r="U1375" s="3">
        <v>12.14</v>
      </c>
      <c r="V1375" s="3">
        <v>11.74</v>
      </c>
      <c r="W1375" s="3">
        <v>12.3</v>
      </c>
      <c r="X1375" s="3">
        <v>11.93</v>
      </c>
      <c r="Y1375" s="3">
        <v>11.65</v>
      </c>
      <c r="Z1375" s="3">
        <v>11.66</v>
      </c>
      <c r="AA1375" s="3">
        <v>11.66</v>
      </c>
      <c r="AB1375" s="3">
        <v>12.32</v>
      </c>
      <c r="AC1375" s="3"/>
      <c r="AD1375" s="3"/>
      <c r="AE1375" t="s">
        <v>6397</v>
      </c>
      <c r="AF1375" t="s">
        <v>1484</v>
      </c>
    </row>
    <row r="1376" spans="1:32" x14ac:dyDescent="0.3">
      <c r="A1376" t="s">
        <v>1826</v>
      </c>
      <c r="B1376" s="1" t="s">
        <v>1205</v>
      </c>
      <c r="C1376" s="5" t="s">
        <v>3441</v>
      </c>
      <c r="D1376" s="2" t="s">
        <v>4959</v>
      </c>
      <c r="E1376" s="1" t="s">
        <v>1501</v>
      </c>
      <c r="F1376" s="3"/>
      <c r="G1376" s="3">
        <v>14.98</v>
      </c>
      <c r="H1376" s="3">
        <v>15.41</v>
      </c>
      <c r="I1376" s="3">
        <v>15.32</v>
      </c>
      <c r="J1376" s="3">
        <v>15.85</v>
      </c>
      <c r="K1376" s="3">
        <v>15.76</v>
      </c>
      <c r="L1376" s="3">
        <v>15.37</v>
      </c>
      <c r="M1376" s="3">
        <v>15.28</v>
      </c>
      <c r="N1376" s="3">
        <v>15.28</v>
      </c>
      <c r="O1376" s="3">
        <v>15.1</v>
      </c>
      <c r="P1376" s="3">
        <v>15.15</v>
      </c>
      <c r="Q1376" s="3">
        <v>15.08</v>
      </c>
      <c r="R1376" s="3">
        <v>14.69</v>
      </c>
      <c r="S1376" s="3">
        <v>14.69</v>
      </c>
      <c r="T1376" s="3">
        <v>14.57</v>
      </c>
      <c r="U1376" s="3">
        <v>15.58</v>
      </c>
      <c r="V1376" s="3">
        <v>15.43</v>
      </c>
      <c r="W1376" s="3">
        <v>17.59</v>
      </c>
      <c r="X1376" s="3">
        <v>16.95</v>
      </c>
      <c r="Y1376" s="3">
        <v>15.6</v>
      </c>
      <c r="Z1376" s="3">
        <v>15.54</v>
      </c>
      <c r="AA1376" s="3">
        <v>15.54</v>
      </c>
      <c r="AB1376" s="3">
        <v>15.48</v>
      </c>
      <c r="AC1376" s="3"/>
      <c r="AD1376" s="3"/>
      <c r="AE1376" t="s">
        <v>6398</v>
      </c>
      <c r="AF1376" t="s">
        <v>1610</v>
      </c>
    </row>
    <row r="1377" spans="1:32" x14ac:dyDescent="0.3">
      <c r="A1377" t="s">
        <v>1826</v>
      </c>
      <c r="B1377" s="1" t="s">
        <v>1205</v>
      </c>
      <c r="C1377" s="5" t="s">
        <v>3442</v>
      </c>
      <c r="D1377" s="2" t="s">
        <v>4960</v>
      </c>
      <c r="E1377" s="1" t="s">
        <v>1982</v>
      </c>
      <c r="F1377" s="3"/>
      <c r="G1377" s="3">
        <v>7.22</v>
      </c>
      <c r="H1377" s="3">
        <v>9.69</v>
      </c>
      <c r="I1377" s="3">
        <v>9.61</v>
      </c>
      <c r="J1377" s="3">
        <v>8.5399999999999991</v>
      </c>
      <c r="K1377" s="3">
        <v>7.61</v>
      </c>
      <c r="L1377" s="3">
        <v>7.29</v>
      </c>
      <c r="M1377" s="3">
        <v>6.56</v>
      </c>
      <c r="N1377" s="3">
        <v>6.56</v>
      </c>
      <c r="O1377" s="3">
        <v>7.48</v>
      </c>
      <c r="P1377" s="3">
        <v>7.14</v>
      </c>
      <c r="Q1377" s="3">
        <v>6.95</v>
      </c>
      <c r="R1377" s="3">
        <v>6.59</v>
      </c>
      <c r="S1377" s="3">
        <v>6.59</v>
      </c>
      <c r="T1377" s="3">
        <v>6.33</v>
      </c>
      <c r="U1377" s="3">
        <v>8</v>
      </c>
      <c r="V1377" s="3">
        <v>8.16</v>
      </c>
      <c r="W1377" s="3">
        <v>10.28</v>
      </c>
      <c r="X1377" s="3">
        <v>10.17</v>
      </c>
      <c r="Y1377" s="3">
        <v>7.69</v>
      </c>
      <c r="Z1377" s="3">
        <v>7.63</v>
      </c>
      <c r="AA1377" s="3">
        <v>7.63</v>
      </c>
      <c r="AB1377" s="3">
        <v>7.25</v>
      </c>
      <c r="AC1377" s="3"/>
      <c r="AD1377" s="3"/>
      <c r="AE1377" t="s">
        <v>6399</v>
      </c>
      <c r="AF1377" t="s">
        <v>395</v>
      </c>
    </row>
    <row r="1378" spans="1:32" x14ac:dyDescent="0.3">
      <c r="A1378" t="s">
        <v>1826</v>
      </c>
      <c r="B1378" s="1" t="s">
        <v>1205</v>
      </c>
      <c r="C1378" s="5" t="s">
        <v>3443</v>
      </c>
      <c r="D1378" s="2" t="s">
        <v>4961</v>
      </c>
      <c r="E1378" s="1" t="s">
        <v>2014</v>
      </c>
      <c r="F1378" s="3"/>
      <c r="G1378" s="3">
        <v>8.7799999999999994</v>
      </c>
      <c r="H1378" s="3">
        <v>9.6199999999999992</v>
      </c>
      <c r="I1378" s="3">
        <v>9.48</v>
      </c>
      <c r="J1378" s="3">
        <v>9.25</v>
      </c>
      <c r="K1378" s="3">
        <v>8.82</v>
      </c>
      <c r="L1378" s="3">
        <v>9.4499999999999993</v>
      </c>
      <c r="M1378" s="3">
        <v>9.86</v>
      </c>
      <c r="N1378" s="3">
        <v>9.86</v>
      </c>
      <c r="O1378" s="3">
        <v>9.4499999999999993</v>
      </c>
      <c r="P1378" s="3">
        <v>8.74</v>
      </c>
      <c r="Q1378" s="3">
        <v>9.3800000000000008</v>
      </c>
      <c r="R1378" s="3">
        <v>9.2100000000000009</v>
      </c>
      <c r="S1378" s="3">
        <v>9.2100000000000009</v>
      </c>
      <c r="T1378" s="3">
        <v>7.87</v>
      </c>
      <c r="U1378" s="3">
        <v>9.2200000000000006</v>
      </c>
      <c r="V1378" s="3">
        <v>8.98</v>
      </c>
      <c r="W1378" s="3">
        <v>9.08</v>
      </c>
      <c r="X1378" s="3">
        <v>8.8000000000000007</v>
      </c>
      <c r="Y1378" s="3">
        <v>8.8699999999999992</v>
      </c>
      <c r="Z1378" s="3">
        <v>8.8699999999999992</v>
      </c>
      <c r="AA1378" s="3">
        <v>8.8699999999999992</v>
      </c>
      <c r="AB1378" s="3">
        <v>8.33</v>
      </c>
      <c r="AC1378" s="3"/>
      <c r="AD1378" s="3"/>
      <c r="AE1378" t="s">
        <v>6400</v>
      </c>
      <c r="AF1378" t="s">
        <v>851</v>
      </c>
    </row>
    <row r="1379" spans="1:32" x14ac:dyDescent="0.3">
      <c r="A1379" t="s">
        <v>1826</v>
      </c>
      <c r="B1379" s="1" t="s">
        <v>1205</v>
      </c>
      <c r="C1379" s="5" t="s">
        <v>3444</v>
      </c>
      <c r="D1379" s="2" t="s">
        <v>4962</v>
      </c>
      <c r="E1379" s="1" t="s">
        <v>396</v>
      </c>
      <c r="F1379" s="3"/>
      <c r="G1379" s="3">
        <v>5.67</v>
      </c>
      <c r="H1379" s="3">
        <v>6.92</v>
      </c>
      <c r="I1379" s="3">
        <v>6.88</v>
      </c>
      <c r="J1379" s="3">
        <v>5.1100000000000003</v>
      </c>
      <c r="K1379" s="3">
        <v>4.0999999999999996</v>
      </c>
      <c r="L1379" s="3">
        <v>4.2</v>
      </c>
      <c r="M1379" s="3">
        <v>4.1399999999999997</v>
      </c>
      <c r="N1379" s="3">
        <v>4.1399999999999997</v>
      </c>
      <c r="O1379" s="3">
        <v>5.43</v>
      </c>
      <c r="P1379" s="3">
        <v>5.12</v>
      </c>
      <c r="Q1379" s="3">
        <v>5.0199999999999996</v>
      </c>
      <c r="R1379" s="3">
        <v>4.26</v>
      </c>
      <c r="S1379" s="3">
        <v>4.26</v>
      </c>
      <c r="T1379" s="3">
        <v>4.09</v>
      </c>
      <c r="U1379" s="3">
        <v>6.34</v>
      </c>
      <c r="V1379" s="3">
        <v>6.82</v>
      </c>
      <c r="W1379" s="3">
        <v>13.49</v>
      </c>
      <c r="X1379" s="3">
        <v>12.71</v>
      </c>
      <c r="Y1379" s="3">
        <v>6.08</v>
      </c>
      <c r="Z1379" s="3">
        <v>5.93</v>
      </c>
      <c r="AA1379" s="3">
        <v>5.93</v>
      </c>
      <c r="AB1379" s="3">
        <v>5.64</v>
      </c>
      <c r="AC1379" s="3"/>
      <c r="AD1379" s="3"/>
      <c r="AE1379" t="s">
        <v>6401</v>
      </c>
      <c r="AF1379" t="s">
        <v>1357</v>
      </c>
    </row>
    <row r="1380" spans="1:32" x14ac:dyDescent="0.3">
      <c r="A1380" t="s">
        <v>1826</v>
      </c>
      <c r="B1380" s="1" t="s">
        <v>1205</v>
      </c>
      <c r="C1380" s="5" t="s">
        <v>3445</v>
      </c>
      <c r="D1380" s="2" t="s">
        <v>4963</v>
      </c>
      <c r="E1380" s="1" t="s">
        <v>2034</v>
      </c>
      <c r="F1380" s="3"/>
      <c r="G1380" s="3">
        <v>11.99</v>
      </c>
      <c r="H1380" s="3">
        <v>11.95</v>
      </c>
      <c r="I1380" s="3">
        <v>11.98</v>
      </c>
      <c r="J1380" s="3">
        <v>11.99</v>
      </c>
      <c r="K1380" s="3">
        <v>12</v>
      </c>
      <c r="L1380" s="3">
        <v>11.99</v>
      </c>
      <c r="M1380" s="3">
        <v>11.94</v>
      </c>
      <c r="N1380" s="3">
        <v>11.94</v>
      </c>
      <c r="O1380" s="3">
        <v>11.94</v>
      </c>
      <c r="P1380" s="3">
        <v>11.94</v>
      </c>
      <c r="Q1380" s="3">
        <v>11.92</v>
      </c>
      <c r="R1380" s="3">
        <v>11.92</v>
      </c>
      <c r="S1380" s="3">
        <v>11.92</v>
      </c>
      <c r="T1380" s="3">
        <v>11.92</v>
      </c>
      <c r="U1380" s="3">
        <v>12.16</v>
      </c>
      <c r="V1380" s="3">
        <v>12.16</v>
      </c>
      <c r="W1380" s="3">
        <v>12.17</v>
      </c>
      <c r="X1380" s="3">
        <v>12.17</v>
      </c>
      <c r="Y1380" s="3">
        <v>12.17</v>
      </c>
      <c r="Z1380" s="3">
        <v>12.17</v>
      </c>
      <c r="AA1380" s="3">
        <v>12.17</v>
      </c>
      <c r="AB1380" s="3">
        <v>12.16</v>
      </c>
      <c r="AC1380" s="3"/>
      <c r="AD1380" s="3"/>
      <c r="AE1380" t="s">
        <v>6402</v>
      </c>
      <c r="AF1380" t="s">
        <v>1652</v>
      </c>
    </row>
    <row r="1381" spans="1:32" x14ac:dyDescent="0.3">
      <c r="A1381" t="s">
        <v>1826</v>
      </c>
      <c r="B1381" s="1" t="s">
        <v>1205</v>
      </c>
      <c r="C1381" s="5" t="s">
        <v>3446</v>
      </c>
      <c r="D1381" s="2" t="s">
        <v>4964</v>
      </c>
      <c r="E1381" s="1" t="s">
        <v>2054</v>
      </c>
      <c r="F1381" s="3"/>
      <c r="G1381" s="3">
        <v>12.04</v>
      </c>
      <c r="H1381" s="3">
        <v>12</v>
      </c>
      <c r="I1381" s="3">
        <v>12.01</v>
      </c>
      <c r="J1381" s="3">
        <v>12.01</v>
      </c>
      <c r="K1381" s="3">
        <v>12.02</v>
      </c>
      <c r="L1381" s="3">
        <v>12.02</v>
      </c>
      <c r="M1381" s="3">
        <v>11.9</v>
      </c>
      <c r="N1381" s="3">
        <v>11.9</v>
      </c>
      <c r="O1381" s="3">
        <v>11.9</v>
      </c>
      <c r="P1381" s="3">
        <v>11.9</v>
      </c>
      <c r="Q1381" s="3">
        <v>11.87</v>
      </c>
      <c r="R1381" s="3">
        <v>11.87</v>
      </c>
      <c r="S1381" s="3">
        <v>11.87</v>
      </c>
      <c r="T1381" s="3">
        <v>11.87</v>
      </c>
      <c r="U1381" s="3">
        <v>11.77</v>
      </c>
      <c r="V1381" s="3">
        <v>11.77</v>
      </c>
      <c r="W1381" s="3">
        <v>11.79</v>
      </c>
      <c r="X1381" s="3">
        <v>11.79</v>
      </c>
      <c r="Y1381" s="3">
        <v>11.79</v>
      </c>
      <c r="Z1381" s="3">
        <v>11.79</v>
      </c>
      <c r="AA1381" s="3">
        <v>11.79</v>
      </c>
      <c r="AB1381" s="3">
        <v>11.78</v>
      </c>
      <c r="AC1381" s="3"/>
      <c r="AD1381" s="3"/>
      <c r="AE1381" t="s">
        <v>6403</v>
      </c>
      <c r="AF1381" t="s">
        <v>991</v>
      </c>
    </row>
    <row r="1382" spans="1:32" x14ac:dyDescent="0.3">
      <c r="A1382" t="s">
        <v>1826</v>
      </c>
      <c r="B1382" s="1" t="s">
        <v>1205</v>
      </c>
      <c r="C1382" s="5" t="s">
        <v>3447</v>
      </c>
      <c r="D1382" s="2" t="s">
        <v>4965</v>
      </c>
      <c r="E1382" s="1" t="s">
        <v>1921</v>
      </c>
      <c r="F1382" s="3"/>
      <c r="G1382" s="3">
        <v>11.78</v>
      </c>
      <c r="H1382" s="3">
        <v>11.78</v>
      </c>
      <c r="I1382" s="3">
        <v>11.79</v>
      </c>
      <c r="J1382" s="3">
        <v>11.83</v>
      </c>
      <c r="K1382" s="3">
        <v>11.82</v>
      </c>
      <c r="L1382" s="3">
        <v>11.82</v>
      </c>
      <c r="M1382" s="3">
        <v>11.98</v>
      </c>
      <c r="N1382" s="3">
        <v>11.97</v>
      </c>
      <c r="O1382" s="3">
        <v>11.98</v>
      </c>
      <c r="P1382" s="3">
        <v>11.98</v>
      </c>
      <c r="Q1382" s="3">
        <v>11.97</v>
      </c>
      <c r="R1382" s="3">
        <v>11.97</v>
      </c>
      <c r="S1382" s="3">
        <v>11.98</v>
      </c>
      <c r="T1382" s="3">
        <v>11.98</v>
      </c>
      <c r="U1382" s="3">
        <v>13.28</v>
      </c>
      <c r="V1382" s="3">
        <v>13.28</v>
      </c>
      <c r="W1382" s="3">
        <v>13.26</v>
      </c>
      <c r="X1382" s="3">
        <v>13.26</v>
      </c>
      <c r="Y1382" s="3">
        <v>13.26</v>
      </c>
      <c r="Z1382" s="3">
        <v>13.25</v>
      </c>
      <c r="AA1382" s="3">
        <v>13.25</v>
      </c>
      <c r="AB1382" s="3">
        <v>13.23</v>
      </c>
      <c r="AC1382" s="3"/>
      <c r="AD1382" s="3"/>
      <c r="AE1382" t="s">
        <v>6404</v>
      </c>
      <c r="AF1382" t="s">
        <v>1576</v>
      </c>
    </row>
    <row r="1383" spans="1:32" x14ac:dyDescent="0.3">
      <c r="A1383" t="s">
        <v>1826</v>
      </c>
      <c r="B1383" s="1" t="s">
        <v>1205</v>
      </c>
      <c r="C1383" s="5" t="s">
        <v>3448</v>
      </c>
      <c r="D1383" s="2" t="s">
        <v>4966</v>
      </c>
      <c r="E1383" s="1" t="s">
        <v>335</v>
      </c>
      <c r="F1383" s="3"/>
      <c r="G1383" s="3">
        <v>7.22</v>
      </c>
      <c r="H1383" s="3">
        <v>9.69</v>
      </c>
      <c r="I1383" s="3">
        <v>9.61</v>
      </c>
      <c r="J1383" s="3">
        <v>8.5399999999999991</v>
      </c>
      <c r="K1383" s="3">
        <v>7.61</v>
      </c>
      <c r="L1383" s="3">
        <v>7.38</v>
      </c>
      <c r="M1383" s="3">
        <v>6.65</v>
      </c>
      <c r="N1383" s="3">
        <v>6.65</v>
      </c>
      <c r="O1383" s="3">
        <v>7.57</v>
      </c>
      <c r="P1383" s="3">
        <v>7.23</v>
      </c>
      <c r="Q1383" s="3">
        <v>7.07</v>
      </c>
      <c r="R1383" s="3">
        <v>6.74</v>
      </c>
      <c r="S1383" s="3">
        <v>6.74</v>
      </c>
      <c r="T1383" s="3">
        <v>6.44</v>
      </c>
      <c r="U1383" s="3">
        <v>8.3699999999999992</v>
      </c>
      <c r="V1383" s="3">
        <v>8.74</v>
      </c>
      <c r="W1383" s="3">
        <v>10.28</v>
      </c>
      <c r="X1383" s="3">
        <v>10.34</v>
      </c>
      <c r="Y1383" s="3">
        <v>8.24</v>
      </c>
      <c r="Z1383" s="3">
        <v>8.15</v>
      </c>
      <c r="AA1383" s="3">
        <v>8.15</v>
      </c>
      <c r="AB1383" s="3">
        <v>7.57</v>
      </c>
      <c r="AC1383" s="3"/>
      <c r="AD1383" s="3"/>
      <c r="AE1383" t="s">
        <v>6405</v>
      </c>
      <c r="AF1383" t="s">
        <v>591</v>
      </c>
    </row>
    <row r="1384" spans="1:32" x14ac:dyDescent="0.3">
      <c r="A1384" t="s">
        <v>1826</v>
      </c>
      <c r="B1384" s="1" t="s">
        <v>1205</v>
      </c>
      <c r="C1384" s="5" t="s">
        <v>3449</v>
      </c>
      <c r="D1384" s="2" t="s">
        <v>4967</v>
      </c>
      <c r="E1384" s="1" t="s">
        <v>927</v>
      </c>
      <c r="F1384" s="3"/>
      <c r="G1384" s="3">
        <v>8.7799999999999994</v>
      </c>
      <c r="H1384" s="3">
        <v>9.6199999999999992</v>
      </c>
      <c r="I1384" s="3">
        <v>9.48</v>
      </c>
      <c r="J1384" s="3">
        <v>9.25</v>
      </c>
      <c r="K1384" s="3">
        <v>8.82</v>
      </c>
      <c r="L1384" s="3">
        <v>9.48</v>
      </c>
      <c r="M1384" s="3">
        <v>9.9</v>
      </c>
      <c r="N1384" s="3">
        <v>9.9</v>
      </c>
      <c r="O1384" s="3">
        <v>9.4700000000000006</v>
      </c>
      <c r="P1384" s="3">
        <v>8.77</v>
      </c>
      <c r="Q1384" s="3">
        <v>9.44</v>
      </c>
      <c r="R1384" s="3">
        <v>9.26</v>
      </c>
      <c r="S1384" s="3">
        <v>9.26</v>
      </c>
      <c r="T1384" s="3">
        <v>7.89</v>
      </c>
      <c r="U1384" s="3">
        <v>9.42</v>
      </c>
      <c r="V1384" s="3">
        <v>9.31</v>
      </c>
      <c r="W1384" s="3">
        <v>9.08</v>
      </c>
      <c r="X1384" s="3">
        <v>8.92</v>
      </c>
      <c r="Y1384" s="3">
        <v>9.18</v>
      </c>
      <c r="Z1384" s="3">
        <v>9.18</v>
      </c>
      <c r="AA1384" s="3">
        <v>9.18</v>
      </c>
      <c r="AB1384" s="3">
        <v>8.5</v>
      </c>
      <c r="AC1384" s="3"/>
      <c r="AD1384" s="3"/>
      <c r="AE1384" t="s">
        <v>6406</v>
      </c>
      <c r="AF1384" t="s">
        <v>2016</v>
      </c>
    </row>
    <row r="1385" spans="1:32" x14ac:dyDescent="0.3">
      <c r="A1385" t="s">
        <v>1826</v>
      </c>
      <c r="B1385" s="1" t="s">
        <v>1205</v>
      </c>
      <c r="C1385" s="5" t="s">
        <v>3450</v>
      </c>
      <c r="D1385" s="2" t="s">
        <v>4968</v>
      </c>
      <c r="E1385" s="1" t="s">
        <v>793</v>
      </c>
      <c r="F1385" s="3"/>
      <c r="G1385" s="3">
        <v>5.67</v>
      </c>
      <c r="H1385" s="3">
        <v>6.92</v>
      </c>
      <c r="I1385" s="3">
        <v>6.88</v>
      </c>
      <c r="J1385" s="3">
        <v>5.1100000000000003</v>
      </c>
      <c r="K1385" s="3">
        <v>4.0999999999999996</v>
      </c>
      <c r="L1385" s="3">
        <v>4.34</v>
      </c>
      <c r="M1385" s="3">
        <v>4.2699999999999996</v>
      </c>
      <c r="N1385" s="3">
        <v>4.2699999999999996</v>
      </c>
      <c r="O1385" s="3">
        <v>5.58</v>
      </c>
      <c r="P1385" s="3">
        <v>5.29</v>
      </c>
      <c r="Q1385" s="3">
        <v>5.19</v>
      </c>
      <c r="R1385" s="3">
        <v>4.49</v>
      </c>
      <c r="S1385" s="3">
        <v>4.49</v>
      </c>
      <c r="T1385" s="3">
        <v>4.34</v>
      </c>
      <c r="U1385" s="3">
        <v>6.93</v>
      </c>
      <c r="V1385" s="3">
        <v>7.8</v>
      </c>
      <c r="W1385" s="3">
        <v>13.49</v>
      </c>
      <c r="X1385" s="3">
        <v>12.95</v>
      </c>
      <c r="Y1385" s="3">
        <v>6.94</v>
      </c>
      <c r="Z1385" s="3">
        <v>6.74</v>
      </c>
      <c r="AA1385" s="3">
        <v>6.74</v>
      </c>
      <c r="AB1385" s="3">
        <v>6.18</v>
      </c>
      <c r="AC1385" s="3"/>
      <c r="AD1385" s="3"/>
      <c r="AE1385" t="s">
        <v>6407</v>
      </c>
      <c r="AF1385" t="s">
        <v>710</v>
      </c>
    </row>
    <row r="1386" spans="1:32" x14ac:dyDescent="0.3">
      <c r="A1386" t="s">
        <v>1826</v>
      </c>
      <c r="B1386" s="1" t="s">
        <v>1205</v>
      </c>
      <c r="C1386" s="5" t="s">
        <v>3451</v>
      </c>
      <c r="D1386" s="2" t="s">
        <v>4969</v>
      </c>
      <c r="E1386" s="1" t="s">
        <v>417</v>
      </c>
      <c r="F1386" s="3"/>
      <c r="G1386" s="3">
        <v>9.5362259451806253</v>
      </c>
      <c r="H1386" s="3">
        <v>10.054846206363289</v>
      </c>
      <c r="I1386" s="3">
        <v>9.6568945061174958</v>
      </c>
      <c r="J1386" s="3">
        <v>10.012888580663382</v>
      </c>
      <c r="K1386" s="3">
        <v>9.8724391176094812</v>
      </c>
      <c r="L1386" s="3">
        <v>10.329916076624675</v>
      </c>
      <c r="M1386" s="3">
        <v>10.665756752230221</v>
      </c>
      <c r="N1386" s="3">
        <v>10.744266813672287</v>
      </c>
      <c r="O1386" s="3">
        <v>10.501265836938233</v>
      </c>
      <c r="P1386" s="3">
        <v>10.213762113664004</v>
      </c>
      <c r="Q1386" s="3">
        <v>7.571481261007083</v>
      </c>
      <c r="R1386" s="3">
        <v>10.619351578357959</v>
      </c>
      <c r="S1386" s="3">
        <v>10.635929243320605</v>
      </c>
      <c r="T1386" s="3">
        <v>10.11725754549658</v>
      </c>
      <c r="U1386" s="3">
        <v>11.175732798571916</v>
      </c>
      <c r="V1386" s="3">
        <v>11.460370907689175</v>
      </c>
      <c r="W1386" s="3">
        <v>11.756370693715331</v>
      </c>
      <c r="X1386" s="3">
        <v>11.665992746561253</v>
      </c>
      <c r="Y1386" s="3">
        <v>11.665495500635306</v>
      </c>
      <c r="Z1386" s="3">
        <v>11.786688234900677</v>
      </c>
      <c r="AA1386" s="3">
        <v>12.389412718547858</v>
      </c>
      <c r="AB1386" s="3">
        <v>11.818402100968537</v>
      </c>
      <c r="AC1386" s="3">
        <v>13.227507177252138</v>
      </c>
      <c r="AD1386" s="3"/>
      <c r="AE1386" t="s">
        <v>6408</v>
      </c>
      <c r="AF1386" t="s">
        <v>115</v>
      </c>
    </row>
    <row r="1387" spans="1:32" x14ac:dyDescent="0.3">
      <c r="A1387" t="s">
        <v>1826</v>
      </c>
      <c r="B1387" s="1" t="s">
        <v>1205</v>
      </c>
      <c r="C1387" s="5" t="s">
        <v>3452</v>
      </c>
      <c r="D1387" s="2" t="s">
        <v>4970</v>
      </c>
      <c r="E1387" s="1" t="s">
        <v>725</v>
      </c>
      <c r="F1387" s="3"/>
      <c r="G1387" s="3">
        <v>1174100000000</v>
      </c>
      <c r="H1387" s="3">
        <v>1259325700000</v>
      </c>
      <c r="I1387" s="3">
        <v>1190100000000</v>
      </c>
      <c r="J1387" s="3">
        <v>1241400000000</v>
      </c>
      <c r="K1387" s="3">
        <v>1251200000000</v>
      </c>
      <c r="L1387" s="3">
        <v>1364340000000</v>
      </c>
      <c r="M1387" s="3">
        <v>1468200000000</v>
      </c>
      <c r="N1387" s="3">
        <v>1633010000000</v>
      </c>
      <c r="O1387" s="3">
        <v>1673560000000</v>
      </c>
      <c r="P1387" s="3">
        <v>1765580000000</v>
      </c>
      <c r="Q1387" s="3">
        <v>1309250000000</v>
      </c>
      <c r="R1387" s="3">
        <v>1968230000000</v>
      </c>
      <c r="S1387" s="3">
        <v>2246230000000</v>
      </c>
      <c r="T1387" s="3">
        <v>2439937727984.7002</v>
      </c>
      <c r="U1387" s="3">
        <v>3027100000760.5601</v>
      </c>
      <c r="V1387" s="3">
        <v>3287603481816.8701</v>
      </c>
      <c r="W1387" s="3">
        <v>3584711051939.1299</v>
      </c>
      <c r="X1387" s="3">
        <v>3792159618169.73</v>
      </c>
      <c r="Y1387" s="3">
        <v>4127136003134.6299</v>
      </c>
      <c r="Z1387" s="3">
        <v>4275968864513.1499</v>
      </c>
      <c r="AA1387" s="3">
        <v>5001216763024.2803</v>
      </c>
      <c r="AB1387" s="3">
        <v>5228319268643.2695</v>
      </c>
      <c r="AC1387" s="3">
        <v>6388079688277.8701</v>
      </c>
      <c r="AD1387" s="3"/>
      <c r="AE1387" t="s">
        <v>6409</v>
      </c>
      <c r="AF1387" t="s">
        <v>115</v>
      </c>
    </row>
    <row r="1388" spans="1:32" x14ac:dyDescent="0.3">
      <c r="A1388" t="s">
        <v>1826</v>
      </c>
      <c r="B1388" s="1" t="s">
        <v>1205</v>
      </c>
      <c r="C1388" s="5" t="s">
        <v>3453</v>
      </c>
      <c r="D1388" s="2" t="s">
        <v>4971</v>
      </c>
      <c r="E1388" s="1" t="s">
        <v>783</v>
      </c>
      <c r="F1388" s="3"/>
      <c r="G1388" s="3"/>
      <c r="H1388" s="3"/>
      <c r="I1388" s="3"/>
      <c r="J1388" s="3"/>
      <c r="K1388" s="3"/>
      <c r="L1388" s="3"/>
      <c r="M1388" s="3"/>
      <c r="N1388" s="3">
        <v>1045677073800</v>
      </c>
      <c r="O1388" s="3">
        <v>1104323288000</v>
      </c>
      <c r="P1388" s="3">
        <v>1184016109700</v>
      </c>
      <c r="Q1388" s="3">
        <v>1099946130400</v>
      </c>
      <c r="R1388" s="3">
        <v>1488838257300</v>
      </c>
      <c r="S1388" s="3">
        <v>1477047526700</v>
      </c>
      <c r="T1388" s="3">
        <v>1600230186400</v>
      </c>
      <c r="U1388" s="3">
        <v>2000000000000</v>
      </c>
      <c r="V1388" s="3">
        <v>2100000000000</v>
      </c>
      <c r="W1388" s="3">
        <v>2356442307700</v>
      </c>
      <c r="X1388" s="3">
        <v>2252375550800</v>
      </c>
      <c r="Y1388" s="3">
        <v>2315783052100</v>
      </c>
      <c r="Z1388" s="3">
        <v>2454899929100</v>
      </c>
      <c r="AA1388" s="3">
        <v>2946069823100</v>
      </c>
      <c r="AB1388" s="3">
        <v>3226218751600</v>
      </c>
      <c r="AC1388" s="3">
        <v>3466896096000</v>
      </c>
      <c r="AD1388" s="3">
        <v>3673175843000</v>
      </c>
      <c r="AE1388" t="s">
        <v>6410</v>
      </c>
      <c r="AF1388" t="s">
        <v>718</v>
      </c>
    </row>
    <row r="1389" spans="1:32" x14ac:dyDescent="0.3">
      <c r="A1389" t="s">
        <v>1826</v>
      </c>
      <c r="B1389" s="1" t="s">
        <v>1205</v>
      </c>
      <c r="C1389" s="5" t="s">
        <v>3454</v>
      </c>
      <c r="D1389" s="2" t="s">
        <v>4972</v>
      </c>
      <c r="E1389" s="1" t="s">
        <v>630</v>
      </c>
      <c r="F1389" s="3"/>
      <c r="G1389" s="3"/>
      <c r="H1389" s="3"/>
      <c r="I1389" s="3"/>
      <c r="J1389" s="3"/>
      <c r="K1389" s="3"/>
      <c r="L1389" s="3"/>
      <c r="M1389" s="3"/>
      <c r="N1389" s="3"/>
      <c r="O1389" s="3"/>
      <c r="P1389" s="3"/>
      <c r="Q1389" s="3"/>
      <c r="R1389" s="3"/>
      <c r="S1389" s="3"/>
      <c r="T1389" s="3"/>
      <c r="U1389" s="3">
        <v>2000000000000</v>
      </c>
      <c r="V1389" s="3">
        <v>2080000000000</v>
      </c>
      <c r="W1389" s="3">
        <v>2287000000000</v>
      </c>
      <c r="X1389" s="3">
        <v>2411000000000</v>
      </c>
      <c r="Y1389" s="3">
        <v>2714431000000</v>
      </c>
      <c r="Z1389" s="3">
        <v>2463842000000</v>
      </c>
      <c r="AA1389" s="3">
        <v>3074493000000</v>
      </c>
      <c r="AB1389" s="3">
        <v>3276134000000</v>
      </c>
      <c r="AC1389" s="3">
        <v>4430995532600</v>
      </c>
      <c r="AD1389" s="3">
        <v>4814352195000</v>
      </c>
      <c r="AE1389" t="s">
        <v>6411</v>
      </c>
      <c r="AF1389" t="s">
        <v>718</v>
      </c>
    </row>
    <row r="1390" spans="1:32" x14ac:dyDescent="0.3">
      <c r="A1390" t="s">
        <v>1826</v>
      </c>
      <c r="B1390" s="1" t="s">
        <v>1205</v>
      </c>
      <c r="C1390" s="5" t="s">
        <v>3455</v>
      </c>
      <c r="D1390" s="2" t="s">
        <v>4973</v>
      </c>
      <c r="E1390" s="1" t="s">
        <v>1280</v>
      </c>
      <c r="F1390" s="3"/>
      <c r="G1390" s="3"/>
      <c r="H1390" s="3"/>
      <c r="I1390" s="3"/>
      <c r="J1390" s="3"/>
      <c r="K1390" s="3"/>
      <c r="L1390" s="3"/>
      <c r="M1390" s="3"/>
      <c r="N1390" s="3"/>
      <c r="O1390" s="3"/>
      <c r="P1390" s="3"/>
      <c r="Q1390" s="3"/>
      <c r="R1390" s="3"/>
      <c r="S1390" s="3"/>
      <c r="T1390" s="3"/>
      <c r="U1390" s="3">
        <v>3382882995.6608877</v>
      </c>
      <c r="V1390" s="3">
        <v>3509922868.3481174</v>
      </c>
      <c r="W1390" s="3">
        <v>3938643613.4601035</v>
      </c>
      <c r="X1390" s="3">
        <v>4340652398.2190914</v>
      </c>
      <c r="Y1390" s="3">
        <v>4632838331.7143755</v>
      </c>
      <c r="Z1390" s="3">
        <v>4280580102.0127306</v>
      </c>
      <c r="AA1390" s="3">
        <v>5544315469.6834097</v>
      </c>
      <c r="AB1390" s="3">
        <v>5252237352.3235979</v>
      </c>
      <c r="AC1390" s="3">
        <v>7305005782.7448521</v>
      </c>
      <c r="AD1390" s="3">
        <v>7939951400.602313</v>
      </c>
      <c r="AE1390" t="s">
        <v>6412</v>
      </c>
      <c r="AF1390" t="s">
        <v>718</v>
      </c>
    </row>
    <row r="1391" spans="1:32" x14ac:dyDescent="0.3">
      <c r="A1391" t="s">
        <v>1826</v>
      </c>
      <c r="B1391" s="1" t="s">
        <v>1205</v>
      </c>
      <c r="C1391" s="5" t="s">
        <v>3456</v>
      </c>
      <c r="D1391" s="2" t="s">
        <v>4974</v>
      </c>
      <c r="E1391" s="1" t="s">
        <v>233</v>
      </c>
      <c r="F1391" s="3"/>
      <c r="G1391" s="3">
        <v>16.736223490333021</v>
      </c>
      <c r="H1391" s="3">
        <v>20.360102235664691</v>
      </c>
      <c r="I1391" s="3">
        <v>23.939164776069237</v>
      </c>
      <c r="J1391" s="3">
        <v>25.455131303367168</v>
      </c>
      <c r="K1391" s="3">
        <v>20.995843989769821</v>
      </c>
      <c r="L1391" s="3">
        <v>19.372004045912309</v>
      </c>
      <c r="M1391" s="3">
        <v>17.443127639286203</v>
      </c>
      <c r="N1391" s="3">
        <v>14.133410083220557</v>
      </c>
      <c r="O1391" s="3">
        <v>13.814861731876956</v>
      </c>
      <c r="P1391" s="3">
        <v>13.310073743472401</v>
      </c>
      <c r="Q1391" s="3">
        <v>17.383998472407868</v>
      </c>
      <c r="R1391" s="3">
        <v>12.234342531106629</v>
      </c>
      <c r="S1391" s="3">
        <v>13.953290624735667</v>
      </c>
      <c r="T1391" s="3">
        <v>14.169929406828205</v>
      </c>
      <c r="U1391" s="3">
        <v>16.008709451991813</v>
      </c>
      <c r="V1391" s="3">
        <v>16.254016566945769</v>
      </c>
      <c r="W1391" s="3">
        <v>16.790505645710812</v>
      </c>
      <c r="X1391" s="3">
        <v>12.995792926357966</v>
      </c>
      <c r="Y1391" s="3">
        <v>14.351259012632541</v>
      </c>
      <c r="Z1391" s="3">
        <v>12.562771787331847</v>
      </c>
      <c r="AA1391" s="3">
        <v>11.995118647865883</v>
      </c>
      <c r="AB1391" s="3">
        <v>10.704966541556242</v>
      </c>
      <c r="AC1391" s="3">
        <v>15.578989012083824</v>
      </c>
      <c r="AD1391" s="3"/>
      <c r="AE1391" t="s">
        <v>6413</v>
      </c>
      <c r="AF1391" t="s">
        <v>115</v>
      </c>
    </row>
    <row r="1392" spans="1:32" x14ac:dyDescent="0.3">
      <c r="A1392" t="s">
        <v>1826</v>
      </c>
      <c r="B1392" s="1" t="s">
        <v>1205</v>
      </c>
      <c r="C1392" s="5" t="s">
        <v>3457</v>
      </c>
      <c r="D1392" s="2" t="s">
        <v>4975</v>
      </c>
      <c r="E1392" s="1" t="s">
        <v>447</v>
      </c>
      <c r="F1392" s="3"/>
      <c r="G1392" s="3">
        <v>196500000000</v>
      </c>
      <c r="H1392" s="3">
        <v>256400000000</v>
      </c>
      <c r="I1392" s="3">
        <v>284900000000</v>
      </c>
      <c r="J1392" s="3">
        <v>316000000000</v>
      </c>
      <c r="K1392" s="3">
        <v>262700000000</v>
      </c>
      <c r="L1392" s="3">
        <v>264300000000</v>
      </c>
      <c r="M1392" s="3">
        <v>256100000000</v>
      </c>
      <c r="N1392" s="3">
        <v>230800000000</v>
      </c>
      <c r="O1392" s="3">
        <v>231200000000</v>
      </c>
      <c r="P1392" s="3">
        <v>235000000000</v>
      </c>
      <c r="Q1392" s="3">
        <v>227600000000</v>
      </c>
      <c r="R1392" s="3">
        <v>240800000000</v>
      </c>
      <c r="S1392" s="3">
        <v>313423000000</v>
      </c>
      <c r="T1392" s="3">
        <v>345737453626</v>
      </c>
      <c r="U1392" s="3">
        <v>484599643943</v>
      </c>
      <c r="V1392" s="3">
        <v>534367614590</v>
      </c>
      <c r="W1392" s="3">
        <v>601891111558.25903</v>
      </c>
      <c r="X1392" s="3">
        <v>492821211414.30499</v>
      </c>
      <c r="Y1392" s="3">
        <v>592295977613.46106</v>
      </c>
      <c r="Z1392" s="3">
        <v>537180210146.15198</v>
      </c>
      <c r="AA1392" s="3">
        <v>599901884561.71997</v>
      </c>
      <c r="AB1392" s="3">
        <v>559689828394</v>
      </c>
      <c r="AC1392" s="3">
        <v>995198232719.96802</v>
      </c>
      <c r="AD1392" s="3"/>
      <c r="AE1392" t="s">
        <v>6414</v>
      </c>
      <c r="AF1392" t="s">
        <v>115</v>
      </c>
    </row>
    <row r="1393" spans="1:32" x14ac:dyDescent="0.3">
      <c r="A1393" t="s">
        <v>1826</v>
      </c>
      <c r="B1393" s="1" t="s">
        <v>1205</v>
      </c>
      <c r="C1393" s="5" t="s">
        <v>3458</v>
      </c>
      <c r="D1393" s="2" t="s">
        <v>4976</v>
      </c>
      <c r="E1393" s="1" t="s">
        <v>197</v>
      </c>
      <c r="F1393" s="3"/>
      <c r="G1393" s="3">
        <v>23.407121610809195</v>
      </c>
      <c r="H1393" s="3">
        <v>22.058068845602396</v>
      </c>
      <c r="I1393" s="3">
        <v>19.661095636025998</v>
      </c>
      <c r="J1393" s="3">
        <v>18.269436710216318</v>
      </c>
      <c r="K1393" s="3">
        <v>19.486613303891804</v>
      </c>
      <c r="L1393" s="3">
        <v>18.412630394900706</v>
      </c>
      <c r="M1393" s="3">
        <v>15.760679781166337</v>
      </c>
      <c r="N1393" s="3">
        <v>17.337094695782397</v>
      </c>
      <c r="O1393" s="3">
        <v>22.907120642586662</v>
      </c>
      <c r="P1393" s="3">
        <v>21.186552092066155</v>
      </c>
      <c r="Q1393" s="3">
        <v>21.532977875354479</v>
      </c>
      <c r="R1393" s="3">
        <v>23.642316340701058</v>
      </c>
      <c r="S1393" s="3">
        <v>20.815876433559115</v>
      </c>
      <c r="T1393" s="3">
        <v>21.013597068479328</v>
      </c>
      <c r="U1393" s="3">
        <v>33.724914550161358</v>
      </c>
      <c r="V1393" s="3">
        <v>36.467894768532751</v>
      </c>
      <c r="W1393" s="3">
        <v>36.46496095303803</v>
      </c>
      <c r="X1393" s="3">
        <v>37.184965217222263</v>
      </c>
      <c r="Y1393" s="3">
        <v>37.305525747548934</v>
      </c>
      <c r="Z1393" s="3">
        <v>40.961245725110246</v>
      </c>
      <c r="AA1393" s="3">
        <v>40.695262581388</v>
      </c>
      <c r="AB1393" s="3">
        <v>37.723665346008275</v>
      </c>
      <c r="AC1393" s="3">
        <v>35.568101860157654</v>
      </c>
      <c r="AD1393" s="3"/>
      <c r="AE1393" t="s">
        <v>6415</v>
      </c>
      <c r="AF1393" t="s">
        <v>115</v>
      </c>
    </row>
    <row r="1394" spans="1:32" x14ac:dyDescent="0.3">
      <c r="A1394" t="s">
        <v>1826</v>
      </c>
      <c r="B1394" s="1" t="s">
        <v>1205</v>
      </c>
      <c r="C1394" s="5" t="s">
        <v>3459</v>
      </c>
      <c r="D1394" s="2" t="s">
        <v>4977</v>
      </c>
      <c r="E1394" s="1" t="s">
        <v>636</v>
      </c>
      <c r="F1394" s="3"/>
      <c r="G1394" s="3">
        <v>4.8622590302269613</v>
      </c>
      <c r="H1394" s="3">
        <v>4.735663991538436</v>
      </c>
      <c r="I1394" s="3">
        <v>4.0105438950951564</v>
      </c>
      <c r="J1394" s="3">
        <v>3.8294469958295094</v>
      </c>
      <c r="K1394" s="3">
        <v>4.0483351723345029</v>
      </c>
      <c r="L1394" s="3">
        <v>3.8183975671114618</v>
      </c>
      <c r="M1394" s="3">
        <v>3.5605675818210676</v>
      </c>
      <c r="N1394" s="3">
        <v>4.1542556203635543</v>
      </c>
      <c r="O1394" s="3">
        <v>5.4712315540439489</v>
      </c>
      <c r="P1394" s="3">
        <v>4.7818108379699318</v>
      </c>
      <c r="Q1394" s="3">
        <v>3.7533449468026037</v>
      </c>
      <c r="R1394" s="3">
        <v>5.1671135318107408</v>
      </c>
      <c r="S1394" s="3">
        <v>4.5623713535861965</v>
      </c>
      <c r="T1394" s="3">
        <v>4.3923465982667951</v>
      </c>
      <c r="U1394" s="3">
        <v>5.9979145621537615</v>
      </c>
      <c r="V1394" s="3">
        <v>6.1739534783259504</v>
      </c>
      <c r="W1394" s="3">
        <v>6.1904748406646428</v>
      </c>
      <c r="X1394" s="3">
        <v>6.3313163603139531</v>
      </c>
      <c r="Y1394" s="3">
        <v>6.2013581165775751</v>
      </c>
      <c r="Z1394" s="3">
        <v>6.7904918808701327</v>
      </c>
      <c r="AA1394" s="3">
        <v>7.0074363728534568</v>
      </c>
      <c r="AB1394" s="3">
        <v>6.2403266441229208</v>
      </c>
      <c r="AC1394" s="3">
        <v>6.6880272812209709</v>
      </c>
      <c r="AD1394" s="3"/>
      <c r="AE1394" t="s">
        <v>6416</v>
      </c>
      <c r="AF1394" t="s">
        <v>115</v>
      </c>
    </row>
    <row r="1395" spans="1:32" x14ac:dyDescent="0.3">
      <c r="A1395" t="s">
        <v>1826</v>
      </c>
      <c r="B1395" s="1" t="s">
        <v>1205</v>
      </c>
      <c r="C1395" s="5" t="s">
        <v>3460</v>
      </c>
      <c r="D1395" s="2" t="s">
        <v>4978</v>
      </c>
      <c r="E1395" s="1" t="s">
        <v>264</v>
      </c>
      <c r="F1395" s="3"/>
      <c r="G1395" s="3">
        <v>295500000000</v>
      </c>
      <c r="H1395" s="3">
        <v>296400000000</v>
      </c>
      <c r="I1395" s="3">
        <v>254100000000</v>
      </c>
      <c r="J1395" s="3">
        <v>255900000000</v>
      </c>
      <c r="K1395" s="3">
        <v>282400000000</v>
      </c>
      <c r="L1395" s="3">
        <v>275000000000</v>
      </c>
      <c r="M1395" s="3">
        <v>270800000000</v>
      </c>
      <c r="N1395" s="3">
        <v>348460000000</v>
      </c>
      <c r="O1395" s="3">
        <v>494228000000</v>
      </c>
      <c r="P1395" s="3">
        <v>444782000000</v>
      </c>
      <c r="Q1395" s="3">
        <v>329545000000</v>
      </c>
      <c r="R1395" s="3">
        <v>549899000000</v>
      </c>
      <c r="S1395" s="3">
        <v>556858000000</v>
      </c>
      <c r="T1395" s="3">
        <v>605494246422.40002</v>
      </c>
      <c r="U1395" s="3">
        <v>1206345980953.6001</v>
      </c>
      <c r="V1395" s="3">
        <v>1333894502983</v>
      </c>
      <c r="W1395" s="3">
        <v>1426227274730.3799</v>
      </c>
      <c r="X1395" s="3">
        <v>1537998178568.05</v>
      </c>
      <c r="Y1395" s="3">
        <v>1681454657762.45</v>
      </c>
      <c r="Z1395" s="3">
        <v>1878997823214.6001</v>
      </c>
      <c r="AA1395" s="3">
        <v>2155542436665.25</v>
      </c>
      <c r="AB1395" s="3">
        <v>2098369491609.05</v>
      </c>
      <c r="AC1395" s="3">
        <v>2442463691523.29</v>
      </c>
      <c r="AD1395" s="3"/>
      <c r="AE1395" t="s">
        <v>6417</v>
      </c>
      <c r="AF1395" t="s">
        <v>115</v>
      </c>
    </row>
    <row r="1396" spans="1:32" x14ac:dyDescent="0.3">
      <c r="A1396" t="s">
        <v>1826</v>
      </c>
      <c r="B1396" s="1" t="s">
        <v>1205</v>
      </c>
      <c r="C1396" s="5" t="s">
        <v>3461</v>
      </c>
      <c r="D1396" s="2" t="s">
        <v>4979</v>
      </c>
      <c r="E1396" s="1" t="s">
        <v>1349</v>
      </c>
      <c r="F1396" s="3"/>
      <c r="G1396" s="3">
        <v>11.137195595532226</v>
      </c>
      <c r="H1396" s="3">
        <v>10.135995198282883</v>
      </c>
      <c r="I1396" s="3">
        <v>19.119467657072114</v>
      </c>
      <c r="J1396" s="3">
        <v>17.776825872777895</v>
      </c>
      <c r="K1396" s="3">
        <v>22.467568313552306</v>
      </c>
      <c r="L1396" s="3">
        <v>25.479063165365506</v>
      </c>
      <c r="M1396" s="3">
        <v>24.956349668257481</v>
      </c>
      <c r="N1396" s="3">
        <v>24.428954530302352</v>
      </c>
      <c r="O1396" s="3">
        <v>19.686215255407806</v>
      </c>
      <c r="P1396" s="3">
        <v>20.172814572060059</v>
      </c>
      <c r="Q1396" s="3">
        <v>22.673514460082853</v>
      </c>
      <c r="R1396" s="3">
        <v>21.390896466329306</v>
      </c>
      <c r="S1396" s="3">
        <v>22.857361802658531</v>
      </c>
      <c r="T1396" s="3">
        <v>22.05589289608443</v>
      </c>
      <c r="U1396" s="3">
        <v>21.003659556885516</v>
      </c>
      <c r="V1396" s="3">
        <v>22.183019872474329</v>
      </c>
      <c r="W1396" s="3">
        <v>23.152142618651574</v>
      </c>
      <c r="X1396" s="3">
        <v>25.319683974748809</v>
      </c>
      <c r="Y1396" s="3">
        <v>23.765582334872668</v>
      </c>
      <c r="Z1396" s="3">
        <v>24.280369594719623</v>
      </c>
      <c r="AA1396" s="3">
        <v>24.251623379387492</v>
      </c>
      <c r="AB1396" s="3">
        <v>27.723579522535491</v>
      </c>
      <c r="AC1396" s="3">
        <v>26.815375019033343</v>
      </c>
      <c r="AD1396" s="3"/>
      <c r="AE1396" t="s">
        <v>6418</v>
      </c>
      <c r="AF1396" t="s">
        <v>115</v>
      </c>
    </row>
    <row r="1397" spans="1:32" x14ac:dyDescent="0.3">
      <c r="A1397" t="s">
        <v>1826</v>
      </c>
      <c r="B1397" s="1" t="s">
        <v>1205</v>
      </c>
      <c r="C1397" s="5" t="s">
        <v>3462</v>
      </c>
      <c r="D1397" s="2" t="s">
        <v>4980</v>
      </c>
      <c r="E1397" s="1" t="s">
        <v>1446</v>
      </c>
      <c r="F1397" s="3"/>
      <c r="G1397" s="3">
        <v>11.975129886721744</v>
      </c>
      <c r="H1397" s="3">
        <v>10.815311718009092</v>
      </c>
      <c r="I1397" s="3">
        <v>20.762961095706242</v>
      </c>
      <c r="J1397" s="3">
        <v>20.057999033349443</v>
      </c>
      <c r="K1397" s="3">
        <v>26.023017902813301</v>
      </c>
      <c r="L1397" s="3">
        <v>27.891874459445592</v>
      </c>
      <c r="M1397" s="3">
        <v>29.205830268355808</v>
      </c>
      <c r="N1397" s="3">
        <v>30.067176563523802</v>
      </c>
      <c r="O1397" s="3">
        <v>25.379191663280672</v>
      </c>
      <c r="P1397" s="3">
        <v>23.986452044087496</v>
      </c>
      <c r="Q1397" s="3">
        <v>26.503723505823945</v>
      </c>
      <c r="R1397" s="3">
        <v>25.278194113492837</v>
      </c>
      <c r="S1397" s="3">
        <v>27.222101031506124</v>
      </c>
      <c r="T1397" s="3">
        <v>26.04686876877479</v>
      </c>
      <c r="U1397" s="3">
        <v>24.819282698794868</v>
      </c>
      <c r="V1397" s="3">
        <v>24.680390470308858</v>
      </c>
      <c r="W1397" s="3">
        <v>25.260969756855772</v>
      </c>
      <c r="X1397" s="3">
        <v>27.615957973147147</v>
      </c>
      <c r="Y1397" s="3">
        <v>25.954440756114273</v>
      </c>
      <c r="Z1397" s="3">
        <v>26.047969816034065</v>
      </c>
      <c r="AA1397" s="3">
        <v>25.68489881947162</v>
      </c>
      <c r="AB1397" s="3">
        <v>29.495467443373517</v>
      </c>
      <c r="AC1397" s="3">
        <v>28.825773994244386</v>
      </c>
      <c r="AD1397" s="3"/>
      <c r="AE1397" t="s">
        <v>6419</v>
      </c>
      <c r="AF1397" t="s">
        <v>115</v>
      </c>
    </row>
    <row r="1398" spans="1:32" x14ac:dyDescent="0.3">
      <c r="A1398" t="s">
        <v>1826</v>
      </c>
      <c r="B1398" s="1" t="s">
        <v>1205</v>
      </c>
      <c r="C1398" s="5" t="s">
        <v>3463</v>
      </c>
      <c r="D1398" s="2" t="s">
        <v>4981</v>
      </c>
      <c r="E1398" s="1" t="s">
        <v>234</v>
      </c>
      <c r="F1398" s="3"/>
      <c r="G1398" s="3">
        <v>140600000000</v>
      </c>
      <c r="H1398" s="3">
        <v>136200000000</v>
      </c>
      <c r="I1398" s="3">
        <v>247100000000</v>
      </c>
      <c r="J1398" s="3">
        <v>249000000000</v>
      </c>
      <c r="K1398" s="3">
        <v>325600000000</v>
      </c>
      <c r="L1398" s="3">
        <v>380540000000</v>
      </c>
      <c r="M1398" s="3">
        <v>428800000000</v>
      </c>
      <c r="N1398" s="3">
        <v>491000000000</v>
      </c>
      <c r="O1398" s="3">
        <v>424736000000</v>
      </c>
      <c r="P1398" s="3">
        <v>423500000000</v>
      </c>
      <c r="Q1398" s="3">
        <v>347000000000</v>
      </c>
      <c r="R1398" s="3">
        <v>497533000000</v>
      </c>
      <c r="S1398" s="3">
        <v>611471000000</v>
      </c>
      <c r="T1398" s="3">
        <v>635527378048</v>
      </c>
      <c r="U1398" s="3">
        <v>751304506763.98499</v>
      </c>
      <c r="V1398" s="3">
        <v>811393376427.87305</v>
      </c>
      <c r="W1398" s="3">
        <v>905532774701.01001</v>
      </c>
      <c r="X1398" s="3">
        <v>1047241206428.41</v>
      </c>
      <c r="Y1398" s="3">
        <v>1071175068857.84</v>
      </c>
      <c r="Z1398" s="3">
        <v>1113803079171.3999</v>
      </c>
      <c r="AA1398" s="3">
        <v>1284557465325.24</v>
      </c>
      <c r="AB1398" s="3">
        <v>1542117207718.3</v>
      </c>
      <c r="AC1398" s="3">
        <v>1841413413515.21</v>
      </c>
      <c r="AD1398" s="3"/>
      <c r="AE1398" t="s">
        <v>6420</v>
      </c>
      <c r="AF1398" t="s">
        <v>115</v>
      </c>
    </row>
    <row r="1399" spans="1:32" x14ac:dyDescent="0.3">
      <c r="A1399" t="s">
        <v>1826</v>
      </c>
      <c r="B1399" s="1" t="s">
        <v>1205</v>
      </c>
      <c r="C1399" s="5" t="s">
        <v>3464</v>
      </c>
      <c r="D1399" s="2" t="s">
        <v>4982</v>
      </c>
      <c r="E1399" s="1" t="s">
        <v>324</v>
      </c>
      <c r="F1399" s="3"/>
      <c r="G1399" s="3">
        <v>43.724978440496365</v>
      </c>
      <c r="H1399" s="3">
        <v>47.055725138577586</v>
      </c>
      <c r="I1399" s="3">
        <v>49.845249148870316</v>
      </c>
      <c r="J1399" s="3">
        <v>49.568073106303991</v>
      </c>
      <c r="K1399" s="3">
        <v>43.962186033673753</v>
      </c>
      <c r="L1399" s="3">
        <v>47.163115818792932</v>
      </c>
      <c r="M1399" s="3">
        <v>42.829705505761844</v>
      </c>
      <c r="N1399" s="3">
        <v>37.976824832952722</v>
      </c>
      <c r="O1399" s="3">
        <v>34.622925289567235</v>
      </c>
      <c r="P1399" s="3">
        <v>42.374818992454841</v>
      </c>
      <c r="Q1399" s="3">
        <v>40.956077416656868</v>
      </c>
      <c r="R1399" s="3">
        <v>39.184663207088839</v>
      </c>
      <c r="S1399" s="3">
        <v>39.83462671391618</v>
      </c>
      <c r="T1399" s="3">
        <v>41.160530695763477</v>
      </c>
      <c r="U1399" s="3">
        <v>25.852877803381819</v>
      </c>
      <c r="V1399" s="3">
        <v>26.862031238626916</v>
      </c>
      <c r="W1399" s="3">
        <v>27.802781226264862</v>
      </c>
      <c r="X1399" s="3">
        <v>24.601555032593762</v>
      </c>
      <c r="Y1399" s="3">
        <v>25.132978986810823</v>
      </c>
      <c r="Z1399" s="3">
        <v>22.800362998339928</v>
      </c>
      <c r="AA1399" s="3">
        <v>23.91822268869517</v>
      </c>
      <c r="AB1399" s="3">
        <v>23.03077924986539</v>
      </c>
      <c r="AC1399" s="3">
        <v>25.508737162403445</v>
      </c>
      <c r="AD1399" s="3"/>
      <c r="AE1399" t="s">
        <v>6421</v>
      </c>
      <c r="AF1399" t="s">
        <v>115</v>
      </c>
    </row>
    <row r="1400" spans="1:32" x14ac:dyDescent="0.3">
      <c r="A1400" t="s">
        <v>1826</v>
      </c>
      <c r="B1400" s="1" t="s">
        <v>1205</v>
      </c>
      <c r="C1400" s="5" t="s">
        <v>3465</v>
      </c>
      <c r="D1400" s="2" t="s">
        <v>4983</v>
      </c>
      <c r="E1400" s="1" t="s">
        <v>459</v>
      </c>
      <c r="F1400" s="3"/>
      <c r="G1400" s="3">
        <v>552000000000</v>
      </c>
      <c r="H1400" s="3">
        <v>632300000000</v>
      </c>
      <c r="I1400" s="3">
        <v>644200000000</v>
      </c>
      <c r="J1400" s="3">
        <v>694300000000</v>
      </c>
      <c r="K1400" s="3">
        <v>637100000000</v>
      </c>
      <c r="L1400" s="3">
        <v>704400000000</v>
      </c>
      <c r="M1400" s="3">
        <v>735900000000</v>
      </c>
      <c r="N1400" s="3">
        <v>763300000000</v>
      </c>
      <c r="O1400" s="3">
        <v>747000000000</v>
      </c>
      <c r="P1400" s="3">
        <v>889600000000</v>
      </c>
      <c r="Q1400" s="3">
        <v>626800000000</v>
      </c>
      <c r="R1400" s="3">
        <v>911400000000</v>
      </c>
      <c r="S1400" s="3">
        <v>1065640000000</v>
      </c>
      <c r="T1400" s="3">
        <v>1186016103514.3</v>
      </c>
      <c r="U1400" s="3">
        <v>924761875610</v>
      </c>
      <c r="V1400" s="3">
        <v>982538642156</v>
      </c>
      <c r="W1400" s="3">
        <v>1087429791830.26</v>
      </c>
      <c r="X1400" s="3">
        <v>1017538852303.3101</v>
      </c>
      <c r="Y1400" s="3">
        <v>1132807103880.46</v>
      </c>
      <c r="Z1400" s="3">
        <v>1045911365340.15</v>
      </c>
      <c r="AA1400" s="3">
        <v>1266897932209.72</v>
      </c>
      <c r="AB1400" s="3">
        <v>1281081361067</v>
      </c>
      <c r="AC1400" s="3">
        <v>1751686513402.97</v>
      </c>
      <c r="AD1400" s="3"/>
      <c r="AE1400" t="s">
        <v>6422</v>
      </c>
      <c r="AF1400" t="s">
        <v>115</v>
      </c>
    </row>
    <row r="1401" spans="1:32" x14ac:dyDescent="0.3">
      <c r="A1401" t="s">
        <v>1826</v>
      </c>
      <c r="B1401" s="1" t="s">
        <v>1205</v>
      </c>
      <c r="C1401" s="5" t="s">
        <v>3466</v>
      </c>
      <c r="D1401" s="2" t="s">
        <v>4984</v>
      </c>
      <c r="E1401" s="1" t="s">
        <v>1138</v>
      </c>
      <c r="F1401" s="3">
        <v>72310000</v>
      </c>
      <c r="G1401" s="3">
        <v>68750000</v>
      </c>
      <c r="H1401" s="3">
        <v>76860000</v>
      </c>
      <c r="I1401" s="3">
        <v>75940000</v>
      </c>
      <c r="J1401" s="3">
        <v>77040000</v>
      </c>
      <c r="K1401" s="3">
        <v>66620000.000000007</v>
      </c>
      <c r="L1401" s="3">
        <v>130210000.00000001</v>
      </c>
      <c r="M1401" s="3">
        <v>59910000</v>
      </c>
      <c r="N1401" s="3">
        <v>58500000</v>
      </c>
      <c r="O1401" s="3">
        <v>58730000</v>
      </c>
      <c r="P1401" s="3">
        <v>53640000</v>
      </c>
      <c r="Q1401" s="3">
        <v>26080000</v>
      </c>
      <c r="R1401" s="3">
        <v>39230000</v>
      </c>
      <c r="S1401" s="3">
        <v>58790000</v>
      </c>
      <c r="T1401" s="3">
        <v>66709999.999999993</v>
      </c>
      <c r="U1401" s="3">
        <v>60720000</v>
      </c>
      <c r="V1401" s="3">
        <v>64849999.999999993</v>
      </c>
      <c r="W1401" s="3">
        <v>67470000</v>
      </c>
      <c r="X1401" s="3">
        <v>92950000</v>
      </c>
      <c r="Y1401" s="3">
        <v>87070000</v>
      </c>
      <c r="Z1401" s="3">
        <v>102610000</v>
      </c>
      <c r="AA1401" s="3">
        <v>108140000</v>
      </c>
      <c r="AB1401" s="3">
        <v>105860000</v>
      </c>
      <c r="AC1401" s="3"/>
      <c r="AD1401" s="3"/>
      <c r="AE1401" t="s">
        <v>6423</v>
      </c>
      <c r="AF1401" t="s">
        <v>1418</v>
      </c>
    </row>
    <row r="1402" spans="1:32" x14ac:dyDescent="0.3">
      <c r="A1402" t="s">
        <v>1826</v>
      </c>
      <c r="B1402" s="1" t="s">
        <v>1205</v>
      </c>
      <c r="C1402" s="5" t="s">
        <v>3467</v>
      </c>
      <c r="D1402" s="2" t="s">
        <v>4985</v>
      </c>
      <c r="E1402" s="1" t="s">
        <v>226</v>
      </c>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t="s">
        <v>6424</v>
      </c>
      <c r="AF1402" t="s">
        <v>1090</v>
      </c>
    </row>
    <row r="1403" spans="1:32" ht="28.8" x14ac:dyDescent="0.3">
      <c r="A1403" t="s">
        <v>1826</v>
      </c>
      <c r="B1403" s="1" t="s">
        <v>1205</v>
      </c>
      <c r="C1403" s="5" t="s">
        <v>3468</v>
      </c>
      <c r="D1403" s="2" t="s">
        <v>4986</v>
      </c>
      <c r="E1403" s="1" t="s">
        <v>1009</v>
      </c>
      <c r="F1403" s="3"/>
      <c r="G1403" s="3"/>
      <c r="H1403" s="3"/>
      <c r="I1403" s="3"/>
      <c r="J1403" s="3"/>
      <c r="K1403" s="3">
        <v>29.7</v>
      </c>
      <c r="L1403" s="3"/>
      <c r="M1403" s="3"/>
      <c r="N1403" s="3"/>
      <c r="O1403" s="3"/>
      <c r="P1403" s="3"/>
      <c r="Q1403" s="3"/>
      <c r="R1403" s="3">
        <v>29.6</v>
      </c>
      <c r="S1403" s="3"/>
      <c r="T1403" s="3"/>
      <c r="U1403" s="3"/>
      <c r="V1403" s="3"/>
      <c r="W1403" s="3"/>
      <c r="X1403" s="3"/>
      <c r="Y1403" s="3"/>
      <c r="Z1403" s="3"/>
      <c r="AA1403" s="3">
        <v>20.5</v>
      </c>
      <c r="AB1403" s="3"/>
      <c r="AC1403" s="3"/>
      <c r="AD1403" s="3"/>
      <c r="AE1403" t="s">
        <v>6425</v>
      </c>
      <c r="AF1403" t="s">
        <v>853</v>
      </c>
    </row>
    <row r="1404" spans="1:32" x14ac:dyDescent="0.3">
      <c r="A1404" t="s">
        <v>1826</v>
      </c>
      <c r="B1404" s="1" t="s">
        <v>1205</v>
      </c>
      <c r="C1404" s="5" t="s">
        <v>3469</v>
      </c>
      <c r="D1404" s="2" t="s">
        <v>4987</v>
      </c>
      <c r="E1404" s="1" t="s">
        <v>2026</v>
      </c>
      <c r="F1404" s="3">
        <v>-2172642778867.2178</v>
      </c>
      <c r="G1404" s="3">
        <v>-1859479123799.6377</v>
      </c>
      <c r="H1404" s="3">
        <v>-1329805085692.6621</v>
      </c>
      <c r="I1404" s="3">
        <v>-1149309556735.2363</v>
      </c>
      <c r="J1404" s="3">
        <v>-1713283811889.8604</v>
      </c>
      <c r="K1404" s="3">
        <v>-1926349747534.4951</v>
      </c>
      <c r="L1404" s="3">
        <v>-2188325974932.0479</v>
      </c>
      <c r="M1404" s="3">
        <v>-1931094014970.0723</v>
      </c>
      <c r="N1404" s="3">
        <v>-1497241813762.7676</v>
      </c>
      <c r="O1404" s="3">
        <v>-1212969905894.9277</v>
      </c>
      <c r="P1404" s="3">
        <v>-569250764553.3877</v>
      </c>
      <c r="Q1404" s="3">
        <v>-792681611309.81934</v>
      </c>
      <c r="R1404" s="3">
        <v>-1189066412390.7129</v>
      </c>
      <c r="S1404" s="3">
        <v>-783260596049.5625</v>
      </c>
      <c r="T1404" s="3">
        <v>-636946908945.2168</v>
      </c>
      <c r="U1404" s="3">
        <v>0</v>
      </c>
      <c r="V1404" s="3">
        <v>229141756548.53613</v>
      </c>
      <c r="W1404" s="3">
        <v>-594200772933.51367</v>
      </c>
      <c r="X1404" s="3">
        <v>-900986398139.36523</v>
      </c>
      <c r="Y1404" s="3">
        <v>-976179346120.08789</v>
      </c>
      <c r="Z1404" s="3">
        <v>-316227330131.30078</v>
      </c>
      <c r="AA1404" s="3">
        <v>-704159194603.71484</v>
      </c>
      <c r="AB1404" s="3">
        <v>-1437561712704.6758</v>
      </c>
      <c r="AC1404" s="3">
        <v>-889301184387.44336</v>
      </c>
      <c r="AD1404" s="3">
        <v>1457086036139.1016</v>
      </c>
      <c r="AE1404" t="s">
        <v>6426</v>
      </c>
      <c r="AF1404" t="s">
        <v>718</v>
      </c>
    </row>
    <row r="1405" spans="1:32" x14ac:dyDescent="0.3">
      <c r="A1405" t="s">
        <v>1826</v>
      </c>
      <c r="B1405" s="1" t="s">
        <v>1205</v>
      </c>
      <c r="C1405" s="5" t="s">
        <v>3470</v>
      </c>
      <c r="D1405" s="2" t="s">
        <v>4988</v>
      </c>
      <c r="E1405" s="1" t="s">
        <v>193</v>
      </c>
      <c r="F1405" s="3"/>
      <c r="G1405" s="3"/>
      <c r="H1405" s="3"/>
      <c r="I1405" s="3"/>
      <c r="J1405" s="3"/>
      <c r="K1405" s="3"/>
      <c r="L1405" s="3"/>
      <c r="M1405" s="3"/>
      <c r="N1405" s="3"/>
      <c r="O1405" s="3"/>
      <c r="P1405" s="3"/>
      <c r="Q1405" s="3"/>
      <c r="R1405" s="3"/>
      <c r="S1405" s="3">
        <v>14.9</v>
      </c>
      <c r="T1405" s="3">
        <v>14.9</v>
      </c>
      <c r="U1405" s="3">
        <v>14.9</v>
      </c>
      <c r="V1405" s="3">
        <v>14.9</v>
      </c>
      <c r="W1405" s="3">
        <v>14.9</v>
      </c>
      <c r="X1405" s="3">
        <v>14.9</v>
      </c>
      <c r="Y1405" s="3">
        <v>14.9</v>
      </c>
      <c r="Z1405" s="3">
        <v>14.9</v>
      </c>
      <c r="AA1405" s="3">
        <v>14.9</v>
      </c>
      <c r="AB1405" s="3">
        <v>14.9</v>
      </c>
      <c r="AC1405" s="3">
        <v>14.9</v>
      </c>
      <c r="AD1405" s="3">
        <v>14.9</v>
      </c>
      <c r="AE1405" t="s">
        <v>6427</v>
      </c>
      <c r="AF1405" t="s">
        <v>246</v>
      </c>
    </row>
    <row r="1406" spans="1:32" x14ac:dyDescent="0.3">
      <c r="A1406" t="s">
        <v>1826</v>
      </c>
      <c r="B1406" s="1" t="s">
        <v>1205</v>
      </c>
      <c r="C1406" s="5" t="s">
        <v>3471</v>
      </c>
      <c r="D1406" s="2" t="s">
        <v>4989</v>
      </c>
      <c r="E1406" s="1" t="s">
        <v>1711</v>
      </c>
      <c r="F1406" s="3"/>
      <c r="G1406" s="3"/>
      <c r="H1406" s="3"/>
      <c r="I1406" s="3"/>
      <c r="J1406" s="3"/>
      <c r="K1406" s="3"/>
      <c r="L1406" s="3"/>
      <c r="M1406" s="3"/>
      <c r="N1406" s="3"/>
      <c r="O1406" s="3"/>
      <c r="P1406" s="3"/>
      <c r="Q1406" s="3"/>
      <c r="R1406" s="3"/>
      <c r="S1406" s="3">
        <v>22.9</v>
      </c>
      <c r="T1406" s="3">
        <v>22.9</v>
      </c>
      <c r="U1406" s="3">
        <v>22.9</v>
      </c>
      <c r="V1406" s="3">
        <v>22.9</v>
      </c>
      <c r="W1406" s="3">
        <v>22.9</v>
      </c>
      <c r="X1406" s="3">
        <v>22.9</v>
      </c>
      <c r="Y1406" s="3">
        <v>23</v>
      </c>
      <c r="Z1406" s="3">
        <v>23</v>
      </c>
      <c r="AA1406" s="3">
        <v>23</v>
      </c>
      <c r="AB1406" s="3">
        <v>23</v>
      </c>
      <c r="AC1406" s="3">
        <v>23</v>
      </c>
      <c r="AD1406" s="3">
        <v>22.8</v>
      </c>
      <c r="AE1406" t="s">
        <v>6428</v>
      </c>
      <c r="AF1406" t="s">
        <v>1889</v>
      </c>
    </row>
    <row r="1407" spans="1:32" x14ac:dyDescent="0.3">
      <c r="A1407" t="s">
        <v>1826</v>
      </c>
      <c r="B1407" s="1" t="s">
        <v>1205</v>
      </c>
      <c r="C1407" s="5" t="s">
        <v>3472</v>
      </c>
      <c r="D1407" s="2" t="s">
        <v>4990</v>
      </c>
      <c r="E1407" s="1" t="s">
        <v>1411</v>
      </c>
      <c r="F1407" s="3"/>
      <c r="G1407" s="3"/>
      <c r="H1407" s="3"/>
      <c r="I1407" s="3"/>
      <c r="J1407" s="3"/>
      <c r="K1407" s="3"/>
      <c r="L1407" s="3"/>
      <c r="M1407" s="3"/>
      <c r="N1407" s="3">
        <v>32.213100433349602</v>
      </c>
      <c r="O1407" s="3"/>
      <c r="P1407" s="3">
        <v>11.9392700195312</v>
      </c>
      <c r="Q1407" s="3">
        <v>15.013279914856</v>
      </c>
      <c r="R1407" s="3"/>
      <c r="S1407" s="3">
        <v>27.462110519409201</v>
      </c>
      <c r="T1407" s="3">
        <v>15.0866899490356</v>
      </c>
      <c r="U1407" s="3">
        <v>17.783349990844702</v>
      </c>
      <c r="V1407" s="3">
        <v>11.839779853820801</v>
      </c>
      <c r="W1407" s="3">
        <v>11.5129098892212</v>
      </c>
      <c r="X1407" s="3"/>
      <c r="Y1407" s="3">
        <v>11.210410118103001</v>
      </c>
      <c r="Z1407" s="3">
        <v>10.818249702453601</v>
      </c>
      <c r="AA1407" s="3">
        <v>10.9787302017212</v>
      </c>
      <c r="AB1407" s="3">
        <v>11.237480163574199</v>
      </c>
      <c r="AC1407" s="3">
        <v>11.412010192871101</v>
      </c>
      <c r="AD1407" s="3"/>
      <c r="AE1407" t="s">
        <v>6429</v>
      </c>
      <c r="AF1407" t="s">
        <v>1527</v>
      </c>
    </row>
    <row r="1408" spans="1:32" x14ac:dyDescent="0.3">
      <c r="A1408" t="s">
        <v>1826</v>
      </c>
      <c r="B1408" s="1" t="s">
        <v>1205</v>
      </c>
      <c r="C1408" s="5" t="s">
        <v>3473</v>
      </c>
      <c r="D1408" s="2" t="s">
        <v>4991</v>
      </c>
      <c r="E1408" s="1" t="s">
        <v>242</v>
      </c>
      <c r="F1408" s="3"/>
      <c r="G1408" s="3"/>
      <c r="H1408" s="3"/>
      <c r="I1408" s="3"/>
      <c r="J1408" s="3"/>
      <c r="K1408" s="3"/>
      <c r="L1408" s="3"/>
      <c r="M1408" s="3"/>
      <c r="N1408" s="3"/>
      <c r="O1408" s="3"/>
      <c r="P1408" s="3"/>
      <c r="Q1408" s="3"/>
      <c r="R1408" s="3"/>
      <c r="S1408" s="3"/>
      <c r="T1408" s="3"/>
      <c r="U1408" s="3">
        <v>51.88284518828452</v>
      </c>
      <c r="V1408" s="3">
        <v>86.163522012578625</v>
      </c>
      <c r="W1408" s="3">
        <v>65.917602996254672</v>
      </c>
      <c r="X1408" s="3">
        <v>79.40503432494279</v>
      </c>
      <c r="Y1408" s="3">
        <v>109.96309963099631</v>
      </c>
      <c r="Z1408" s="3">
        <v>102.0703933747412</v>
      </c>
      <c r="AA1408" s="3">
        <v>161.43106457242581</v>
      </c>
      <c r="AB1408" s="3">
        <v>237.78588036923472</v>
      </c>
      <c r="AC1408" s="3">
        <v>119.06976744186046</v>
      </c>
      <c r="AD1408" s="3"/>
      <c r="AE1408" t="s">
        <v>6430</v>
      </c>
      <c r="AF1408" t="s">
        <v>718</v>
      </c>
    </row>
    <row r="1409" spans="1:32" x14ac:dyDescent="0.3">
      <c r="A1409" t="s">
        <v>1826</v>
      </c>
      <c r="B1409" s="1" t="s">
        <v>1205</v>
      </c>
      <c r="C1409" s="5" t="s">
        <v>3474</v>
      </c>
      <c r="D1409" s="2" t="s">
        <v>4992</v>
      </c>
      <c r="E1409" s="1" t="s">
        <v>1725</v>
      </c>
      <c r="F1409" s="3"/>
      <c r="G1409" s="3"/>
      <c r="H1409" s="3"/>
      <c r="I1409" s="3"/>
      <c r="J1409" s="3"/>
      <c r="K1409" s="3"/>
      <c r="L1409" s="3"/>
      <c r="M1409" s="3"/>
      <c r="N1409" s="3"/>
      <c r="O1409" s="3">
        <v>44.104312899999996</v>
      </c>
      <c r="P1409" s="3"/>
      <c r="Q1409" s="3"/>
      <c r="R1409" s="3"/>
      <c r="S1409" s="3"/>
      <c r="T1409" s="3"/>
      <c r="U1409" s="3"/>
      <c r="V1409" s="3">
        <v>43.851230620000003</v>
      </c>
      <c r="W1409" s="3"/>
      <c r="X1409" s="3"/>
      <c r="Y1409" s="3"/>
      <c r="Z1409" s="3"/>
      <c r="AA1409" s="3"/>
      <c r="AB1409" s="3"/>
      <c r="AC1409" s="3">
        <v>30.923292159999999</v>
      </c>
      <c r="AD1409" s="3"/>
      <c r="AE1409" t="s">
        <v>6431</v>
      </c>
      <c r="AF1409" t="s">
        <v>1960</v>
      </c>
    </row>
    <row r="1410" spans="1:32" ht="28.8" x14ac:dyDescent="0.3">
      <c r="A1410" t="s">
        <v>1826</v>
      </c>
      <c r="B1410" s="1" t="s">
        <v>1205</v>
      </c>
      <c r="C1410" s="5" t="s">
        <v>3475</v>
      </c>
      <c r="D1410" s="2" t="s">
        <v>4993</v>
      </c>
      <c r="E1410" s="1" t="s">
        <v>1331</v>
      </c>
      <c r="F1410" s="3"/>
      <c r="G1410" s="3"/>
      <c r="H1410" s="3"/>
      <c r="I1410" s="3"/>
      <c r="J1410" s="3"/>
      <c r="K1410" s="3"/>
      <c r="L1410" s="3"/>
      <c r="M1410" s="3"/>
      <c r="N1410" s="3"/>
      <c r="O1410" s="3">
        <v>1.6329542399999999</v>
      </c>
      <c r="P1410" s="3"/>
      <c r="Q1410" s="3"/>
      <c r="R1410" s="3"/>
      <c r="S1410" s="3"/>
      <c r="T1410" s="3"/>
      <c r="U1410" s="3"/>
      <c r="V1410" s="3">
        <v>15.184918400000001</v>
      </c>
      <c r="W1410" s="3"/>
      <c r="X1410" s="3"/>
      <c r="Y1410" s="3"/>
      <c r="Z1410" s="3"/>
      <c r="AA1410" s="3"/>
      <c r="AB1410" s="3"/>
      <c r="AC1410" s="3">
        <v>7.40215683</v>
      </c>
      <c r="AD1410" s="3"/>
      <c r="AE1410" t="s">
        <v>6432</v>
      </c>
      <c r="AF1410" t="s">
        <v>1960</v>
      </c>
    </row>
    <row r="1411" spans="1:32" x14ac:dyDescent="0.3">
      <c r="A1411" t="s">
        <v>1826</v>
      </c>
      <c r="B1411" s="1" t="s">
        <v>1205</v>
      </c>
      <c r="C1411" s="5" t="s">
        <v>3476</v>
      </c>
      <c r="D1411" s="2" t="s">
        <v>4994</v>
      </c>
      <c r="E1411" s="1" t="s">
        <v>1404</v>
      </c>
      <c r="F1411" s="3"/>
      <c r="G1411" s="3"/>
      <c r="H1411" s="3"/>
      <c r="I1411" s="3"/>
      <c r="J1411" s="3"/>
      <c r="K1411" s="3"/>
      <c r="L1411" s="3"/>
      <c r="M1411" s="3"/>
      <c r="N1411" s="3"/>
      <c r="O1411" s="3">
        <v>20.862260819999999</v>
      </c>
      <c r="P1411" s="3"/>
      <c r="Q1411" s="3"/>
      <c r="R1411" s="3"/>
      <c r="S1411" s="3"/>
      <c r="T1411" s="3"/>
      <c r="U1411" s="3"/>
      <c r="V1411" s="3">
        <v>39.845512390000003</v>
      </c>
      <c r="W1411" s="3"/>
      <c r="X1411" s="3"/>
      <c r="Y1411" s="3"/>
      <c r="Z1411" s="3"/>
      <c r="AA1411" s="3"/>
      <c r="AB1411" s="3"/>
      <c r="AC1411" s="3">
        <v>13.866552349999999</v>
      </c>
      <c r="AD1411" s="3"/>
      <c r="AE1411" t="s">
        <v>6433</v>
      </c>
      <c r="AF1411" t="s">
        <v>1960</v>
      </c>
    </row>
    <row r="1412" spans="1:32" x14ac:dyDescent="0.3">
      <c r="A1412" t="s">
        <v>1826</v>
      </c>
      <c r="B1412" s="1" t="s">
        <v>1205</v>
      </c>
      <c r="C1412" s="5" t="s">
        <v>3477</v>
      </c>
      <c r="D1412" s="2" t="s">
        <v>4995</v>
      </c>
      <c r="E1412" s="1" t="s">
        <v>1981</v>
      </c>
      <c r="F1412" s="3">
        <v>4.21</v>
      </c>
      <c r="G1412" s="3">
        <v>4.21</v>
      </c>
      <c r="H1412" s="3">
        <v>4.3600000000000003</v>
      </c>
      <c r="I1412" s="3">
        <v>4.3499999999999996</v>
      </c>
      <c r="J1412" s="3">
        <v>4.3499999999999996</v>
      </c>
      <c r="K1412" s="3">
        <v>4.26</v>
      </c>
      <c r="L1412" s="3">
        <v>4.2300000000000004</v>
      </c>
      <c r="M1412" s="3">
        <v>4.1900000000000004</v>
      </c>
      <c r="N1412" s="3">
        <v>4.22</v>
      </c>
      <c r="O1412" s="3">
        <v>3.53</v>
      </c>
      <c r="P1412" s="3">
        <v>2.82</v>
      </c>
      <c r="Q1412" s="3">
        <v>2.12</v>
      </c>
      <c r="R1412" s="3">
        <v>2.15</v>
      </c>
      <c r="S1412" s="3">
        <v>2.2599999999999998</v>
      </c>
      <c r="T1412" s="3">
        <v>2.44</v>
      </c>
      <c r="U1412" s="3">
        <v>2.57</v>
      </c>
      <c r="V1412" s="3">
        <v>2.65</v>
      </c>
      <c r="W1412" s="3">
        <v>2.71</v>
      </c>
      <c r="X1412" s="3">
        <v>2.8</v>
      </c>
      <c r="Y1412" s="3">
        <v>2.8</v>
      </c>
      <c r="Z1412" s="3">
        <v>2.85</v>
      </c>
      <c r="AA1412" s="3"/>
      <c r="AB1412" s="3"/>
      <c r="AC1412" s="3"/>
      <c r="AD1412" s="3"/>
      <c r="AE1412" t="s">
        <v>6434</v>
      </c>
      <c r="AF1412" t="s">
        <v>539</v>
      </c>
    </row>
    <row r="1413" spans="1:32" ht="28.8" x14ac:dyDescent="0.3">
      <c r="A1413" t="s">
        <v>1826</v>
      </c>
      <c r="B1413" s="1" t="s">
        <v>1205</v>
      </c>
      <c r="C1413" s="5" t="s">
        <v>3478</v>
      </c>
      <c r="D1413" s="2" t="s">
        <v>4996</v>
      </c>
      <c r="E1413" s="1" t="s">
        <v>505</v>
      </c>
      <c r="F1413" s="3">
        <v>1.47</v>
      </c>
      <c r="G1413" s="3">
        <v>1.47</v>
      </c>
      <c r="H1413" s="3">
        <v>1.52</v>
      </c>
      <c r="I1413" s="3">
        <v>1.52</v>
      </c>
      <c r="J1413" s="3">
        <v>1.52</v>
      </c>
      <c r="K1413" s="3">
        <v>1.48</v>
      </c>
      <c r="L1413" s="3">
        <v>1.47</v>
      </c>
      <c r="M1413" s="3">
        <v>1.45</v>
      </c>
      <c r="N1413" s="3">
        <v>1.46</v>
      </c>
      <c r="O1413" s="3">
        <v>1.21</v>
      </c>
      <c r="P1413" s="3">
        <v>0.95</v>
      </c>
      <c r="Q1413" s="3">
        <v>0.7</v>
      </c>
      <c r="R1413" s="3">
        <v>0.71</v>
      </c>
      <c r="S1413" s="3">
        <v>0.75</v>
      </c>
      <c r="T1413" s="3">
        <v>0.82</v>
      </c>
      <c r="U1413" s="3">
        <v>0.86</v>
      </c>
      <c r="V1413" s="3">
        <v>0.89</v>
      </c>
      <c r="W1413" s="3">
        <v>0.92</v>
      </c>
      <c r="X1413" s="3">
        <v>0.95</v>
      </c>
      <c r="Y1413" s="3">
        <v>0.95</v>
      </c>
      <c r="Z1413" s="3">
        <v>0.97</v>
      </c>
      <c r="AA1413" s="3"/>
      <c r="AB1413" s="3"/>
      <c r="AC1413" s="3"/>
      <c r="AD1413" s="3"/>
      <c r="AE1413" t="s">
        <v>6434</v>
      </c>
      <c r="AF1413" t="s">
        <v>539</v>
      </c>
    </row>
    <row r="1414" spans="1:32" ht="28.8" x14ac:dyDescent="0.3">
      <c r="A1414" t="s">
        <v>1826</v>
      </c>
      <c r="B1414" s="1" t="s">
        <v>1205</v>
      </c>
      <c r="C1414" s="5" t="s">
        <v>3479</v>
      </c>
      <c r="D1414" s="2" t="s">
        <v>4997</v>
      </c>
      <c r="E1414" s="1" t="s">
        <v>669</v>
      </c>
      <c r="F1414" s="3">
        <v>6.9</v>
      </c>
      <c r="G1414" s="3">
        <v>6.9</v>
      </c>
      <c r="H1414" s="3">
        <v>7.13</v>
      </c>
      <c r="I1414" s="3">
        <v>7.12</v>
      </c>
      <c r="J1414" s="3">
        <v>7.12</v>
      </c>
      <c r="K1414" s="3">
        <v>6.96</v>
      </c>
      <c r="L1414" s="3">
        <v>6.92</v>
      </c>
      <c r="M1414" s="3">
        <v>6.85</v>
      </c>
      <c r="N1414" s="3">
        <v>6.9</v>
      </c>
      <c r="O1414" s="3">
        <v>5.77</v>
      </c>
      <c r="P1414" s="3">
        <v>4.63</v>
      </c>
      <c r="Q1414" s="3">
        <v>3.49</v>
      </c>
      <c r="R1414" s="3">
        <v>3.55</v>
      </c>
      <c r="S1414" s="3">
        <v>3.72</v>
      </c>
      <c r="T1414" s="3">
        <v>4.01</v>
      </c>
      <c r="U1414" s="3">
        <v>4.2300000000000004</v>
      </c>
      <c r="V1414" s="3">
        <v>4.3600000000000003</v>
      </c>
      <c r="W1414" s="3">
        <v>4.46</v>
      </c>
      <c r="X1414" s="3">
        <v>4.6100000000000003</v>
      </c>
      <c r="Y1414" s="3">
        <v>4.6100000000000003</v>
      </c>
      <c r="Z1414" s="3">
        <v>4.6900000000000004</v>
      </c>
      <c r="AA1414" s="3"/>
      <c r="AB1414" s="3"/>
      <c r="AC1414" s="3"/>
      <c r="AD1414" s="3"/>
      <c r="AE1414" t="s">
        <v>6434</v>
      </c>
      <c r="AF1414" t="s">
        <v>539</v>
      </c>
    </row>
    <row r="1415" spans="1:32" x14ac:dyDescent="0.3">
      <c r="A1415" t="s">
        <v>1826</v>
      </c>
      <c r="B1415" s="1" t="s">
        <v>1205</v>
      </c>
      <c r="C1415" s="5" t="s">
        <v>3480</v>
      </c>
      <c r="D1415" s="2" t="s">
        <v>4998</v>
      </c>
      <c r="E1415" s="1" t="s">
        <v>574</v>
      </c>
      <c r="F1415" s="3"/>
      <c r="G1415" s="3"/>
      <c r="H1415" s="3"/>
      <c r="I1415" s="3"/>
      <c r="J1415" s="3"/>
      <c r="K1415" s="3">
        <v>3.5215731780251289</v>
      </c>
      <c r="L1415" s="3">
        <v>2.8366958510436593</v>
      </c>
      <c r="M1415" s="3">
        <v>4.3891947274373972</v>
      </c>
      <c r="N1415" s="3">
        <v>8.9647637311032931</v>
      </c>
      <c r="O1415" s="3">
        <v>8.9840419947553087</v>
      </c>
      <c r="P1415" s="3">
        <v>5.8598223293371099</v>
      </c>
      <c r="Q1415" s="3">
        <v>5.2674361692270253</v>
      </c>
      <c r="R1415" s="3">
        <v>5.4173964919688657</v>
      </c>
      <c r="S1415" s="3">
        <v>7.9557110527894661</v>
      </c>
      <c r="T1415" s="3">
        <v>7.1458635774275958</v>
      </c>
      <c r="U1415" s="3">
        <v>6.3586453348401282</v>
      </c>
      <c r="V1415" s="3">
        <v>12.973096315398823</v>
      </c>
      <c r="W1415" s="3">
        <v>17.095113801373742</v>
      </c>
      <c r="X1415" s="3">
        <v>12.315520449188448</v>
      </c>
      <c r="Y1415" s="3">
        <v>21.185750064304706</v>
      </c>
      <c r="Z1415" s="3">
        <v>17.998690302795474</v>
      </c>
      <c r="AA1415" s="3">
        <v>10.321967893586965</v>
      </c>
      <c r="AB1415" s="3">
        <v>11.787357556218513</v>
      </c>
      <c r="AC1415" s="3">
        <v>19.699098574317635</v>
      </c>
      <c r="AD1415" s="3"/>
      <c r="AE1415" t="s">
        <v>6435</v>
      </c>
      <c r="AF1415" t="s">
        <v>252</v>
      </c>
    </row>
    <row r="1416" spans="1:32" x14ac:dyDescent="0.3">
      <c r="A1416" t="s">
        <v>1826</v>
      </c>
      <c r="B1416" s="1" t="s">
        <v>1205</v>
      </c>
      <c r="C1416" s="5" t="s">
        <v>3481</v>
      </c>
      <c r="D1416" s="2" t="s">
        <v>4999</v>
      </c>
      <c r="E1416" s="1" t="s">
        <v>189</v>
      </c>
      <c r="F1416" s="3">
        <v>10.498320547986987</v>
      </c>
      <c r="G1416" s="3">
        <v>6.2429915858913008</v>
      </c>
      <c r="H1416" s="3">
        <v>7.6530640692578613</v>
      </c>
      <c r="I1416" s="3">
        <v>4.3757684103128147</v>
      </c>
      <c r="J1416" s="3">
        <v>2.649639665397066</v>
      </c>
      <c r="K1416" s="3">
        <v>1.8681315064379749</v>
      </c>
      <c r="L1416" s="3">
        <v>1.5786600320680557</v>
      </c>
      <c r="M1416" s="3">
        <v>2.2046865570090532</v>
      </c>
      <c r="N1416" s="3">
        <v>4.4745803434444742</v>
      </c>
      <c r="O1416" s="3">
        <v>4.8346536291129834</v>
      </c>
      <c r="P1416" s="3">
        <v>3.1314423591580676</v>
      </c>
      <c r="Q1416" s="3">
        <v>2.9927662457400452</v>
      </c>
      <c r="R1416" s="3">
        <v>2.7822168196133426</v>
      </c>
      <c r="S1416" s="3">
        <v>3.5154706741870281</v>
      </c>
      <c r="T1416" s="3">
        <v>2.1057667001340032</v>
      </c>
      <c r="U1416" s="3">
        <v>1.8061148864890897</v>
      </c>
      <c r="V1416" s="3">
        <v>3.31061500415833</v>
      </c>
      <c r="W1416" s="3">
        <v>4.4111558254877528</v>
      </c>
      <c r="X1416" s="3">
        <v>2.9081114948610516</v>
      </c>
      <c r="Y1416" s="3">
        <v>5.1150641048538841</v>
      </c>
      <c r="Z1416" s="3">
        <v>4.0101417713078868</v>
      </c>
      <c r="AA1416" s="3">
        <v>2.4538300669897133</v>
      </c>
      <c r="AB1416" s="3">
        <v>3.0672336952197141</v>
      </c>
      <c r="AC1416" s="3">
        <v>4.6408426321353833</v>
      </c>
      <c r="AD1416" s="3"/>
      <c r="AE1416" t="s">
        <v>6436</v>
      </c>
      <c r="AF1416" t="s">
        <v>252</v>
      </c>
    </row>
    <row r="1417" spans="1:32" x14ac:dyDescent="0.3">
      <c r="A1417" t="s">
        <v>1826</v>
      </c>
      <c r="B1417" s="1" t="s">
        <v>1205</v>
      </c>
      <c r="C1417" s="5" t="s">
        <v>3482</v>
      </c>
      <c r="D1417" s="2" t="s">
        <v>5000</v>
      </c>
      <c r="E1417" s="1" t="s">
        <v>1653</v>
      </c>
      <c r="F1417" s="3">
        <v>81520</v>
      </c>
      <c r="G1417" s="3">
        <v>77030</v>
      </c>
      <c r="H1417" s="3">
        <v>70676</v>
      </c>
      <c r="I1417" s="3">
        <v>69769</v>
      </c>
      <c r="J1417" s="3">
        <v>55267</v>
      </c>
      <c r="K1417" s="3">
        <v>43531</v>
      </c>
      <c r="L1417" s="3">
        <v>55696</v>
      </c>
      <c r="M1417" s="3">
        <v>48590</v>
      </c>
      <c r="N1417" s="3">
        <v>45089</v>
      </c>
      <c r="O1417" s="3">
        <v>44233</v>
      </c>
      <c r="P1417" s="3">
        <v>49738</v>
      </c>
      <c r="Q1417" s="3">
        <v>55862</v>
      </c>
      <c r="R1417" s="3">
        <v>56233.2</v>
      </c>
      <c r="S1417" s="3">
        <v>65066.01</v>
      </c>
      <c r="T1417" s="3">
        <v>78556.81</v>
      </c>
      <c r="U1417" s="3">
        <v>102559.95</v>
      </c>
      <c r="V1417" s="3">
        <v>108944.32000000001</v>
      </c>
      <c r="W1417" s="3">
        <v>99748.74</v>
      </c>
      <c r="X1417" s="3">
        <v>113787.03</v>
      </c>
      <c r="Y1417" s="3">
        <v>115014.87</v>
      </c>
      <c r="Z1417" s="3">
        <v>80009.14</v>
      </c>
      <c r="AA1417" s="3">
        <v>109992.91</v>
      </c>
      <c r="AB1417" s="3">
        <v>106143.34</v>
      </c>
      <c r="AC1417" s="3"/>
      <c r="AD1417" s="3"/>
      <c r="AE1417" t="s">
        <v>6437</v>
      </c>
      <c r="AF1417" t="s">
        <v>86</v>
      </c>
    </row>
    <row r="1418" spans="1:32" ht="28.8" x14ac:dyDescent="0.3">
      <c r="A1418" t="s">
        <v>1826</v>
      </c>
      <c r="B1418" s="1" t="s">
        <v>1205</v>
      </c>
      <c r="C1418" s="5" t="s">
        <v>3483</v>
      </c>
      <c r="D1418" s="2" t="s">
        <v>5001</v>
      </c>
      <c r="E1418" s="1" t="s">
        <v>571</v>
      </c>
      <c r="F1418" s="3">
        <v>60.29022462724334</v>
      </c>
      <c r="G1418" s="3">
        <v>62.298049597072435</v>
      </c>
      <c r="H1418" s="3">
        <v>69.86705337330163</v>
      </c>
      <c r="I1418" s="3">
        <v>55.675049636002626</v>
      </c>
      <c r="J1418" s="3">
        <v>63.52143107408417</v>
      </c>
      <c r="K1418" s="3">
        <v>72.679760189979348</v>
      </c>
      <c r="L1418" s="3">
        <v>74.23599486121384</v>
      </c>
      <c r="M1418" s="3">
        <v>75.515825125549867</v>
      </c>
      <c r="N1418" s="3">
        <v>82.408416708841045</v>
      </c>
      <c r="O1418" s="3">
        <v>76.918285514073276</v>
      </c>
      <c r="P1418" s="3">
        <v>90.195429594736638</v>
      </c>
      <c r="Q1418" s="3">
        <v>96.391170631058486</v>
      </c>
      <c r="R1418" s="3">
        <v>121.72207731537354</v>
      </c>
      <c r="S1418" s="3">
        <v>134.47852999571762</v>
      </c>
      <c r="T1418" s="3">
        <v>143.58916961887337</v>
      </c>
      <c r="U1418" s="3">
        <v>154.0506871179974</v>
      </c>
      <c r="V1418" s="3">
        <v>164.70685560789505</v>
      </c>
      <c r="W1418" s="3">
        <v>173.46420368279672</v>
      </c>
      <c r="X1418" s="3">
        <v>168.06555845369249</v>
      </c>
      <c r="Y1418" s="3">
        <v>186.35885856659007</v>
      </c>
      <c r="Z1418" s="3">
        <v>187.11605092069914</v>
      </c>
      <c r="AA1418" s="3">
        <v>206.85366138513643</v>
      </c>
      <c r="AB1418" s="3">
        <v>213.08346634484369</v>
      </c>
      <c r="AC1418" s="3">
        <v>213.2323743527854</v>
      </c>
      <c r="AD1418" s="3"/>
      <c r="AE1418" t="s">
        <v>6438</v>
      </c>
      <c r="AF1418" t="s">
        <v>1427</v>
      </c>
    </row>
    <row r="1419" spans="1:32" x14ac:dyDescent="0.3">
      <c r="A1419" t="s">
        <v>1826</v>
      </c>
      <c r="B1419" s="1" t="s">
        <v>1205</v>
      </c>
      <c r="C1419" s="5" t="s">
        <v>3484</v>
      </c>
      <c r="D1419" s="2" t="s">
        <v>5002</v>
      </c>
      <c r="E1419" s="1" t="s">
        <v>1698</v>
      </c>
      <c r="F1419" s="3">
        <v>16.4695</v>
      </c>
      <c r="G1419" s="3">
        <v>16.675799999999999</v>
      </c>
      <c r="H1419" s="3">
        <v>17.453499999999998</v>
      </c>
      <c r="I1419" s="3">
        <v>15.9953</v>
      </c>
      <c r="J1419" s="3">
        <v>16.801500000000001</v>
      </c>
      <c r="K1419" s="3">
        <v>17.7425</v>
      </c>
      <c r="L1419" s="3">
        <v>17.9024</v>
      </c>
      <c r="M1419" s="3">
        <v>18.033899999999999</v>
      </c>
      <c r="N1419" s="3">
        <v>18.742100000000001</v>
      </c>
      <c r="O1419" s="3">
        <v>18.178000000000001</v>
      </c>
      <c r="P1419" s="3">
        <v>19.542200000000001</v>
      </c>
      <c r="Q1419" s="3">
        <v>20.178799999999999</v>
      </c>
      <c r="R1419" s="3">
        <v>22.781500000000001</v>
      </c>
      <c r="S1419" s="3">
        <v>24.092199999999998</v>
      </c>
      <c r="T1419" s="3">
        <v>25.028300000000002</v>
      </c>
      <c r="U1419" s="3">
        <v>26.103200000000001</v>
      </c>
      <c r="V1419" s="3">
        <v>27.1981</v>
      </c>
      <c r="W1419" s="3">
        <v>28.097899999999999</v>
      </c>
      <c r="X1419" s="3">
        <v>27.543199999999999</v>
      </c>
      <c r="Y1419" s="3">
        <v>29.422799999999999</v>
      </c>
      <c r="Z1419" s="3">
        <v>29.500599999999999</v>
      </c>
      <c r="AA1419" s="3">
        <v>31.528600000000001</v>
      </c>
      <c r="AB1419" s="3">
        <v>32.168700000000001</v>
      </c>
      <c r="AC1419" s="3">
        <v>32.183999999999997</v>
      </c>
      <c r="AD1419" s="3"/>
      <c r="AE1419" t="s">
        <v>6439</v>
      </c>
      <c r="AF1419" t="s">
        <v>691</v>
      </c>
    </row>
    <row r="1420" spans="1:32" x14ac:dyDescent="0.3">
      <c r="A1420" t="s">
        <v>1826</v>
      </c>
      <c r="B1420" s="1" t="s">
        <v>1205</v>
      </c>
      <c r="C1420" s="5" t="s">
        <v>3485</v>
      </c>
      <c r="D1420" s="2" t="s">
        <v>5003</v>
      </c>
      <c r="E1420" s="1" t="s">
        <v>441</v>
      </c>
      <c r="F1420" s="3">
        <v>0.93053258816145812</v>
      </c>
      <c r="G1420" s="3">
        <v>0.9173155732688747</v>
      </c>
      <c r="H1420" s="3">
        <v>0.93560515966666102</v>
      </c>
      <c r="I1420" s="3">
        <v>0.83633185402013699</v>
      </c>
      <c r="J1420" s="3">
        <v>0.85743812196989033</v>
      </c>
      <c r="K1420" s="3">
        <v>0.88409881815533609</v>
      </c>
      <c r="L1420" s="3">
        <v>0.87129860890273825</v>
      </c>
      <c r="M1420" s="3">
        <v>0.85750934425990977</v>
      </c>
      <c r="N1420" s="3">
        <v>0.87114053961620841</v>
      </c>
      <c r="O1420" s="3">
        <v>0.8263501036915275</v>
      </c>
      <c r="P1420" s="3">
        <v>0.86900318013132749</v>
      </c>
      <c r="Q1420" s="3">
        <v>0.87802628143764683</v>
      </c>
      <c r="R1420" s="3">
        <v>0.97078554049208865</v>
      </c>
      <c r="S1420" s="3">
        <v>1.0063670189047307</v>
      </c>
      <c r="T1420" s="3">
        <v>1.020422266612496</v>
      </c>
      <c r="U1420" s="3">
        <v>1.033939887212175</v>
      </c>
      <c r="V1420" s="3">
        <v>1.0465072209232955</v>
      </c>
      <c r="W1420" s="3">
        <v>1.0510421206872069</v>
      </c>
      <c r="X1420" s="3">
        <v>1.0028774578429869</v>
      </c>
      <c r="Y1420" s="3">
        <v>1.0436204237724322</v>
      </c>
      <c r="Z1420" s="3">
        <v>1.0202366216066712</v>
      </c>
      <c r="AA1420" s="3">
        <v>1.0637274232132163</v>
      </c>
      <c r="AB1420" s="3">
        <v>1.0583549229573994</v>
      </c>
      <c r="AC1420" s="3">
        <v>1.0326752648925641</v>
      </c>
      <c r="AD1420" s="3"/>
      <c r="AE1420" t="s">
        <v>6440</v>
      </c>
      <c r="AF1420" t="s">
        <v>691</v>
      </c>
    </row>
    <row r="1421" spans="1:32" x14ac:dyDescent="0.3">
      <c r="A1421" t="s">
        <v>1826</v>
      </c>
      <c r="B1421" s="1" t="s">
        <v>1205</v>
      </c>
      <c r="C1421" s="5" t="s">
        <v>3486</v>
      </c>
      <c r="D1421" s="2" t="s">
        <v>5004</v>
      </c>
      <c r="E1421" s="1" t="s">
        <v>565</v>
      </c>
      <c r="F1421" s="3">
        <v>31.549984000000002</v>
      </c>
      <c r="G1421" s="3">
        <v>30.813579999999998</v>
      </c>
      <c r="H1421" s="3">
        <v>28.787985999999997</v>
      </c>
      <c r="I1421" s="3">
        <v>28.593612999999998</v>
      </c>
      <c r="J1421" s="3">
        <v>30.498940000000001</v>
      </c>
      <c r="K1421" s="3">
        <v>29.245156000000001</v>
      </c>
      <c r="L1421" s="3">
        <v>31.982540999999998</v>
      </c>
      <c r="M1421" s="3">
        <v>33.125757999999998</v>
      </c>
      <c r="N1421" s="3">
        <v>35.039332000000002</v>
      </c>
      <c r="O1421" s="3">
        <v>33.975540000000002</v>
      </c>
      <c r="P1421" s="3">
        <v>36.876888000000001</v>
      </c>
      <c r="Q1421" s="3">
        <v>37.578097999999997</v>
      </c>
      <c r="R1421" s="3">
        <v>44.054834999999997</v>
      </c>
      <c r="S1421" s="3">
        <v>43.684728</v>
      </c>
      <c r="T1421" s="3">
        <v>47.073802999999998</v>
      </c>
      <c r="U1421" s="3">
        <v>46.761430000000004</v>
      </c>
      <c r="V1421" s="3">
        <v>48.727222999999995</v>
      </c>
      <c r="W1421" s="3">
        <v>49.224029000000002</v>
      </c>
      <c r="X1421" s="3">
        <v>50.956099999999999</v>
      </c>
      <c r="Y1421" s="3">
        <v>57.788230999999996</v>
      </c>
      <c r="Z1421" s="3">
        <v>56.707906999999999</v>
      </c>
      <c r="AA1421" s="3">
        <v>58.735906999999997</v>
      </c>
      <c r="AB1421" s="3">
        <v>59.376007000000001</v>
      </c>
      <c r="AC1421" s="3"/>
      <c r="AD1421" s="3"/>
      <c r="AE1421" t="s">
        <v>6441</v>
      </c>
      <c r="AF1421" t="s">
        <v>691</v>
      </c>
    </row>
    <row r="1422" spans="1:32" x14ac:dyDescent="0.3">
      <c r="A1422" t="s">
        <v>1826</v>
      </c>
      <c r="B1422" s="1" t="s">
        <v>1205</v>
      </c>
      <c r="C1422" s="5" t="s">
        <v>3487</v>
      </c>
      <c r="D1422" s="2" t="s">
        <v>5005</v>
      </c>
      <c r="E1422" s="1" t="s">
        <v>278</v>
      </c>
      <c r="F1422" s="3">
        <v>2.8621149105346602</v>
      </c>
      <c r="G1422" s="3">
        <v>2.3220878574822299</v>
      </c>
      <c r="H1422" s="3">
        <v>2.4589064799038298</v>
      </c>
      <c r="I1422" s="3">
        <v>2.6488355489675501</v>
      </c>
      <c r="J1422" s="3">
        <v>2.4932170781193701</v>
      </c>
      <c r="K1422" s="3">
        <v>3.7119767771688199</v>
      </c>
      <c r="L1422" s="3">
        <v>5.6015844762565798</v>
      </c>
      <c r="M1422" s="3">
        <v>4.9838724678868997</v>
      </c>
      <c r="N1422" s="3">
        <v>5.5620025185478097</v>
      </c>
      <c r="O1422" s="3">
        <v>3.87323197312723</v>
      </c>
      <c r="P1422" s="3">
        <v>4.3301380347393099</v>
      </c>
      <c r="Q1422" s="3">
        <v>5.5323995017203904</v>
      </c>
      <c r="R1422" s="3">
        <v>5.3675717644808101</v>
      </c>
      <c r="S1422" s="3">
        <v>4.1550358768136197</v>
      </c>
      <c r="T1422" s="3">
        <v>3.4193551109143399</v>
      </c>
      <c r="U1422" s="3">
        <v>3.0725966973087799</v>
      </c>
      <c r="V1422" s="3">
        <v>3.2305307184161398</v>
      </c>
      <c r="W1422" s="3">
        <v>3.3887680158398199</v>
      </c>
      <c r="X1422" s="3">
        <v>3.1099690954437298</v>
      </c>
      <c r="Y1422" s="3">
        <v>2.9582715824883801</v>
      </c>
      <c r="Z1422" s="3">
        <v>2.5916385807854199</v>
      </c>
      <c r="AA1422" s="3">
        <v>4.7350220621211303</v>
      </c>
      <c r="AB1422" s="3"/>
      <c r="AC1422" s="3"/>
      <c r="AD1422" s="3"/>
      <c r="AE1422" t="s">
        <v>6442</v>
      </c>
      <c r="AF1422" t="s">
        <v>937</v>
      </c>
    </row>
    <row r="1423" spans="1:32" x14ac:dyDescent="0.3">
      <c r="A1423" t="s">
        <v>1826</v>
      </c>
      <c r="B1423" s="1" t="s">
        <v>1205</v>
      </c>
      <c r="C1423" s="5" t="s">
        <v>3488</v>
      </c>
      <c r="D1423" s="2" t="s">
        <v>5006</v>
      </c>
      <c r="E1423" s="1" t="s">
        <v>1972</v>
      </c>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t="s">
        <v>6443</v>
      </c>
      <c r="AF1423" t="s">
        <v>1714</v>
      </c>
    </row>
    <row r="1424" spans="1:32" x14ac:dyDescent="0.3">
      <c r="A1424" t="s">
        <v>1826</v>
      </c>
      <c r="B1424" s="1" t="s">
        <v>1205</v>
      </c>
      <c r="C1424" s="5" t="s">
        <v>3489</v>
      </c>
      <c r="D1424" s="2" t="s">
        <v>5007</v>
      </c>
      <c r="E1424" s="1" t="s">
        <v>1157</v>
      </c>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t="s">
        <v>6444</v>
      </c>
      <c r="AF1424" t="s">
        <v>1714</v>
      </c>
    </row>
    <row r="1425" spans="1:32" x14ac:dyDescent="0.3">
      <c r="A1425" t="s">
        <v>1826</v>
      </c>
      <c r="B1425" s="1" t="s">
        <v>1205</v>
      </c>
      <c r="C1425" s="5" t="s">
        <v>3490</v>
      </c>
      <c r="D1425" s="2" t="s">
        <v>5008</v>
      </c>
      <c r="E1425" s="1" t="s">
        <v>1655</v>
      </c>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t="s">
        <v>6445</v>
      </c>
      <c r="AF1425" t="s">
        <v>1714</v>
      </c>
    </row>
    <row r="1426" spans="1:32" x14ac:dyDescent="0.3">
      <c r="A1426" t="s">
        <v>1826</v>
      </c>
      <c r="B1426" s="1" t="s">
        <v>1205</v>
      </c>
      <c r="C1426" s="5" t="s">
        <v>3491</v>
      </c>
      <c r="D1426" s="2" t="s">
        <v>5009</v>
      </c>
      <c r="E1426" s="1" t="s">
        <v>1818</v>
      </c>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t="s">
        <v>6446</v>
      </c>
      <c r="AF1426" t="s">
        <v>1714</v>
      </c>
    </row>
    <row r="1427" spans="1:32" x14ac:dyDescent="0.3">
      <c r="A1427" t="s">
        <v>1826</v>
      </c>
      <c r="B1427" s="1" t="s">
        <v>1205</v>
      </c>
      <c r="C1427" s="5" t="s">
        <v>3492</v>
      </c>
      <c r="D1427" s="2" t="s">
        <v>5010</v>
      </c>
      <c r="E1427" s="1" t="s">
        <v>825</v>
      </c>
      <c r="F1427" s="3">
        <v>54.963991629515206</v>
      </c>
      <c r="G1427" s="3">
        <v>53.114104718044665</v>
      </c>
      <c r="H1427" s="3">
        <v>55.901948227538831</v>
      </c>
      <c r="I1427" s="3">
        <v>53.260060681877007</v>
      </c>
      <c r="J1427" s="3">
        <v>58.118296303594555</v>
      </c>
      <c r="K1427" s="3">
        <v>62.820936040280614</v>
      </c>
      <c r="L1427" s="3">
        <v>63.690377061451983</v>
      </c>
      <c r="M1427" s="3">
        <v>61.430942348442628</v>
      </c>
      <c r="N1427" s="3">
        <v>61.940621296949928</v>
      </c>
      <c r="O1427" s="3">
        <v>66.672903746918479</v>
      </c>
      <c r="P1427" s="3">
        <v>67.472940081256993</v>
      </c>
      <c r="Q1427" s="3">
        <v>64.715903061134512</v>
      </c>
      <c r="R1427" s="3">
        <v>70.301089319124898</v>
      </c>
      <c r="S1427" s="3">
        <v>58.352679252723441</v>
      </c>
      <c r="T1427" s="3">
        <v>53.680417561034446</v>
      </c>
      <c r="U1427" s="3">
        <v>52.712864741144507</v>
      </c>
      <c r="V1427" s="3">
        <v>47.565578361353452</v>
      </c>
      <c r="W1427" s="3">
        <v>48.662507472948249</v>
      </c>
      <c r="X1427" s="3">
        <v>46.037508710287419</v>
      </c>
      <c r="Y1427" s="3">
        <v>44.660410583079461</v>
      </c>
      <c r="Z1427" s="3">
        <v>41.942631819052622</v>
      </c>
      <c r="AA1427" s="3">
        <v>45.114032776243498</v>
      </c>
      <c r="AB1427" s="3">
        <v>52.866391041348315</v>
      </c>
      <c r="AC1427" s="3">
        <v>52.00345487314835</v>
      </c>
      <c r="AD1427" s="3">
        <v>54.66692798409499</v>
      </c>
      <c r="AE1427" t="s">
        <v>6447</v>
      </c>
      <c r="AF1427" t="s">
        <v>718</v>
      </c>
    </row>
    <row r="1428" spans="1:32" x14ac:dyDescent="0.3">
      <c r="A1428" t="s">
        <v>1826</v>
      </c>
      <c r="B1428" s="1" t="s">
        <v>1205</v>
      </c>
      <c r="C1428" s="5" t="s">
        <v>3493</v>
      </c>
      <c r="D1428" s="2" t="s">
        <v>5011</v>
      </c>
      <c r="E1428" s="1" t="s">
        <v>711</v>
      </c>
      <c r="F1428" s="3"/>
      <c r="G1428" s="3"/>
      <c r="H1428" s="3"/>
      <c r="I1428" s="3"/>
      <c r="J1428" s="3"/>
      <c r="K1428" s="3">
        <v>13.342420628885417</v>
      </c>
      <c r="L1428" s="3">
        <v>13.21805110207824</v>
      </c>
      <c r="M1428" s="3">
        <v>12.848360443543097</v>
      </c>
      <c r="N1428" s="3">
        <v>11.766057305330024</v>
      </c>
      <c r="O1428" s="3">
        <v>11.694139062364508</v>
      </c>
      <c r="P1428" s="3">
        <v>11.947161277136788</v>
      </c>
      <c r="Q1428" s="3">
        <v>10.418055540647316</v>
      </c>
      <c r="R1428" s="3">
        <v>10.785558981362565</v>
      </c>
      <c r="S1428" s="3">
        <v>9.7231506779562125</v>
      </c>
      <c r="T1428" s="3">
        <v>8.130215426446469</v>
      </c>
      <c r="U1428" s="3">
        <v>7.7522005280838178</v>
      </c>
      <c r="V1428" s="3">
        <v>7.8875763058350294</v>
      </c>
      <c r="W1428" s="3">
        <v>8.2155278518672645</v>
      </c>
      <c r="X1428" s="3">
        <v>7.9197659607972408</v>
      </c>
      <c r="Y1428" s="3">
        <v>7.5611892183650511</v>
      </c>
      <c r="Z1428" s="3">
        <v>6.1465667678881513</v>
      </c>
      <c r="AA1428" s="3">
        <v>6.6406138903664997</v>
      </c>
      <c r="AB1428" s="3">
        <v>7.949658124518229</v>
      </c>
      <c r="AC1428" s="3"/>
      <c r="AD1428" s="3"/>
      <c r="AE1428" t="s">
        <v>6448</v>
      </c>
      <c r="AF1428" t="s">
        <v>613</v>
      </c>
    </row>
    <row r="1429" spans="1:32" x14ac:dyDescent="0.3">
      <c r="A1429" t="s">
        <v>1826</v>
      </c>
      <c r="B1429" s="1" t="s">
        <v>1205</v>
      </c>
      <c r="C1429" s="5" t="s">
        <v>3494</v>
      </c>
      <c r="D1429" s="2" t="s">
        <v>5012</v>
      </c>
      <c r="E1429" s="1" t="s">
        <v>700</v>
      </c>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t="s">
        <v>6449</v>
      </c>
      <c r="AF1429" t="s">
        <v>1348</v>
      </c>
    </row>
    <row r="1430" spans="1:32" x14ac:dyDescent="0.3">
      <c r="A1430" t="s">
        <v>1826</v>
      </c>
      <c r="B1430" s="1" t="s">
        <v>1205</v>
      </c>
      <c r="C1430" s="5" t="s">
        <v>3495</v>
      </c>
      <c r="D1430" s="2" t="s">
        <v>5013</v>
      </c>
      <c r="E1430" s="1" t="s">
        <v>680</v>
      </c>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t="s">
        <v>6450</v>
      </c>
      <c r="AF1430" t="s">
        <v>522</v>
      </c>
    </row>
    <row r="1431" spans="1:32" ht="28.8" x14ac:dyDescent="0.3">
      <c r="A1431" t="s">
        <v>1826</v>
      </c>
      <c r="B1431" s="1" t="s">
        <v>1205</v>
      </c>
      <c r="C1431" s="5" t="s">
        <v>3496</v>
      </c>
      <c r="D1431" s="2" t="s">
        <v>5014</v>
      </c>
      <c r="E1431" s="1" t="s">
        <v>675</v>
      </c>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t="s">
        <v>6451</v>
      </c>
      <c r="AF1431" t="s">
        <v>160</v>
      </c>
    </row>
    <row r="1432" spans="1:32" ht="28.8" x14ac:dyDescent="0.3">
      <c r="A1432" t="s">
        <v>1826</v>
      </c>
      <c r="B1432" s="1" t="s">
        <v>1205</v>
      </c>
      <c r="C1432" s="5" t="s">
        <v>3497</v>
      </c>
      <c r="D1432" s="2" t="s">
        <v>5015</v>
      </c>
      <c r="E1432" s="1" t="s">
        <v>455</v>
      </c>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t="s">
        <v>6451</v>
      </c>
      <c r="AF1432" t="s">
        <v>160</v>
      </c>
    </row>
    <row r="1433" spans="1:32" ht="28.8" x14ac:dyDescent="0.3">
      <c r="A1433" t="s">
        <v>1826</v>
      </c>
      <c r="B1433" s="1" t="s">
        <v>1205</v>
      </c>
      <c r="C1433" s="5" t="s">
        <v>3498</v>
      </c>
      <c r="D1433" s="2" t="s">
        <v>5016</v>
      </c>
      <c r="E1433" s="1" t="s">
        <v>623</v>
      </c>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t="s">
        <v>6451</v>
      </c>
      <c r="AF1433" t="s">
        <v>160</v>
      </c>
    </row>
    <row r="1434" spans="1:32" x14ac:dyDescent="0.3">
      <c r="A1434" t="s">
        <v>1826</v>
      </c>
      <c r="B1434" s="1" t="s">
        <v>1205</v>
      </c>
      <c r="C1434" s="5" t="s">
        <v>3499</v>
      </c>
      <c r="D1434" s="2" t="s">
        <v>5017</v>
      </c>
      <c r="E1434" s="1" t="s">
        <v>1374</v>
      </c>
      <c r="F1434" s="3">
        <v>88.085830688476605</v>
      </c>
      <c r="G1434" s="3">
        <v>90.758750915527301</v>
      </c>
      <c r="H1434" s="3"/>
      <c r="I1434" s="3">
        <v>100</v>
      </c>
      <c r="J1434" s="3"/>
      <c r="K1434" s="3"/>
      <c r="L1434" s="3"/>
      <c r="M1434" s="3">
        <v>100</v>
      </c>
      <c r="N1434" s="3">
        <v>100</v>
      </c>
      <c r="O1434" s="3">
        <v>100</v>
      </c>
      <c r="P1434" s="3"/>
      <c r="Q1434" s="3">
        <v>100</v>
      </c>
      <c r="R1434" s="3">
        <v>91.722320556640597</v>
      </c>
      <c r="S1434" s="3">
        <v>85.756790161132798</v>
      </c>
      <c r="T1434" s="3">
        <v>88.802566528320298</v>
      </c>
      <c r="U1434" s="3">
        <v>100</v>
      </c>
      <c r="V1434" s="3">
        <v>100</v>
      </c>
      <c r="W1434" s="3">
        <v>100</v>
      </c>
      <c r="X1434" s="3">
        <v>100</v>
      </c>
      <c r="Y1434" s="3">
        <v>100</v>
      </c>
      <c r="Z1434" s="3">
        <v>100</v>
      </c>
      <c r="AA1434" s="3">
        <v>100</v>
      </c>
      <c r="AB1434" s="3">
        <v>100</v>
      </c>
      <c r="AC1434" s="3">
        <v>100</v>
      </c>
      <c r="AD1434" s="3"/>
      <c r="AE1434" t="s">
        <v>6452</v>
      </c>
      <c r="AF1434" t="s">
        <v>160</v>
      </c>
    </row>
    <row r="1435" spans="1:32" x14ac:dyDescent="0.3">
      <c r="A1435" t="s">
        <v>1826</v>
      </c>
      <c r="B1435" s="1" t="s">
        <v>1205</v>
      </c>
      <c r="C1435" s="5" t="s">
        <v>3500</v>
      </c>
      <c r="D1435" s="2" t="s">
        <v>5018</v>
      </c>
      <c r="E1435" s="1" t="s">
        <v>1478</v>
      </c>
      <c r="F1435" s="3">
        <v>87.652648925781193</v>
      </c>
      <c r="G1435" s="3">
        <v>90.848480224609403</v>
      </c>
      <c r="H1435" s="3"/>
      <c r="I1435" s="3">
        <v>100</v>
      </c>
      <c r="J1435" s="3"/>
      <c r="K1435" s="3"/>
      <c r="L1435" s="3"/>
      <c r="M1435" s="3">
        <v>100</v>
      </c>
      <c r="N1435" s="3">
        <v>100</v>
      </c>
      <c r="O1435" s="3">
        <v>100</v>
      </c>
      <c r="P1435" s="3"/>
      <c r="Q1435" s="3">
        <v>100</v>
      </c>
      <c r="R1435" s="3">
        <v>91.649002075195298</v>
      </c>
      <c r="S1435" s="3">
        <v>85.951370239257798</v>
      </c>
      <c r="T1435" s="3">
        <v>89.015823364257798</v>
      </c>
      <c r="U1435" s="3">
        <v>100</v>
      </c>
      <c r="V1435" s="3">
        <v>100</v>
      </c>
      <c r="W1435" s="3">
        <v>100</v>
      </c>
      <c r="X1435" s="3">
        <v>100</v>
      </c>
      <c r="Y1435" s="3">
        <v>100</v>
      </c>
      <c r="Z1435" s="3">
        <v>100</v>
      </c>
      <c r="AA1435" s="3">
        <v>100</v>
      </c>
      <c r="AB1435" s="3">
        <v>100</v>
      </c>
      <c r="AC1435" s="3">
        <v>100</v>
      </c>
      <c r="AD1435" s="3"/>
      <c r="AE1435" t="s">
        <v>6452</v>
      </c>
      <c r="AF1435" t="s">
        <v>160</v>
      </c>
    </row>
    <row r="1436" spans="1:32" x14ac:dyDescent="0.3">
      <c r="A1436" t="s">
        <v>1826</v>
      </c>
      <c r="B1436" s="1" t="s">
        <v>1205</v>
      </c>
      <c r="C1436" s="5" t="s">
        <v>3501</v>
      </c>
      <c r="D1436" s="2" t="s">
        <v>5019</v>
      </c>
      <c r="E1436" s="1" t="s">
        <v>211</v>
      </c>
      <c r="F1436" s="3">
        <v>90.235687255859403</v>
      </c>
      <c r="G1436" s="3">
        <v>90.394088745117202</v>
      </c>
      <c r="H1436" s="3"/>
      <c r="I1436" s="3">
        <v>100</v>
      </c>
      <c r="J1436" s="3"/>
      <c r="K1436" s="3"/>
      <c r="L1436" s="3"/>
      <c r="M1436" s="3">
        <v>100</v>
      </c>
      <c r="N1436" s="3">
        <v>100</v>
      </c>
      <c r="O1436" s="3">
        <v>100</v>
      </c>
      <c r="P1436" s="3"/>
      <c r="Q1436" s="3">
        <v>100</v>
      </c>
      <c r="R1436" s="3">
        <v>93.273536682128906</v>
      </c>
      <c r="S1436" s="3">
        <v>80.612243652343807</v>
      </c>
      <c r="T1436" s="3">
        <v>83.549781799316406</v>
      </c>
      <c r="U1436" s="3">
        <v>100</v>
      </c>
      <c r="V1436" s="3">
        <v>100</v>
      </c>
      <c r="W1436" s="3">
        <v>100</v>
      </c>
      <c r="X1436" s="3">
        <v>100</v>
      </c>
      <c r="Y1436" s="3">
        <v>100</v>
      </c>
      <c r="Z1436" s="3">
        <v>100</v>
      </c>
      <c r="AA1436" s="3">
        <v>100</v>
      </c>
      <c r="AB1436" s="3">
        <v>100</v>
      </c>
      <c r="AC1436" s="3">
        <v>100</v>
      </c>
      <c r="AD1436" s="3"/>
      <c r="AE1436" t="s">
        <v>6452</v>
      </c>
      <c r="AF1436" t="s">
        <v>160</v>
      </c>
    </row>
    <row r="1437" spans="1:32" x14ac:dyDescent="0.3">
      <c r="A1437" t="s">
        <v>1826</v>
      </c>
      <c r="B1437" s="1" t="s">
        <v>1205</v>
      </c>
      <c r="C1437" s="5" t="s">
        <v>3502</v>
      </c>
      <c r="D1437" s="2" t="s">
        <v>5020</v>
      </c>
      <c r="E1437" s="1" t="s">
        <v>93</v>
      </c>
      <c r="F1437" s="3">
        <v>99.439880371093807</v>
      </c>
      <c r="G1437" s="3">
        <v>99.056823730468807</v>
      </c>
      <c r="H1437" s="3"/>
      <c r="I1437" s="3">
        <v>100</v>
      </c>
      <c r="J1437" s="3"/>
      <c r="K1437" s="3"/>
      <c r="L1437" s="3"/>
      <c r="M1437" s="3">
        <v>100</v>
      </c>
      <c r="N1437" s="3">
        <v>100</v>
      </c>
      <c r="O1437" s="3">
        <v>100</v>
      </c>
      <c r="P1437" s="3"/>
      <c r="Q1437" s="3">
        <v>100</v>
      </c>
      <c r="R1437" s="3">
        <v>99.384429931640597</v>
      </c>
      <c r="S1437" s="3">
        <v>82.807937622070298</v>
      </c>
      <c r="T1437" s="3">
        <v>84.944381713867202</v>
      </c>
      <c r="U1437" s="3">
        <v>100</v>
      </c>
      <c r="V1437" s="3">
        <v>100</v>
      </c>
      <c r="W1437" s="3">
        <v>100</v>
      </c>
      <c r="X1437" s="3">
        <v>100</v>
      </c>
      <c r="Y1437" s="3">
        <v>100</v>
      </c>
      <c r="Z1437" s="3">
        <v>100</v>
      </c>
      <c r="AA1437" s="3">
        <v>100</v>
      </c>
      <c r="AB1437" s="3">
        <v>100</v>
      </c>
      <c r="AC1437" s="3">
        <v>100</v>
      </c>
      <c r="AD1437" s="3"/>
      <c r="AE1437" t="s">
        <v>6453</v>
      </c>
      <c r="AF1437" t="s">
        <v>160</v>
      </c>
    </row>
    <row r="1438" spans="1:32" x14ac:dyDescent="0.3">
      <c r="A1438" t="s">
        <v>1826</v>
      </c>
      <c r="B1438" s="1" t="s">
        <v>1205</v>
      </c>
      <c r="C1438" s="5" t="s">
        <v>3503</v>
      </c>
      <c r="D1438" s="2" t="s">
        <v>5021</v>
      </c>
      <c r="E1438" s="1" t="s">
        <v>870</v>
      </c>
      <c r="F1438" s="3">
        <v>98.933357238769503</v>
      </c>
      <c r="G1438" s="3">
        <v>98.747123718261705</v>
      </c>
      <c r="H1438" s="3"/>
      <c r="I1438" s="3">
        <v>100</v>
      </c>
      <c r="J1438" s="3"/>
      <c r="K1438" s="3"/>
      <c r="L1438" s="3"/>
      <c r="M1438" s="3">
        <v>100</v>
      </c>
      <c r="N1438" s="3">
        <v>100</v>
      </c>
      <c r="O1438" s="3">
        <v>100</v>
      </c>
      <c r="P1438" s="3"/>
      <c r="Q1438" s="3">
        <v>100</v>
      </c>
      <c r="R1438" s="3">
        <v>99.871276855468807</v>
      </c>
      <c r="S1438" s="3">
        <v>83.434547424316406</v>
      </c>
      <c r="T1438" s="3">
        <v>87.030471801757798</v>
      </c>
      <c r="U1438" s="3">
        <v>100</v>
      </c>
      <c r="V1438" s="3">
        <v>100</v>
      </c>
      <c r="W1438" s="3">
        <v>100</v>
      </c>
      <c r="X1438" s="3">
        <v>100</v>
      </c>
      <c r="Y1438" s="3">
        <v>100</v>
      </c>
      <c r="Z1438" s="3">
        <v>100</v>
      </c>
      <c r="AA1438" s="3">
        <v>100</v>
      </c>
      <c r="AB1438" s="3">
        <v>100</v>
      </c>
      <c r="AC1438" s="3">
        <v>100</v>
      </c>
      <c r="AD1438" s="3"/>
      <c r="AE1438" t="s">
        <v>6453</v>
      </c>
      <c r="AF1438" t="s">
        <v>160</v>
      </c>
    </row>
    <row r="1439" spans="1:32" x14ac:dyDescent="0.3">
      <c r="A1439" t="s">
        <v>1826</v>
      </c>
      <c r="B1439" s="1" t="s">
        <v>1205</v>
      </c>
      <c r="C1439" s="5" t="s">
        <v>3504</v>
      </c>
      <c r="D1439" s="2" t="s">
        <v>5022</v>
      </c>
      <c r="E1439" s="1" t="s">
        <v>1052</v>
      </c>
      <c r="F1439" s="3">
        <v>99.567939758300795</v>
      </c>
      <c r="G1439" s="3">
        <v>99.136589050292997</v>
      </c>
      <c r="H1439" s="3"/>
      <c r="I1439" s="3">
        <v>100</v>
      </c>
      <c r="J1439" s="3"/>
      <c r="K1439" s="3"/>
      <c r="L1439" s="3"/>
      <c r="M1439" s="3">
        <v>100</v>
      </c>
      <c r="N1439" s="3">
        <v>100</v>
      </c>
      <c r="O1439" s="3">
        <v>100</v>
      </c>
      <c r="P1439" s="3"/>
      <c r="Q1439" s="3">
        <v>100</v>
      </c>
      <c r="R1439" s="3">
        <v>99.227188110351605</v>
      </c>
      <c r="S1439" s="3">
        <v>82.598777770996094</v>
      </c>
      <c r="T1439" s="3">
        <v>84.224357604980497</v>
      </c>
      <c r="U1439" s="3">
        <v>100</v>
      </c>
      <c r="V1439" s="3">
        <v>100</v>
      </c>
      <c r="W1439" s="3">
        <v>100</v>
      </c>
      <c r="X1439" s="3">
        <v>100</v>
      </c>
      <c r="Y1439" s="3">
        <v>100</v>
      </c>
      <c r="Z1439" s="3">
        <v>100</v>
      </c>
      <c r="AA1439" s="3">
        <v>100</v>
      </c>
      <c r="AB1439" s="3">
        <v>100</v>
      </c>
      <c r="AC1439" s="3">
        <v>100</v>
      </c>
      <c r="AD1439" s="3"/>
      <c r="AE1439" t="s">
        <v>6453</v>
      </c>
      <c r="AF1439" t="s">
        <v>160</v>
      </c>
    </row>
    <row r="1440" spans="1:32" x14ac:dyDescent="0.3">
      <c r="A1440" t="s">
        <v>1826</v>
      </c>
      <c r="B1440" s="1" t="s">
        <v>1205</v>
      </c>
      <c r="C1440" s="5" t="s">
        <v>3505</v>
      </c>
      <c r="D1440" s="2" t="s">
        <v>5023</v>
      </c>
      <c r="E1440" s="1" t="s">
        <v>1306</v>
      </c>
      <c r="F1440" s="3"/>
      <c r="G1440" s="3"/>
      <c r="H1440" s="3"/>
      <c r="I1440" s="3"/>
      <c r="J1440" s="3"/>
      <c r="K1440" s="3"/>
      <c r="L1440" s="3"/>
      <c r="M1440" s="3"/>
      <c r="N1440" s="3"/>
      <c r="O1440" s="3"/>
      <c r="P1440" s="3"/>
      <c r="Q1440" s="3"/>
      <c r="R1440" s="3"/>
      <c r="S1440" s="3"/>
      <c r="T1440" s="3">
        <v>100</v>
      </c>
      <c r="U1440" s="3"/>
      <c r="V1440" s="3">
        <v>100</v>
      </c>
      <c r="W1440" s="3"/>
      <c r="X1440" s="3">
        <v>100</v>
      </c>
      <c r="Y1440" s="3">
        <v>100</v>
      </c>
      <c r="Z1440" s="3">
        <v>100</v>
      </c>
      <c r="AA1440" s="3">
        <v>100</v>
      </c>
      <c r="AB1440" s="3">
        <v>100</v>
      </c>
      <c r="AC1440" s="3">
        <v>100</v>
      </c>
      <c r="AD1440" s="3"/>
      <c r="AE1440" t="s">
        <v>6454</v>
      </c>
      <c r="AF1440" t="s">
        <v>160</v>
      </c>
    </row>
    <row r="1441" spans="1:32" x14ac:dyDescent="0.3">
      <c r="A1441" t="s">
        <v>1826</v>
      </c>
      <c r="B1441" s="1" t="s">
        <v>1205</v>
      </c>
      <c r="C1441" s="5" t="s">
        <v>3506</v>
      </c>
      <c r="D1441" s="2" t="s">
        <v>5024</v>
      </c>
      <c r="E1441" s="1" t="s">
        <v>620</v>
      </c>
      <c r="F1441" s="3"/>
      <c r="G1441" s="3"/>
      <c r="H1441" s="3"/>
      <c r="I1441" s="3"/>
      <c r="J1441" s="3"/>
      <c r="K1441" s="3"/>
      <c r="L1441" s="3"/>
      <c r="M1441" s="3"/>
      <c r="N1441" s="3"/>
      <c r="O1441" s="3"/>
      <c r="P1441" s="3"/>
      <c r="Q1441" s="3"/>
      <c r="R1441" s="3"/>
      <c r="S1441" s="3"/>
      <c r="T1441" s="3">
        <v>100</v>
      </c>
      <c r="U1441" s="3"/>
      <c r="V1441" s="3">
        <v>100</v>
      </c>
      <c r="W1441" s="3"/>
      <c r="X1441" s="3">
        <v>100</v>
      </c>
      <c r="Y1441" s="3">
        <v>100</v>
      </c>
      <c r="Z1441" s="3">
        <v>100</v>
      </c>
      <c r="AA1441" s="3">
        <v>100</v>
      </c>
      <c r="AB1441" s="3">
        <v>100</v>
      </c>
      <c r="AC1441" s="3">
        <v>100</v>
      </c>
      <c r="AD1441" s="3"/>
      <c r="AE1441" t="s">
        <v>6454</v>
      </c>
      <c r="AF1441" t="s">
        <v>160</v>
      </c>
    </row>
    <row r="1442" spans="1:32" x14ac:dyDescent="0.3">
      <c r="A1442" t="s">
        <v>1826</v>
      </c>
      <c r="B1442" s="1" t="s">
        <v>1205</v>
      </c>
      <c r="C1442" s="5" t="s">
        <v>3507</v>
      </c>
      <c r="D1442" s="2" t="s">
        <v>5025</v>
      </c>
      <c r="E1442" s="1" t="s">
        <v>1380</v>
      </c>
      <c r="F1442" s="3"/>
      <c r="G1442" s="3"/>
      <c r="H1442" s="3"/>
      <c r="I1442" s="3"/>
      <c r="J1442" s="3"/>
      <c r="K1442" s="3"/>
      <c r="L1442" s="3"/>
      <c r="M1442" s="3"/>
      <c r="N1442" s="3"/>
      <c r="O1442" s="3"/>
      <c r="P1442" s="3"/>
      <c r="Q1442" s="3"/>
      <c r="R1442" s="3"/>
      <c r="S1442" s="3"/>
      <c r="T1442" s="3">
        <v>100</v>
      </c>
      <c r="U1442" s="3"/>
      <c r="V1442" s="3">
        <v>100</v>
      </c>
      <c r="W1442" s="3"/>
      <c r="X1442" s="3">
        <v>100</v>
      </c>
      <c r="Y1442" s="3">
        <v>100</v>
      </c>
      <c r="Z1442" s="3">
        <v>100</v>
      </c>
      <c r="AA1442" s="3">
        <v>100</v>
      </c>
      <c r="AB1442" s="3">
        <v>100</v>
      </c>
      <c r="AC1442" s="3">
        <v>100</v>
      </c>
      <c r="AD1442" s="3"/>
      <c r="AE1442" t="s">
        <v>6454</v>
      </c>
      <c r="AF1442" t="s">
        <v>160</v>
      </c>
    </row>
    <row r="1443" spans="1:32" ht="28.8" x14ac:dyDescent="0.3">
      <c r="A1443" t="s">
        <v>1826</v>
      </c>
      <c r="B1443" s="1" t="s">
        <v>1205</v>
      </c>
      <c r="C1443" s="5" t="s">
        <v>3508</v>
      </c>
      <c r="D1443" s="2" t="s">
        <v>5026</v>
      </c>
      <c r="E1443" s="1" t="s">
        <v>443</v>
      </c>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t="s">
        <v>6455</v>
      </c>
      <c r="AF1443" t="s">
        <v>160</v>
      </c>
    </row>
    <row r="1444" spans="1:32" ht="28.8" x14ac:dyDescent="0.3">
      <c r="A1444" t="s">
        <v>1826</v>
      </c>
      <c r="B1444" s="1" t="s">
        <v>1205</v>
      </c>
      <c r="C1444" s="5" t="s">
        <v>3509</v>
      </c>
      <c r="D1444" s="2" t="s">
        <v>5027</v>
      </c>
      <c r="E1444" s="1" t="s">
        <v>982</v>
      </c>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t="s">
        <v>6455</v>
      </c>
      <c r="AF1444" t="s">
        <v>931</v>
      </c>
    </row>
    <row r="1445" spans="1:32" ht="28.8" x14ac:dyDescent="0.3">
      <c r="A1445" t="s">
        <v>1826</v>
      </c>
      <c r="B1445" s="1" t="s">
        <v>1205</v>
      </c>
      <c r="C1445" s="5" t="s">
        <v>3510</v>
      </c>
      <c r="D1445" s="2" t="s">
        <v>5028</v>
      </c>
      <c r="E1445" s="1" t="s">
        <v>1153</v>
      </c>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t="s">
        <v>6455</v>
      </c>
      <c r="AF1445" t="s">
        <v>160</v>
      </c>
    </row>
    <row r="1446" spans="1:32" x14ac:dyDescent="0.3">
      <c r="A1446" t="s">
        <v>1826</v>
      </c>
      <c r="B1446" s="1" t="s">
        <v>1205</v>
      </c>
      <c r="C1446" s="5" t="s">
        <v>3511</v>
      </c>
      <c r="D1446" s="2" t="s">
        <v>5029</v>
      </c>
      <c r="E1446" s="1" t="s">
        <v>1494</v>
      </c>
      <c r="F1446" s="3"/>
      <c r="G1446" s="3"/>
      <c r="H1446" s="3"/>
      <c r="I1446" s="3"/>
      <c r="J1446" s="3"/>
      <c r="K1446" s="3">
        <v>23.603280065088907</v>
      </c>
      <c r="L1446" s="3">
        <v>24.814455897639295</v>
      </c>
      <c r="M1446" s="3">
        <v>23.703866735203519</v>
      </c>
      <c r="N1446" s="3">
        <v>23.848036701355841</v>
      </c>
      <c r="O1446" s="3">
        <v>23.815611509266976</v>
      </c>
      <c r="P1446" s="3">
        <v>23.020688041447343</v>
      </c>
      <c r="Q1446" s="3">
        <v>16.991867337288689</v>
      </c>
      <c r="R1446" s="3">
        <v>16.703120300045001</v>
      </c>
      <c r="S1446" s="3">
        <v>17.566286062687865</v>
      </c>
      <c r="T1446" s="3">
        <v>18.629744420326759</v>
      </c>
      <c r="U1446" s="3">
        <v>25.671217391730522</v>
      </c>
      <c r="V1446" s="3">
        <v>25.90004203368877</v>
      </c>
      <c r="W1446" s="3">
        <v>26.190069838629103</v>
      </c>
      <c r="X1446" s="3">
        <v>34.049922029324549</v>
      </c>
      <c r="Y1446" s="3">
        <v>34.957054968080726</v>
      </c>
      <c r="Z1446" s="3">
        <v>42.729962851479236</v>
      </c>
      <c r="AA1446" s="3">
        <v>42.6512655930159</v>
      </c>
      <c r="AB1446" s="3">
        <v>40.610887250002477</v>
      </c>
      <c r="AC1446" s="3"/>
      <c r="AD1446" s="3"/>
      <c r="AE1446" t="s">
        <v>6456</v>
      </c>
      <c r="AF1446" t="s">
        <v>1807</v>
      </c>
    </row>
    <row r="1447" spans="1:32" x14ac:dyDescent="0.3">
      <c r="A1447" t="s">
        <v>1826</v>
      </c>
      <c r="B1447" s="1" t="s">
        <v>1205</v>
      </c>
      <c r="C1447" s="5" t="s">
        <v>3512</v>
      </c>
      <c r="D1447" s="2" t="s">
        <v>5030</v>
      </c>
      <c r="E1447" s="1" t="s">
        <v>460</v>
      </c>
      <c r="F1447" s="3"/>
      <c r="G1447" s="3"/>
      <c r="H1447" s="3"/>
      <c r="I1447" s="3"/>
      <c r="J1447" s="3"/>
      <c r="K1447" s="3">
        <v>51.296638418434092</v>
      </c>
      <c r="L1447" s="3">
        <v>50.975391219899159</v>
      </c>
      <c r="M1447" s="3">
        <v>53.801664722445075</v>
      </c>
      <c r="N1447" s="3">
        <v>56.741922553601484</v>
      </c>
      <c r="O1447" s="3">
        <v>55.924759982774688</v>
      </c>
      <c r="P1447" s="3">
        <v>58.978118065593087</v>
      </c>
      <c r="Q1447" s="3">
        <v>55.035836421061866</v>
      </c>
      <c r="R1447" s="3">
        <v>62.124752998433763</v>
      </c>
      <c r="S1447" s="3">
        <v>63.642522010778848</v>
      </c>
      <c r="T1447" s="3">
        <v>60.808529086478025</v>
      </c>
      <c r="U1447" s="3">
        <v>62.12086903975046</v>
      </c>
      <c r="V1447" s="3">
        <v>50.116857644069455</v>
      </c>
      <c r="W1447" s="3">
        <v>47.958014863005317</v>
      </c>
      <c r="X1447" s="3">
        <v>53.522521800497813</v>
      </c>
      <c r="Y1447" s="3">
        <v>53.143930039277855</v>
      </c>
      <c r="Z1447" s="3">
        <v>55.810237869069326</v>
      </c>
      <c r="AA1447" s="3">
        <v>61.542126122336342</v>
      </c>
      <c r="AB1447" s="3">
        <v>57.474166082799712</v>
      </c>
      <c r="AC1447" s="3"/>
      <c r="AD1447" s="3"/>
      <c r="AE1447" t="s">
        <v>6457</v>
      </c>
      <c r="AF1447" t="s">
        <v>1807</v>
      </c>
    </row>
    <row r="1448" spans="1:32" x14ac:dyDescent="0.3">
      <c r="A1448" t="s">
        <v>1826</v>
      </c>
      <c r="B1448" s="1" t="s">
        <v>1205</v>
      </c>
      <c r="C1448" s="5" t="s">
        <v>3513</v>
      </c>
      <c r="D1448" s="2" t="s">
        <v>5031</v>
      </c>
      <c r="E1448" s="1" t="s">
        <v>795</v>
      </c>
      <c r="F1448" s="3"/>
      <c r="G1448" s="3"/>
      <c r="H1448" s="3"/>
      <c r="I1448" s="3"/>
      <c r="J1448" s="3"/>
      <c r="K1448" s="3">
        <v>20.188318262326781</v>
      </c>
      <c r="L1448" s="3">
        <v>21.214868904090384</v>
      </c>
      <c r="M1448" s="3">
        <v>20.126975951999583</v>
      </c>
      <c r="N1448" s="3">
        <v>20.368728654262817</v>
      </c>
      <c r="O1448" s="3">
        <v>20.534622909324554</v>
      </c>
      <c r="P1448" s="3">
        <v>19.971934814203948</v>
      </c>
      <c r="Q1448" s="3">
        <v>14.538500734785067</v>
      </c>
      <c r="R1448" s="3">
        <v>14.349874851292343</v>
      </c>
      <c r="S1448" s="3">
        <v>14.835048699747432</v>
      </c>
      <c r="T1448" s="3">
        <v>15.62049138905258</v>
      </c>
      <c r="U1448" s="3">
        <v>21.543638676834302</v>
      </c>
      <c r="V1448" s="3">
        <v>22.382431589278941</v>
      </c>
      <c r="W1448" s="3">
        <v>23.44994215907645</v>
      </c>
      <c r="X1448" s="3">
        <v>32.963658318295394</v>
      </c>
      <c r="Y1448" s="3">
        <v>33.71418186711648</v>
      </c>
      <c r="Z1448" s="3">
        <v>40.945451226037441</v>
      </c>
      <c r="AA1448" s="3">
        <v>41.006113082765658</v>
      </c>
      <c r="AB1448" s="3">
        <v>38.678752412420899</v>
      </c>
      <c r="AC1448" s="3"/>
      <c r="AD1448" s="3"/>
      <c r="AE1448" t="s">
        <v>6458</v>
      </c>
      <c r="AF1448" t="s">
        <v>613</v>
      </c>
    </row>
    <row r="1449" spans="1:32" x14ac:dyDescent="0.3">
      <c r="A1449" t="s">
        <v>1826</v>
      </c>
      <c r="B1449" s="1" t="s">
        <v>1205</v>
      </c>
      <c r="C1449" s="5" t="s">
        <v>3514</v>
      </c>
      <c r="D1449" s="2" t="s">
        <v>5032</v>
      </c>
      <c r="E1449" s="1" t="s">
        <v>1035</v>
      </c>
      <c r="F1449" s="3"/>
      <c r="G1449" s="3"/>
      <c r="H1449" s="3"/>
      <c r="I1449" s="3"/>
      <c r="J1449" s="3"/>
      <c r="K1449" s="3">
        <v>48.094422158136176</v>
      </c>
      <c r="L1449" s="3">
        <v>47.847158473669523</v>
      </c>
      <c r="M1449" s="3">
        <v>49.311397253712158</v>
      </c>
      <c r="N1449" s="3">
        <v>53.293173840016472</v>
      </c>
      <c r="O1449" s="3">
        <v>52.558179769193444</v>
      </c>
      <c r="P1449" s="3">
        <v>54.097318463521368</v>
      </c>
      <c r="Q1449" s="3">
        <v>51.774023866862926</v>
      </c>
      <c r="R1449" s="3">
        <v>58.787791521339415</v>
      </c>
      <c r="S1449" s="3">
        <v>60.383605313026258</v>
      </c>
      <c r="T1449" s="3">
        <v>57.490151493716446</v>
      </c>
      <c r="U1449" s="3">
        <v>58.88765005028791</v>
      </c>
      <c r="V1449" s="3">
        <v>47.566626285488525</v>
      </c>
      <c r="W1449" s="3">
        <v>45.759848809316232</v>
      </c>
      <c r="X1449" s="3">
        <v>52.241984993399385</v>
      </c>
      <c r="Y1449" s="3">
        <v>52.011950574585384</v>
      </c>
      <c r="Z1449" s="3">
        <v>54.423080595323839</v>
      </c>
      <c r="AA1449" s="3">
        <v>60.177416665058516</v>
      </c>
      <c r="AB1449" s="3">
        <v>56.409456034523473</v>
      </c>
      <c r="AC1449" s="3"/>
      <c r="AD1449" s="3"/>
      <c r="AE1449" t="s">
        <v>6459</v>
      </c>
      <c r="AF1449" t="s">
        <v>613</v>
      </c>
    </row>
    <row r="1450" spans="1:32" x14ac:dyDescent="0.3">
      <c r="A1450" t="s">
        <v>1826</v>
      </c>
      <c r="B1450" s="1" t="s">
        <v>1205</v>
      </c>
      <c r="C1450" s="5" t="s">
        <v>3515</v>
      </c>
      <c r="D1450" s="2" t="s">
        <v>5033</v>
      </c>
      <c r="E1450" s="1" t="s">
        <v>1904</v>
      </c>
      <c r="F1450" s="3"/>
      <c r="G1450" s="3"/>
      <c r="H1450" s="3"/>
      <c r="I1450" s="3"/>
      <c r="J1450" s="3"/>
      <c r="K1450" s="3">
        <v>10.41731403753051</v>
      </c>
      <c r="L1450" s="3">
        <v>11.417268330912593</v>
      </c>
      <c r="M1450" s="3">
        <v>11.582220854550531</v>
      </c>
      <c r="N1450" s="3">
        <v>11.71534105075281</v>
      </c>
      <c r="O1450" s="3">
        <v>14.952621313330273</v>
      </c>
      <c r="P1450" s="3">
        <v>19.57469593863151</v>
      </c>
      <c r="Q1450" s="3">
        <v>20.720122061211946</v>
      </c>
      <c r="R1450" s="3">
        <v>20.318776805150172</v>
      </c>
      <c r="S1450" s="3">
        <v>22.916074142042735</v>
      </c>
      <c r="T1450" s="3">
        <v>24.324752954310409</v>
      </c>
      <c r="U1450" s="3">
        <v>24.512573488006701</v>
      </c>
      <c r="V1450" s="3">
        <v>48.033778814089324</v>
      </c>
      <c r="W1450" s="3">
        <v>45.561731830753367</v>
      </c>
      <c r="X1450" s="3">
        <v>39.261442565748354</v>
      </c>
      <c r="Y1450" s="3">
        <v>40.011846876039776</v>
      </c>
      <c r="Z1450" s="3">
        <v>23.691355053715832</v>
      </c>
      <c r="AA1450" s="3">
        <v>28.989388401171372</v>
      </c>
      <c r="AB1450" s="3">
        <v>38.530744818778871</v>
      </c>
      <c r="AC1450" s="3"/>
      <c r="AD1450" s="3"/>
      <c r="AE1450" t="s">
        <v>6460</v>
      </c>
      <c r="AF1450" t="s">
        <v>1807</v>
      </c>
    </row>
    <row r="1451" spans="1:32" x14ac:dyDescent="0.3">
      <c r="A1451" t="s">
        <v>1826</v>
      </c>
      <c r="B1451" s="1" t="s">
        <v>1205</v>
      </c>
      <c r="C1451" s="5" t="s">
        <v>3516</v>
      </c>
      <c r="D1451" s="2" t="s">
        <v>5034</v>
      </c>
      <c r="E1451" s="1" t="s">
        <v>856</v>
      </c>
      <c r="F1451" s="3"/>
      <c r="G1451" s="3"/>
      <c r="H1451" s="3"/>
      <c r="I1451" s="3"/>
      <c r="J1451" s="3"/>
      <c r="K1451" s="3">
        <v>16.616933762694348</v>
      </c>
      <c r="L1451" s="3">
        <v>16.643362735861601</v>
      </c>
      <c r="M1451" s="3">
        <v>15.336587442945643</v>
      </c>
      <c r="N1451" s="3">
        <v>13.369171669566676</v>
      </c>
      <c r="O1451" s="3">
        <v>13.137184189501255</v>
      </c>
      <c r="P1451" s="3">
        <v>12.850234150791016</v>
      </c>
      <c r="Q1451" s="3">
        <v>14.404764465763503</v>
      </c>
      <c r="R1451" s="3">
        <v>13.117609693459464</v>
      </c>
      <c r="S1451" s="3">
        <v>12.472251983887865</v>
      </c>
      <c r="T1451" s="3">
        <v>13.865759088370492</v>
      </c>
      <c r="U1451" s="3">
        <v>13.530604576523805</v>
      </c>
      <c r="V1451" s="3">
        <v>13.486591534763706</v>
      </c>
      <c r="W1451" s="3">
        <v>12.125141658424376</v>
      </c>
      <c r="X1451" s="3">
        <v>12.302700038312981</v>
      </c>
      <c r="Y1451" s="3">
        <v>12.003180145956643</v>
      </c>
      <c r="Z1451" s="3">
        <v>6.8855244769826092</v>
      </c>
      <c r="AA1451" s="3">
        <v>6.9048796497518605</v>
      </c>
      <c r="AB1451" s="3">
        <v>7.3391108123225104</v>
      </c>
      <c r="AC1451" s="3"/>
      <c r="AD1451" s="3"/>
      <c r="AE1451" t="s">
        <v>6461</v>
      </c>
      <c r="AF1451" t="s">
        <v>1807</v>
      </c>
    </row>
    <row r="1452" spans="1:32" x14ac:dyDescent="0.3">
      <c r="A1452" t="s">
        <v>1826</v>
      </c>
      <c r="B1452" s="1" t="s">
        <v>1205</v>
      </c>
      <c r="C1452" s="5" t="s">
        <v>3517</v>
      </c>
      <c r="D1452" s="2" t="s">
        <v>5035</v>
      </c>
      <c r="E1452" s="1" t="s">
        <v>50</v>
      </c>
      <c r="F1452" s="3"/>
      <c r="G1452" s="3"/>
      <c r="H1452" s="3"/>
      <c r="I1452" s="3"/>
      <c r="J1452" s="3"/>
      <c r="K1452" s="3">
        <v>8.9101197226961837</v>
      </c>
      <c r="L1452" s="3">
        <v>9.7610784569399538</v>
      </c>
      <c r="M1452" s="3">
        <v>9.8344748227966736</v>
      </c>
      <c r="N1452" s="3">
        <v>10.006131990788301</v>
      </c>
      <c r="O1452" s="3">
        <v>12.892654049873567</v>
      </c>
      <c r="P1452" s="3">
        <v>16.982313933898912</v>
      </c>
      <c r="Q1452" s="3">
        <v>17.72845231381341</v>
      </c>
      <c r="R1452" s="3">
        <v>17.456133886820005</v>
      </c>
      <c r="S1452" s="3">
        <v>19.353042224806423</v>
      </c>
      <c r="T1452" s="3">
        <v>20.395588124604693</v>
      </c>
      <c r="U1452" s="3">
        <v>20.571288778656761</v>
      </c>
      <c r="V1452" s="3">
        <v>41.510078125838064</v>
      </c>
      <c r="W1452" s="3">
        <v>40.794850211611518</v>
      </c>
      <c r="X1452" s="3">
        <v>38.008920452332099</v>
      </c>
      <c r="Y1452" s="3">
        <v>38.589254262115688</v>
      </c>
      <c r="Z1452" s="3">
        <v>22.701943977867881</v>
      </c>
      <c r="AA1452" s="3">
        <v>27.871204346473217</v>
      </c>
      <c r="AB1452" s="3">
        <v>36.697576438978849</v>
      </c>
      <c r="AC1452" s="3"/>
      <c r="AD1452" s="3"/>
      <c r="AE1452" t="s">
        <v>6462</v>
      </c>
      <c r="AF1452" t="s">
        <v>613</v>
      </c>
    </row>
    <row r="1453" spans="1:32" x14ac:dyDescent="0.3">
      <c r="A1453" t="s">
        <v>1826</v>
      </c>
      <c r="B1453" s="1" t="s">
        <v>1205</v>
      </c>
      <c r="C1453" s="5" t="s">
        <v>3518</v>
      </c>
      <c r="D1453" s="2" t="s">
        <v>5036</v>
      </c>
      <c r="E1453" s="1" t="s">
        <v>290</v>
      </c>
      <c r="F1453" s="3"/>
      <c r="G1453" s="3"/>
      <c r="H1453" s="3"/>
      <c r="I1453" s="3"/>
      <c r="J1453" s="3"/>
      <c r="K1453" s="3">
        <v>15.579614025343464</v>
      </c>
      <c r="L1453" s="3">
        <v>15.622001034229848</v>
      </c>
      <c r="M1453" s="3">
        <v>14.056601404749555</v>
      </c>
      <c r="N1453" s="3">
        <v>12.55659938575729</v>
      </c>
      <c r="O1453" s="3">
        <v>12.3463469222842</v>
      </c>
      <c r="P1453" s="3">
        <v>11.786798765145864</v>
      </c>
      <c r="Q1453" s="3">
        <v>13.551036338235219</v>
      </c>
      <c r="R1453" s="3">
        <v>12.413011991159753</v>
      </c>
      <c r="S1453" s="3">
        <v>11.833590457526826</v>
      </c>
      <c r="T1453" s="3">
        <v>13.109091809014931</v>
      </c>
      <c r="U1453" s="3">
        <v>12.826374124954748</v>
      </c>
      <c r="V1453" s="3">
        <v>12.800316890479488</v>
      </c>
      <c r="W1453" s="3">
        <v>11.569383150365695</v>
      </c>
      <c r="X1453" s="3">
        <v>12.008355532565039</v>
      </c>
      <c r="Y1453" s="3">
        <v>11.747509302152185</v>
      </c>
      <c r="Z1453" s="3">
        <v>6.714385529605134</v>
      </c>
      <c r="AA1453" s="3">
        <v>6.7517625062094062</v>
      </c>
      <c r="AB1453" s="3">
        <v>7.2031536413035306</v>
      </c>
      <c r="AC1453" s="3"/>
      <c r="AD1453" s="3"/>
      <c r="AE1453" t="s">
        <v>6463</v>
      </c>
      <c r="AF1453" t="s">
        <v>613</v>
      </c>
    </row>
    <row r="1454" spans="1:32" x14ac:dyDescent="0.3">
      <c r="A1454" t="s">
        <v>1826</v>
      </c>
      <c r="B1454" s="1" t="s">
        <v>1205</v>
      </c>
      <c r="C1454" s="5" t="s">
        <v>3519</v>
      </c>
      <c r="D1454" s="2" t="s">
        <v>5037</v>
      </c>
      <c r="E1454" s="1" t="s">
        <v>1240</v>
      </c>
      <c r="F1454" s="3">
        <v>23</v>
      </c>
      <c r="G1454" s="3">
        <v>26</v>
      </c>
      <c r="H1454" s="3">
        <v>26</v>
      </c>
      <c r="I1454" s="3">
        <v>30</v>
      </c>
      <c r="J1454" s="3">
        <v>36</v>
      </c>
      <c r="K1454" s="3">
        <v>37</v>
      </c>
      <c r="L1454" s="3">
        <v>41</v>
      </c>
      <c r="M1454" s="3">
        <v>47</v>
      </c>
      <c r="N1454" s="3">
        <v>50</v>
      </c>
      <c r="O1454" s="3">
        <v>50</v>
      </c>
      <c r="P1454" s="3">
        <v>52</v>
      </c>
      <c r="Q1454" s="3">
        <v>53</v>
      </c>
      <c r="R1454" s="3">
        <v>57</v>
      </c>
      <c r="S1454" s="3">
        <v>61</v>
      </c>
      <c r="T1454" s="3">
        <v>58</v>
      </c>
      <c r="U1454" s="3">
        <v>56</v>
      </c>
      <c r="V1454" s="3">
        <v>54</v>
      </c>
      <c r="W1454" s="3">
        <v>53</v>
      </c>
      <c r="X1454" s="3">
        <v>54</v>
      </c>
      <c r="Y1454" s="3">
        <v>55</v>
      </c>
      <c r="Z1454" s="3">
        <v>51</v>
      </c>
      <c r="AA1454" s="3">
        <v>55</v>
      </c>
      <c r="AB1454" s="3">
        <v>58</v>
      </c>
      <c r="AC1454" s="3">
        <v>59</v>
      </c>
      <c r="AD1454" s="3"/>
      <c r="AE1454" t="s">
        <v>6464</v>
      </c>
      <c r="AF1454" t="s">
        <v>494</v>
      </c>
    </row>
    <row r="1455" spans="1:32" x14ac:dyDescent="0.3">
      <c r="A1455" t="s">
        <v>1826</v>
      </c>
      <c r="B1455" s="1" t="s">
        <v>1205</v>
      </c>
      <c r="C1455" s="5" t="s">
        <v>3520</v>
      </c>
      <c r="D1455" s="2" t="s">
        <v>5038</v>
      </c>
      <c r="E1455" s="1" t="s">
        <v>1563</v>
      </c>
      <c r="F1455" s="3">
        <v>57</v>
      </c>
      <c r="G1455" s="3">
        <v>72</v>
      </c>
      <c r="H1455" s="3">
        <v>65</v>
      </c>
      <c r="I1455" s="3">
        <v>72</v>
      </c>
      <c r="J1455" s="3">
        <v>69</v>
      </c>
      <c r="K1455" s="3">
        <v>74</v>
      </c>
      <c r="L1455" s="3">
        <v>73</v>
      </c>
      <c r="M1455" s="3">
        <v>71</v>
      </c>
      <c r="N1455" s="3">
        <v>75</v>
      </c>
      <c r="O1455" s="3">
        <v>77</v>
      </c>
      <c r="P1455" s="3">
        <v>75</v>
      </c>
      <c r="Q1455" s="3">
        <v>76</v>
      </c>
      <c r="R1455" s="3">
        <v>79</v>
      </c>
      <c r="S1455" s="3">
        <v>80</v>
      </c>
      <c r="T1455" s="3">
        <v>79</v>
      </c>
      <c r="U1455" s="3">
        <v>80</v>
      </c>
      <c r="V1455" s="3">
        <v>82</v>
      </c>
      <c r="W1455" s="3">
        <v>83</v>
      </c>
      <c r="X1455" s="3">
        <v>84</v>
      </c>
      <c r="Y1455" s="3">
        <v>84</v>
      </c>
      <c r="Z1455" s="3">
        <v>84</v>
      </c>
      <c r="AA1455" s="3">
        <v>85</v>
      </c>
      <c r="AB1455" s="3">
        <v>87</v>
      </c>
      <c r="AC1455" s="3"/>
      <c r="AD1455" s="3"/>
      <c r="AE1455" t="s">
        <v>6465</v>
      </c>
      <c r="AF1455" t="s">
        <v>827</v>
      </c>
    </row>
    <row r="1456" spans="1:32" x14ac:dyDescent="0.3">
      <c r="A1456" t="s">
        <v>1826</v>
      </c>
      <c r="B1456" s="1" t="s">
        <v>1205</v>
      </c>
      <c r="C1456" s="5" t="s">
        <v>3521</v>
      </c>
      <c r="D1456" s="2" t="s">
        <v>5039</v>
      </c>
      <c r="E1456" s="1" t="s">
        <v>138</v>
      </c>
      <c r="F1456" s="3">
        <v>22</v>
      </c>
      <c r="G1456" s="3"/>
      <c r="H1456" s="3"/>
      <c r="I1456" s="3"/>
      <c r="J1456" s="3"/>
      <c r="K1456" s="3">
        <v>25</v>
      </c>
      <c r="L1456" s="3"/>
      <c r="M1456" s="3"/>
      <c r="N1456" s="3"/>
      <c r="O1456" s="3"/>
      <c r="P1456" s="3">
        <v>33</v>
      </c>
      <c r="Q1456" s="3"/>
      <c r="R1456" s="3"/>
      <c r="S1456" s="3"/>
      <c r="T1456" s="3"/>
      <c r="U1456" s="3">
        <v>43</v>
      </c>
      <c r="V1456" s="3"/>
      <c r="W1456" s="3">
        <v>44</v>
      </c>
      <c r="X1456" s="3"/>
      <c r="Y1456" s="3">
        <v>41</v>
      </c>
      <c r="Z1456" s="3"/>
      <c r="AA1456" s="3">
        <v>43</v>
      </c>
      <c r="AB1456" s="3"/>
      <c r="AC1456" s="3"/>
      <c r="AD1456" s="3"/>
      <c r="AE1456" t="s">
        <v>6466</v>
      </c>
      <c r="AF1456" t="s">
        <v>1656</v>
      </c>
    </row>
    <row r="1457" spans="1:32" ht="28.8" x14ac:dyDescent="0.3">
      <c r="A1457" t="s">
        <v>1826</v>
      </c>
      <c r="B1457" s="1" t="s">
        <v>1205</v>
      </c>
      <c r="C1457" s="5" t="s">
        <v>3522</v>
      </c>
      <c r="D1457" s="2" t="s">
        <v>5040</v>
      </c>
      <c r="E1457" s="1" t="s">
        <v>1572</v>
      </c>
      <c r="F1457" s="3"/>
      <c r="G1457" s="3"/>
      <c r="H1457" s="3"/>
      <c r="I1457" s="3"/>
      <c r="J1457" s="3"/>
      <c r="K1457" s="3"/>
      <c r="L1457" s="3"/>
      <c r="M1457" s="3"/>
      <c r="N1457" s="3"/>
      <c r="O1457" s="3"/>
      <c r="P1457" s="3"/>
      <c r="Q1457" s="3"/>
      <c r="R1457" s="3">
        <v>27.408999999999999</v>
      </c>
      <c r="S1457" s="3">
        <v>7.6580000000000004</v>
      </c>
      <c r="T1457" s="3"/>
      <c r="U1457" s="3"/>
      <c r="V1457" s="3">
        <v>8.8460000000000001</v>
      </c>
      <c r="W1457" s="3">
        <v>12.388999999999999</v>
      </c>
      <c r="X1457" s="3"/>
      <c r="Y1457" s="3">
        <v>6.6529999999999996</v>
      </c>
      <c r="Z1457" s="3"/>
      <c r="AA1457" s="3"/>
      <c r="AB1457" s="3">
        <v>10.51</v>
      </c>
      <c r="AC1457" s="3"/>
      <c r="AD1457" s="3"/>
      <c r="AE1457" t="s">
        <v>6467</v>
      </c>
      <c r="AF1457" t="s">
        <v>1453</v>
      </c>
    </row>
    <row r="1458" spans="1:32" ht="28.8" x14ac:dyDescent="0.3">
      <c r="A1458" t="s">
        <v>1826</v>
      </c>
      <c r="B1458" s="1" t="s">
        <v>1205</v>
      </c>
      <c r="C1458" s="5" t="s">
        <v>3523</v>
      </c>
      <c r="D1458" s="2" t="s">
        <v>5041</v>
      </c>
      <c r="E1458" s="1" t="s">
        <v>1047</v>
      </c>
      <c r="F1458" s="3"/>
      <c r="G1458" s="3"/>
      <c r="H1458" s="3"/>
      <c r="I1458" s="3"/>
      <c r="J1458" s="3"/>
      <c r="K1458" s="3"/>
      <c r="L1458" s="3"/>
      <c r="M1458" s="3"/>
      <c r="N1458" s="3"/>
      <c r="O1458" s="3"/>
      <c r="P1458" s="3"/>
      <c r="Q1458" s="3"/>
      <c r="R1458" s="3">
        <v>37.762999999999998</v>
      </c>
      <c r="S1458" s="3">
        <v>13.18</v>
      </c>
      <c r="T1458" s="3"/>
      <c r="U1458" s="3"/>
      <c r="V1458" s="3">
        <v>14.321</v>
      </c>
      <c r="W1458" s="3">
        <v>22.196999999999999</v>
      </c>
      <c r="X1458" s="3"/>
      <c r="Y1458" s="3">
        <v>13.127000000000001</v>
      </c>
      <c r="Z1458" s="3"/>
      <c r="AA1458" s="3"/>
      <c r="AB1458" s="3">
        <v>19.058</v>
      </c>
      <c r="AC1458" s="3"/>
      <c r="AD1458" s="3"/>
      <c r="AE1458" t="s">
        <v>6467</v>
      </c>
      <c r="AF1458" t="s">
        <v>1453</v>
      </c>
    </row>
    <row r="1459" spans="1:32" ht="28.8" x14ac:dyDescent="0.3">
      <c r="A1459" t="s">
        <v>1826</v>
      </c>
      <c r="B1459" s="1" t="s">
        <v>1205</v>
      </c>
      <c r="C1459" s="5" t="s">
        <v>3524</v>
      </c>
      <c r="D1459" s="2" t="s">
        <v>5042</v>
      </c>
      <c r="E1459" s="1" t="s">
        <v>1812</v>
      </c>
      <c r="F1459" s="3"/>
      <c r="G1459" s="3"/>
      <c r="H1459" s="3"/>
      <c r="I1459" s="3"/>
      <c r="J1459" s="3"/>
      <c r="K1459" s="3"/>
      <c r="L1459" s="3"/>
      <c r="M1459" s="3"/>
      <c r="N1459" s="3"/>
      <c r="O1459" s="3"/>
      <c r="P1459" s="3"/>
      <c r="Q1459" s="3"/>
      <c r="R1459" s="3">
        <v>23.347999999999999</v>
      </c>
      <c r="S1459" s="3">
        <v>6.1779999999999999</v>
      </c>
      <c r="T1459" s="3"/>
      <c r="U1459" s="3"/>
      <c r="V1459" s="3">
        <v>7.1639999999999997</v>
      </c>
      <c r="W1459" s="3">
        <v>9.2970000000000006</v>
      </c>
      <c r="X1459" s="3"/>
      <c r="Y1459" s="3">
        <v>4.5579999999999998</v>
      </c>
      <c r="Z1459" s="3"/>
      <c r="AA1459" s="3"/>
      <c r="AB1459" s="3">
        <v>6.2969999999999997</v>
      </c>
      <c r="AC1459" s="3"/>
      <c r="AD1459" s="3"/>
      <c r="AE1459" t="s">
        <v>6467</v>
      </c>
      <c r="AF1459" t="s">
        <v>1453</v>
      </c>
    </row>
    <row r="1460" spans="1:32" x14ac:dyDescent="0.3">
      <c r="A1460" t="s">
        <v>1826</v>
      </c>
      <c r="B1460" s="1" t="s">
        <v>1205</v>
      </c>
      <c r="C1460" s="5" t="s">
        <v>3525</v>
      </c>
      <c r="D1460" s="2" t="s">
        <v>5043</v>
      </c>
      <c r="E1460" s="1" t="s">
        <v>804</v>
      </c>
      <c r="F1460" s="3"/>
      <c r="G1460" s="3"/>
      <c r="H1460" s="3"/>
      <c r="I1460" s="3"/>
      <c r="J1460" s="3"/>
      <c r="K1460" s="3"/>
      <c r="L1460" s="3"/>
      <c r="M1460" s="3"/>
      <c r="N1460" s="3"/>
      <c r="O1460" s="3"/>
      <c r="P1460" s="3"/>
      <c r="Q1460" s="3"/>
      <c r="R1460" s="3">
        <v>7.5069999999999997</v>
      </c>
      <c r="S1460" s="3">
        <v>5.4139999999999997</v>
      </c>
      <c r="T1460" s="3"/>
      <c r="U1460" s="3"/>
      <c r="V1460" s="3">
        <v>3.3119999999999998</v>
      </c>
      <c r="W1460" s="3">
        <v>2.2389999999999999</v>
      </c>
      <c r="X1460" s="3"/>
      <c r="Y1460" s="3">
        <v>4.149</v>
      </c>
      <c r="Z1460" s="3"/>
      <c r="AA1460" s="3"/>
      <c r="AB1460" s="3">
        <v>2.2280000000000002</v>
      </c>
      <c r="AC1460" s="3"/>
      <c r="AD1460" s="3"/>
      <c r="AE1460" t="s">
        <v>6468</v>
      </c>
      <c r="AF1460" t="s">
        <v>1453</v>
      </c>
    </row>
    <row r="1461" spans="1:32" ht="28.8" x14ac:dyDescent="0.3">
      <c r="A1461" t="s">
        <v>1826</v>
      </c>
      <c r="B1461" s="1" t="s">
        <v>1205</v>
      </c>
      <c r="C1461" s="5" t="s">
        <v>3526</v>
      </c>
      <c r="D1461" s="2" t="s">
        <v>5044</v>
      </c>
      <c r="E1461" s="1" t="s">
        <v>1334</v>
      </c>
      <c r="F1461" s="3"/>
      <c r="G1461" s="3"/>
      <c r="H1461" s="3"/>
      <c r="I1461" s="3"/>
      <c r="J1461" s="3"/>
      <c r="K1461" s="3"/>
      <c r="L1461" s="3"/>
      <c r="M1461" s="3"/>
      <c r="N1461" s="3"/>
      <c r="O1461" s="3"/>
      <c r="P1461" s="3"/>
      <c r="Q1461" s="3"/>
      <c r="R1461" s="3">
        <v>8.66</v>
      </c>
      <c r="S1461" s="3">
        <v>8.125</v>
      </c>
      <c r="T1461" s="3"/>
      <c r="U1461" s="3"/>
      <c r="V1461" s="3">
        <v>5.53</v>
      </c>
      <c r="W1461" s="3">
        <v>3.7389999999999999</v>
      </c>
      <c r="X1461" s="3"/>
      <c r="Y1461" s="3">
        <v>7.18</v>
      </c>
      <c r="Z1461" s="3"/>
      <c r="AA1461" s="3"/>
      <c r="AB1461" s="3">
        <v>2.778</v>
      </c>
      <c r="AC1461" s="3"/>
      <c r="AD1461" s="3"/>
      <c r="AE1461" t="s">
        <v>6468</v>
      </c>
      <c r="AF1461" t="s">
        <v>1453</v>
      </c>
    </row>
    <row r="1462" spans="1:32" x14ac:dyDescent="0.3">
      <c r="A1462" t="s">
        <v>1826</v>
      </c>
      <c r="B1462" s="1" t="s">
        <v>1205</v>
      </c>
      <c r="C1462" s="5" t="s">
        <v>3527</v>
      </c>
      <c r="D1462" s="2" t="s">
        <v>5045</v>
      </c>
      <c r="E1462" s="1" t="s">
        <v>1524</v>
      </c>
      <c r="F1462" s="3"/>
      <c r="G1462" s="3"/>
      <c r="H1462" s="3"/>
      <c r="I1462" s="3"/>
      <c r="J1462" s="3"/>
      <c r="K1462" s="3"/>
      <c r="L1462" s="3"/>
      <c r="M1462" s="3"/>
      <c r="N1462" s="3"/>
      <c r="O1462" s="3"/>
      <c r="P1462" s="3"/>
      <c r="Q1462" s="3"/>
      <c r="R1462" s="3">
        <v>6.6280000000000001</v>
      </c>
      <c r="S1462" s="3">
        <v>3.984</v>
      </c>
      <c r="T1462" s="3"/>
      <c r="U1462" s="3"/>
      <c r="V1462" s="3">
        <v>2.262</v>
      </c>
      <c r="W1462" s="3">
        <v>1.2769999999999999</v>
      </c>
      <c r="X1462" s="3"/>
      <c r="Y1462" s="3">
        <v>2.6760000000000002</v>
      </c>
      <c r="Z1462" s="3"/>
      <c r="AA1462" s="3"/>
      <c r="AB1462" s="3">
        <v>1.84</v>
      </c>
      <c r="AC1462" s="3"/>
      <c r="AD1462" s="3"/>
      <c r="AE1462" t="s">
        <v>6468</v>
      </c>
      <c r="AF1462" t="s">
        <v>1453</v>
      </c>
    </row>
    <row r="1463" spans="1:32" ht="28.8" x14ac:dyDescent="0.3">
      <c r="A1463" t="s">
        <v>1826</v>
      </c>
      <c r="B1463" s="1" t="s">
        <v>1205</v>
      </c>
      <c r="C1463" s="5" t="s">
        <v>3528</v>
      </c>
      <c r="D1463" s="2" t="s">
        <v>5046</v>
      </c>
      <c r="E1463" s="1" t="s">
        <v>366</v>
      </c>
      <c r="F1463" s="3"/>
      <c r="G1463" s="3"/>
      <c r="H1463" s="3"/>
      <c r="I1463" s="3"/>
      <c r="J1463" s="3"/>
      <c r="K1463" s="3"/>
      <c r="L1463" s="3"/>
      <c r="M1463" s="3"/>
      <c r="N1463" s="3"/>
      <c r="O1463" s="3"/>
      <c r="P1463" s="3"/>
      <c r="Q1463" s="3"/>
      <c r="R1463" s="3">
        <v>17.861000000000001</v>
      </c>
      <c r="S1463" s="3">
        <v>12.159000000000001</v>
      </c>
      <c r="T1463" s="3"/>
      <c r="U1463" s="3"/>
      <c r="V1463" s="3">
        <v>5.1459999999999999</v>
      </c>
      <c r="W1463" s="3">
        <v>6.3959999999999999</v>
      </c>
      <c r="X1463" s="3"/>
      <c r="Y1463" s="3">
        <v>5.49</v>
      </c>
      <c r="Z1463" s="3"/>
      <c r="AA1463" s="3"/>
      <c r="AB1463" s="3">
        <v>6.2519999999999998</v>
      </c>
      <c r="AC1463" s="3"/>
      <c r="AD1463" s="3"/>
      <c r="AE1463" t="s">
        <v>6469</v>
      </c>
      <c r="AF1463" t="s">
        <v>1453</v>
      </c>
    </row>
    <row r="1464" spans="1:32" ht="28.8" x14ac:dyDescent="0.3">
      <c r="A1464" t="s">
        <v>1826</v>
      </c>
      <c r="B1464" s="1" t="s">
        <v>1205</v>
      </c>
      <c r="C1464" s="5" t="s">
        <v>3529</v>
      </c>
      <c r="D1464" s="2" t="s">
        <v>5047</v>
      </c>
      <c r="E1464" s="1" t="s">
        <v>44</v>
      </c>
      <c r="F1464" s="3"/>
      <c r="G1464" s="3"/>
      <c r="H1464" s="3"/>
      <c r="I1464" s="3"/>
      <c r="J1464" s="3"/>
      <c r="K1464" s="3"/>
      <c r="L1464" s="3"/>
      <c r="M1464" s="3"/>
      <c r="N1464" s="3"/>
      <c r="O1464" s="3"/>
      <c r="P1464" s="3"/>
      <c r="Q1464" s="3"/>
      <c r="R1464" s="3">
        <v>24.802</v>
      </c>
      <c r="S1464" s="3">
        <v>19.773</v>
      </c>
      <c r="T1464" s="3"/>
      <c r="U1464" s="3"/>
      <c r="V1464" s="3">
        <v>12.585000000000001</v>
      </c>
      <c r="W1464" s="3">
        <v>8.3049999999999997</v>
      </c>
      <c r="X1464" s="3"/>
      <c r="Y1464" s="3">
        <v>9.0419999999999998</v>
      </c>
      <c r="Z1464" s="3"/>
      <c r="AA1464" s="3"/>
      <c r="AB1464" s="3">
        <v>8.6389999999999993</v>
      </c>
      <c r="AC1464" s="3"/>
      <c r="AD1464" s="3"/>
      <c r="AE1464" t="s">
        <v>6469</v>
      </c>
      <c r="AF1464" t="s">
        <v>1453</v>
      </c>
    </row>
    <row r="1465" spans="1:32" ht="28.8" x14ac:dyDescent="0.3">
      <c r="A1465" t="s">
        <v>1826</v>
      </c>
      <c r="B1465" s="1" t="s">
        <v>1205</v>
      </c>
      <c r="C1465" s="5" t="s">
        <v>3530</v>
      </c>
      <c r="D1465" s="2" t="s">
        <v>5048</v>
      </c>
      <c r="E1465" s="1" t="s">
        <v>789</v>
      </c>
      <c r="F1465" s="3"/>
      <c r="G1465" s="3"/>
      <c r="H1465" s="3"/>
      <c r="I1465" s="3"/>
      <c r="J1465" s="3"/>
      <c r="K1465" s="3"/>
      <c r="L1465" s="3"/>
      <c r="M1465" s="3"/>
      <c r="N1465" s="3"/>
      <c r="O1465" s="3"/>
      <c r="P1465" s="3"/>
      <c r="Q1465" s="3"/>
      <c r="R1465" s="3">
        <v>15</v>
      </c>
      <c r="S1465" s="3">
        <v>9.0289999999999999</v>
      </c>
      <c r="T1465" s="3"/>
      <c r="U1465" s="3"/>
      <c r="V1465" s="3">
        <v>2.4580000000000002</v>
      </c>
      <c r="W1465" s="3">
        <v>5.5279999999999996</v>
      </c>
      <c r="X1465" s="3"/>
      <c r="Y1465" s="3">
        <v>4.218</v>
      </c>
      <c r="Z1465" s="3"/>
      <c r="AA1465" s="3"/>
      <c r="AB1465" s="3">
        <v>5.2670000000000003</v>
      </c>
      <c r="AC1465" s="3"/>
      <c r="AD1465" s="3"/>
      <c r="AE1465" t="s">
        <v>6469</v>
      </c>
      <c r="AF1465" t="s">
        <v>1453</v>
      </c>
    </row>
    <row r="1466" spans="1:32" x14ac:dyDescent="0.3">
      <c r="A1466" t="s">
        <v>1826</v>
      </c>
      <c r="B1466" s="1" t="s">
        <v>1205</v>
      </c>
      <c r="C1466" s="5" t="s">
        <v>3531</v>
      </c>
      <c r="D1466" s="2" t="s">
        <v>5049</v>
      </c>
      <c r="E1466" s="1" t="s">
        <v>62</v>
      </c>
      <c r="F1466" s="3">
        <v>4.8949999999999996</v>
      </c>
      <c r="G1466" s="3">
        <v>5.2409999999999997</v>
      </c>
      <c r="H1466" s="3">
        <v>5.5439999999999996</v>
      </c>
      <c r="I1466" s="3">
        <v>5.8710000000000004</v>
      </c>
      <c r="J1466" s="3">
        <v>5.9589999999999996</v>
      </c>
      <c r="K1466" s="3">
        <v>6.0819999999999999</v>
      </c>
      <c r="L1466" s="3">
        <v>6.1040000000000001</v>
      </c>
      <c r="M1466" s="3">
        <v>6.3659999999999997</v>
      </c>
      <c r="N1466" s="3">
        <v>6.48</v>
      </c>
      <c r="O1466" s="3">
        <v>6.6749999999999998</v>
      </c>
      <c r="P1466" s="3">
        <v>6.7309999999999999</v>
      </c>
      <c r="Q1466" s="3">
        <v>7.2359999999999998</v>
      </c>
      <c r="R1466" s="3">
        <v>7.3319999999999999</v>
      </c>
      <c r="S1466" s="3">
        <v>5.1219999999999999</v>
      </c>
      <c r="T1466" s="3">
        <v>3.9940000000000002</v>
      </c>
      <c r="U1466" s="3">
        <v>3.161</v>
      </c>
      <c r="V1466" s="3">
        <v>2.3519999999999999</v>
      </c>
      <c r="W1466" s="3">
        <v>3.8479999999999999</v>
      </c>
      <c r="X1466" s="3">
        <v>3.448</v>
      </c>
      <c r="Y1466" s="3">
        <v>3.0190000000000001</v>
      </c>
      <c r="Z1466" s="3">
        <v>3.0539999999999998</v>
      </c>
      <c r="AA1466" s="3">
        <v>2.988</v>
      </c>
      <c r="AB1466" s="3">
        <v>2.5670000000000002</v>
      </c>
      <c r="AC1466" s="3">
        <v>2.528</v>
      </c>
      <c r="AD1466" s="3">
        <v>2.5960000000000001</v>
      </c>
      <c r="AE1466" t="s">
        <v>6470</v>
      </c>
      <c r="AF1466" t="s">
        <v>1784</v>
      </c>
    </row>
    <row r="1467" spans="1:32" x14ac:dyDescent="0.3">
      <c r="A1467" t="s">
        <v>1826</v>
      </c>
      <c r="B1467" s="1" t="s">
        <v>1205</v>
      </c>
      <c r="C1467" s="5" t="s">
        <v>3532</v>
      </c>
      <c r="D1467" s="2" t="s">
        <v>5050</v>
      </c>
      <c r="E1467" s="1" t="s">
        <v>1929</v>
      </c>
      <c r="F1467" s="3"/>
      <c r="G1467" s="3"/>
      <c r="H1467" s="3"/>
      <c r="I1467" s="3"/>
      <c r="J1467" s="3"/>
      <c r="K1467" s="3"/>
      <c r="L1467" s="3"/>
      <c r="M1467" s="3"/>
      <c r="N1467" s="3"/>
      <c r="O1467" s="3"/>
      <c r="P1467" s="3"/>
      <c r="Q1467" s="3"/>
      <c r="R1467" s="3">
        <v>7.3289999999999997</v>
      </c>
      <c r="S1467" s="3">
        <v>5.1079999999999997</v>
      </c>
      <c r="T1467" s="3"/>
      <c r="U1467" s="3"/>
      <c r="V1467" s="3">
        <v>2.3439999999999999</v>
      </c>
      <c r="W1467" s="3">
        <v>3.87</v>
      </c>
      <c r="X1467" s="3"/>
      <c r="Y1467" s="3">
        <v>3.0129999999999999</v>
      </c>
      <c r="Z1467" s="3"/>
      <c r="AA1467" s="3"/>
      <c r="AB1467" s="3">
        <v>2.5539999999999998</v>
      </c>
      <c r="AC1467" s="3"/>
      <c r="AD1467" s="3"/>
      <c r="AE1467" t="s">
        <v>6471</v>
      </c>
      <c r="AF1467" t="s">
        <v>277</v>
      </c>
    </row>
    <row r="1468" spans="1:32" x14ac:dyDescent="0.3">
      <c r="A1468" t="s">
        <v>1826</v>
      </c>
      <c r="B1468" s="1" t="s">
        <v>1205</v>
      </c>
      <c r="C1468" s="5" t="s">
        <v>3533</v>
      </c>
      <c r="D1468" s="2" t="s">
        <v>5051</v>
      </c>
      <c r="E1468" s="1" t="s">
        <v>256</v>
      </c>
      <c r="F1468" s="3">
        <v>4.7670000000000003</v>
      </c>
      <c r="G1468" s="3">
        <v>5.12</v>
      </c>
      <c r="H1468" s="3">
        <v>5.4269999999999996</v>
      </c>
      <c r="I1468" s="3">
        <v>5.76</v>
      </c>
      <c r="J1468" s="3">
        <v>5.8310000000000004</v>
      </c>
      <c r="K1468" s="3">
        <v>5.94</v>
      </c>
      <c r="L1468" s="3">
        <v>5.9390000000000001</v>
      </c>
      <c r="M1468" s="3">
        <v>6.2009999999999996</v>
      </c>
      <c r="N1468" s="3">
        <v>6.3010000000000002</v>
      </c>
      <c r="O1468" s="3">
        <v>6.4889999999999999</v>
      </c>
      <c r="P1468" s="3">
        <v>6.5270000000000001</v>
      </c>
      <c r="Q1468" s="3">
        <v>7.0529999999999999</v>
      </c>
      <c r="R1468" s="3">
        <v>7.1319999999999997</v>
      </c>
      <c r="S1468" s="3">
        <v>3.5579999999999998</v>
      </c>
      <c r="T1468" s="3">
        <v>2.734</v>
      </c>
      <c r="U1468" s="3">
        <v>2.1389999999999998</v>
      </c>
      <c r="V1468" s="3">
        <v>1.5609999999999999</v>
      </c>
      <c r="W1468" s="3">
        <v>2.8490000000000002</v>
      </c>
      <c r="X1468" s="3">
        <v>2.4119999999999999</v>
      </c>
      <c r="Y1468" s="3">
        <v>1.9490000000000001</v>
      </c>
      <c r="Z1468" s="3">
        <v>2.238</v>
      </c>
      <c r="AA1468" s="3">
        <v>2.363</v>
      </c>
      <c r="AB1468" s="3">
        <v>2.11</v>
      </c>
      <c r="AC1468" s="3">
        <v>2.0739999999999998</v>
      </c>
      <c r="AD1468" s="3">
        <v>2.0539999999999998</v>
      </c>
      <c r="AE1468" t="s">
        <v>6470</v>
      </c>
      <c r="AF1468" t="s">
        <v>1784</v>
      </c>
    </row>
    <row r="1469" spans="1:32" x14ac:dyDescent="0.3">
      <c r="A1469" t="s">
        <v>1826</v>
      </c>
      <c r="B1469" s="1" t="s">
        <v>1205</v>
      </c>
      <c r="C1469" s="5" t="s">
        <v>3534</v>
      </c>
      <c r="D1469" s="2" t="s">
        <v>5052</v>
      </c>
      <c r="E1469" s="1" t="s">
        <v>173</v>
      </c>
      <c r="F1469" s="3"/>
      <c r="G1469" s="3"/>
      <c r="H1469" s="3"/>
      <c r="I1469" s="3"/>
      <c r="J1469" s="3"/>
      <c r="K1469" s="3"/>
      <c r="L1469" s="3"/>
      <c r="M1469" s="3"/>
      <c r="N1469" s="3"/>
      <c r="O1469" s="3"/>
      <c r="P1469" s="3"/>
      <c r="Q1469" s="3"/>
      <c r="R1469" s="3">
        <v>7.1310000000000002</v>
      </c>
      <c r="S1469" s="3">
        <v>3.548</v>
      </c>
      <c r="T1469" s="3"/>
      <c r="U1469" s="3"/>
      <c r="V1469" s="3">
        <v>1.556</v>
      </c>
      <c r="W1469" s="3">
        <v>2.8650000000000002</v>
      </c>
      <c r="X1469" s="3"/>
      <c r="Y1469" s="3">
        <v>1.9450000000000001</v>
      </c>
      <c r="Z1469" s="3"/>
      <c r="AA1469" s="3"/>
      <c r="AB1469" s="3">
        <v>2.097</v>
      </c>
      <c r="AC1469" s="3"/>
      <c r="AD1469" s="3"/>
      <c r="AE1469" t="s">
        <v>6471</v>
      </c>
      <c r="AF1469" t="s">
        <v>46</v>
      </c>
    </row>
    <row r="1470" spans="1:32" x14ac:dyDescent="0.3">
      <c r="A1470" t="s">
        <v>1826</v>
      </c>
      <c r="B1470" s="1" t="s">
        <v>1205</v>
      </c>
      <c r="C1470" s="5" t="s">
        <v>3535</v>
      </c>
      <c r="D1470" s="2" t="s">
        <v>5053</v>
      </c>
      <c r="E1470" s="1" t="s">
        <v>1105</v>
      </c>
      <c r="F1470" s="3">
        <v>4.8159999999999998</v>
      </c>
      <c r="G1470" s="3">
        <v>5.1669999999999998</v>
      </c>
      <c r="H1470" s="3">
        <v>5.4740000000000002</v>
      </c>
      <c r="I1470" s="3">
        <v>5.8049999999999997</v>
      </c>
      <c r="J1470" s="3">
        <v>5.883</v>
      </c>
      <c r="K1470" s="3">
        <v>5.9989999999999997</v>
      </c>
      <c r="L1470" s="3">
        <v>6.0090000000000003</v>
      </c>
      <c r="M1470" s="3">
        <v>6.2720000000000002</v>
      </c>
      <c r="N1470" s="3">
        <v>6.3789999999999996</v>
      </c>
      <c r="O1470" s="3">
        <v>6.5709999999999997</v>
      </c>
      <c r="P1470" s="3">
        <v>6.6180000000000003</v>
      </c>
      <c r="Q1470" s="3">
        <v>7.1349999999999998</v>
      </c>
      <c r="R1470" s="3">
        <v>7.2229999999999999</v>
      </c>
      <c r="S1470" s="3">
        <v>4.2549999999999999</v>
      </c>
      <c r="T1470" s="3">
        <v>3.2850000000000001</v>
      </c>
      <c r="U1470" s="3">
        <v>2.5790000000000002</v>
      </c>
      <c r="V1470" s="3">
        <v>1.8959999999999999</v>
      </c>
      <c r="W1470" s="3">
        <v>3.2719999999999998</v>
      </c>
      <c r="X1470" s="3">
        <v>2.85</v>
      </c>
      <c r="Y1470" s="3">
        <v>2.4009999999999998</v>
      </c>
      <c r="Z1470" s="3">
        <v>2.5840000000000001</v>
      </c>
      <c r="AA1470" s="3">
        <v>2.63</v>
      </c>
      <c r="AB1470" s="3">
        <v>2.306</v>
      </c>
      <c r="AC1470" s="3">
        <v>2.27</v>
      </c>
      <c r="AD1470" s="3">
        <v>2.2879999999999998</v>
      </c>
      <c r="AE1470" t="s">
        <v>6470</v>
      </c>
      <c r="AF1470" t="s">
        <v>1736</v>
      </c>
    </row>
    <row r="1471" spans="1:32" x14ac:dyDescent="0.3">
      <c r="A1471" t="s">
        <v>1826</v>
      </c>
      <c r="B1471" s="1" t="s">
        <v>1205</v>
      </c>
      <c r="C1471" s="5" t="s">
        <v>3536</v>
      </c>
      <c r="D1471" s="2" t="s">
        <v>5054</v>
      </c>
      <c r="E1471" s="1" t="s">
        <v>1187</v>
      </c>
      <c r="F1471" s="3"/>
      <c r="G1471" s="3"/>
      <c r="H1471" s="3"/>
      <c r="I1471" s="3"/>
      <c r="J1471" s="3"/>
      <c r="K1471" s="3"/>
      <c r="L1471" s="3"/>
      <c r="M1471" s="3"/>
      <c r="N1471" s="3"/>
      <c r="O1471" s="3"/>
      <c r="P1471" s="3"/>
      <c r="Q1471" s="3"/>
      <c r="R1471" s="3">
        <v>7.2229999999999999</v>
      </c>
      <c r="S1471" s="3">
        <v>4.2549999999999999</v>
      </c>
      <c r="T1471" s="3"/>
      <c r="U1471" s="3"/>
      <c r="V1471" s="3">
        <v>1.8959999999999999</v>
      </c>
      <c r="W1471" s="3">
        <v>3.2730000000000001</v>
      </c>
      <c r="X1471" s="3"/>
      <c r="Y1471" s="3">
        <v>2.4009999999999998</v>
      </c>
      <c r="Z1471" s="3"/>
      <c r="AA1471" s="3"/>
      <c r="AB1471" s="3">
        <v>2.31</v>
      </c>
      <c r="AC1471" s="3"/>
      <c r="AD1471" s="3"/>
      <c r="AE1471" t="s">
        <v>6471</v>
      </c>
      <c r="AF1471" t="s">
        <v>277</v>
      </c>
    </row>
    <row r="1472" spans="1:32" ht="28.8" x14ac:dyDescent="0.3">
      <c r="A1472" t="s">
        <v>1826</v>
      </c>
      <c r="B1472" s="1" t="s">
        <v>1205</v>
      </c>
      <c r="C1472" s="5" t="s">
        <v>3537</v>
      </c>
      <c r="D1472" s="2" t="s">
        <v>5055</v>
      </c>
      <c r="E1472" s="1" t="s">
        <v>1760</v>
      </c>
      <c r="F1472" s="3">
        <v>6.1680000000000001</v>
      </c>
      <c r="G1472" s="3">
        <v>6.5679999999999996</v>
      </c>
      <c r="H1472" s="3">
        <v>6.9290000000000003</v>
      </c>
      <c r="I1472" s="3">
        <v>7.3090000000000002</v>
      </c>
      <c r="J1472" s="3">
        <v>7.4809999999999999</v>
      </c>
      <c r="K1472" s="3">
        <v>7.6820000000000004</v>
      </c>
      <c r="L1472" s="3">
        <v>7.7910000000000004</v>
      </c>
      <c r="M1472" s="3">
        <v>8.1110000000000007</v>
      </c>
      <c r="N1472" s="3">
        <v>8.298</v>
      </c>
      <c r="O1472" s="3">
        <v>8.56</v>
      </c>
      <c r="P1472" s="3">
        <v>8.7070000000000007</v>
      </c>
      <c r="Q1472" s="3">
        <v>9.2650000000000006</v>
      </c>
      <c r="R1472" s="3">
        <v>9.4700000000000006</v>
      </c>
      <c r="S1472" s="3">
        <v>7.367</v>
      </c>
      <c r="T1472" s="3">
        <v>5.7549999999999999</v>
      </c>
      <c r="U1472" s="3">
        <v>4.4039999999999999</v>
      </c>
      <c r="V1472" s="3">
        <v>3.0449999999999999</v>
      </c>
      <c r="W1472" s="3">
        <v>6.3079999999999998</v>
      </c>
      <c r="X1472" s="3">
        <v>5.6449999999999996</v>
      </c>
      <c r="Y1472" s="3">
        <v>4.9379999999999997</v>
      </c>
      <c r="Z1472" s="3">
        <v>5.7050000000000001</v>
      </c>
      <c r="AA1472" s="3">
        <v>5.4749999999999996</v>
      </c>
      <c r="AB1472" s="3">
        <v>4.7519999999999998</v>
      </c>
      <c r="AC1472" s="3">
        <v>4.7080000000000002</v>
      </c>
      <c r="AD1472" s="3">
        <v>4.4180000000000001</v>
      </c>
      <c r="AE1472" t="s">
        <v>6472</v>
      </c>
      <c r="AF1472" t="s">
        <v>900</v>
      </c>
    </row>
    <row r="1473" spans="1:32" ht="28.8" x14ac:dyDescent="0.3">
      <c r="A1473" t="s">
        <v>1826</v>
      </c>
      <c r="B1473" s="1" t="s">
        <v>1205</v>
      </c>
      <c r="C1473" s="5" t="s">
        <v>3538</v>
      </c>
      <c r="D1473" s="2" t="s">
        <v>5056</v>
      </c>
      <c r="E1473" s="1" t="s">
        <v>975</v>
      </c>
      <c r="F1473" s="3"/>
      <c r="G1473" s="3"/>
      <c r="H1473" s="3"/>
      <c r="I1473" s="3"/>
      <c r="J1473" s="3"/>
      <c r="K1473" s="3"/>
      <c r="L1473" s="3"/>
      <c r="M1473" s="3"/>
      <c r="N1473" s="3"/>
      <c r="O1473" s="3"/>
      <c r="P1473" s="3"/>
      <c r="Q1473" s="3"/>
      <c r="R1473" s="3">
        <v>9.3260000000000005</v>
      </c>
      <c r="S1473" s="3">
        <v>7.5410000000000004</v>
      </c>
      <c r="T1473" s="3"/>
      <c r="U1473" s="3"/>
      <c r="V1473" s="3">
        <v>2.9380000000000002</v>
      </c>
      <c r="W1473" s="3">
        <v>6.4880000000000004</v>
      </c>
      <c r="X1473" s="3"/>
      <c r="Y1473" s="3">
        <v>4.8559999999999999</v>
      </c>
      <c r="Z1473" s="3"/>
      <c r="AA1473" s="3"/>
      <c r="AB1473" s="3">
        <v>4.8529999999999998</v>
      </c>
      <c r="AC1473" s="3"/>
      <c r="AD1473" s="3"/>
      <c r="AE1473" t="s">
        <v>6473</v>
      </c>
      <c r="AF1473" t="s">
        <v>277</v>
      </c>
    </row>
    <row r="1474" spans="1:32" ht="28.8" x14ac:dyDescent="0.3">
      <c r="A1474" t="s">
        <v>1826</v>
      </c>
      <c r="B1474" s="1" t="s">
        <v>1205</v>
      </c>
      <c r="C1474" s="5" t="s">
        <v>3539</v>
      </c>
      <c r="D1474" s="2" t="s">
        <v>5057</v>
      </c>
      <c r="E1474" s="1" t="s">
        <v>1932</v>
      </c>
      <c r="F1474" s="3">
        <v>6.6310000000000002</v>
      </c>
      <c r="G1474" s="3">
        <v>7.0709999999999997</v>
      </c>
      <c r="H1474" s="3">
        <v>7.4669999999999996</v>
      </c>
      <c r="I1474" s="3">
        <v>7.8819999999999997</v>
      </c>
      <c r="J1474" s="3">
        <v>8.0589999999999993</v>
      </c>
      <c r="K1474" s="3">
        <v>8.2680000000000007</v>
      </c>
      <c r="L1474" s="3">
        <v>8.3719999999999999</v>
      </c>
      <c r="M1474" s="3">
        <v>8.7210000000000001</v>
      </c>
      <c r="N1474" s="3">
        <v>8.9290000000000003</v>
      </c>
      <c r="O1474" s="3">
        <v>9.24</v>
      </c>
      <c r="P1474" s="3">
        <v>9.4209999999999994</v>
      </c>
      <c r="Q1474" s="3">
        <v>10.074</v>
      </c>
      <c r="R1474" s="3">
        <v>10.319000000000001</v>
      </c>
      <c r="S1474" s="3">
        <v>5.2210000000000001</v>
      </c>
      <c r="T1474" s="3">
        <v>3.782</v>
      </c>
      <c r="U1474" s="3">
        <v>2.5390000000000001</v>
      </c>
      <c r="V1474" s="3">
        <v>1.2729999999999999</v>
      </c>
      <c r="W1474" s="3">
        <v>4.4569999999999999</v>
      </c>
      <c r="X1474" s="3">
        <v>3.9169999999999998</v>
      </c>
      <c r="Y1474" s="3">
        <v>3.355</v>
      </c>
      <c r="Z1474" s="3">
        <v>3.93</v>
      </c>
      <c r="AA1474" s="3">
        <v>4.218</v>
      </c>
      <c r="AB1474" s="3">
        <v>3.9169999999999998</v>
      </c>
      <c r="AC1474" s="3">
        <v>3.8780000000000001</v>
      </c>
      <c r="AD1474" s="3">
        <v>3.5419999999999998</v>
      </c>
      <c r="AE1474" t="s">
        <v>6472</v>
      </c>
      <c r="AF1474" t="s">
        <v>1784</v>
      </c>
    </row>
    <row r="1475" spans="1:32" ht="28.8" x14ac:dyDescent="0.3">
      <c r="A1475" t="s">
        <v>1826</v>
      </c>
      <c r="B1475" s="1" t="s">
        <v>1205</v>
      </c>
      <c r="C1475" s="5" t="s">
        <v>3540</v>
      </c>
      <c r="D1475" s="2" t="s">
        <v>5058</v>
      </c>
      <c r="E1475" s="1" t="s">
        <v>672</v>
      </c>
      <c r="F1475" s="3"/>
      <c r="G1475" s="3"/>
      <c r="H1475" s="3"/>
      <c r="I1475" s="3"/>
      <c r="J1475" s="3"/>
      <c r="K1475" s="3"/>
      <c r="L1475" s="3"/>
      <c r="M1475" s="3"/>
      <c r="N1475" s="3"/>
      <c r="O1475" s="3"/>
      <c r="P1475" s="3"/>
      <c r="Q1475" s="3"/>
      <c r="R1475" s="3">
        <v>10.217000000000001</v>
      </c>
      <c r="S1475" s="3">
        <v>5.3719999999999999</v>
      </c>
      <c r="T1475" s="3"/>
      <c r="U1475" s="3"/>
      <c r="V1475" s="3">
        <v>1.2110000000000001</v>
      </c>
      <c r="W1475" s="3">
        <v>4.6719999999999997</v>
      </c>
      <c r="X1475" s="3"/>
      <c r="Y1475" s="3">
        <v>3.371</v>
      </c>
      <c r="Z1475" s="3"/>
      <c r="AA1475" s="3"/>
      <c r="AB1475" s="3">
        <v>3.984</v>
      </c>
      <c r="AC1475" s="3"/>
      <c r="AD1475" s="3"/>
      <c r="AE1475" t="s">
        <v>6473</v>
      </c>
      <c r="AF1475" t="s">
        <v>277</v>
      </c>
    </row>
    <row r="1476" spans="1:32" ht="28.8" x14ac:dyDescent="0.3">
      <c r="A1476" t="s">
        <v>1826</v>
      </c>
      <c r="B1476" s="1" t="s">
        <v>1205</v>
      </c>
      <c r="C1476" s="5" t="s">
        <v>3541</v>
      </c>
      <c r="D1476" s="2" t="s">
        <v>5059</v>
      </c>
      <c r="E1476" s="1" t="s">
        <v>936</v>
      </c>
      <c r="F1476" s="3">
        <v>6.44</v>
      </c>
      <c r="G1476" s="3">
        <v>6.86</v>
      </c>
      <c r="H1476" s="3">
        <v>7.2380000000000004</v>
      </c>
      <c r="I1476" s="3">
        <v>7.6349999999999998</v>
      </c>
      <c r="J1476" s="3">
        <v>7.806</v>
      </c>
      <c r="K1476" s="3">
        <v>8.0079999999999991</v>
      </c>
      <c r="L1476" s="3">
        <v>8.11</v>
      </c>
      <c r="M1476" s="3">
        <v>8.4410000000000007</v>
      </c>
      <c r="N1476" s="3">
        <v>8.6349999999999998</v>
      </c>
      <c r="O1476" s="3">
        <v>8.9169999999999998</v>
      </c>
      <c r="P1476" s="3">
        <v>9.0739999999999998</v>
      </c>
      <c r="Q1476" s="3">
        <v>9.673</v>
      </c>
      <c r="R1476" s="3">
        <v>9.891</v>
      </c>
      <c r="S1476" s="3">
        <v>6.27</v>
      </c>
      <c r="T1476" s="3">
        <v>4.7119999999999997</v>
      </c>
      <c r="U1476" s="3">
        <v>3.3820000000000001</v>
      </c>
      <c r="V1476" s="3">
        <v>2.04</v>
      </c>
      <c r="W1476" s="3">
        <v>5.2569999999999997</v>
      </c>
      <c r="X1476" s="3">
        <v>4.665</v>
      </c>
      <c r="Y1476" s="3">
        <v>4.0430000000000001</v>
      </c>
      <c r="Z1476" s="3">
        <v>4.6980000000000004</v>
      </c>
      <c r="AA1476" s="3">
        <v>4.7629999999999999</v>
      </c>
      <c r="AB1476" s="3">
        <v>4.2779999999999996</v>
      </c>
      <c r="AC1476" s="3">
        <v>4.2380000000000004</v>
      </c>
      <c r="AD1476" s="3">
        <v>3.923</v>
      </c>
      <c r="AE1476" t="s">
        <v>6472</v>
      </c>
      <c r="AF1476" t="s">
        <v>1784</v>
      </c>
    </row>
    <row r="1477" spans="1:32" ht="28.8" x14ac:dyDescent="0.3">
      <c r="A1477" t="s">
        <v>1826</v>
      </c>
      <c r="B1477" s="1" t="s">
        <v>1205</v>
      </c>
      <c r="C1477" s="5" t="s">
        <v>3542</v>
      </c>
      <c r="D1477" s="2" t="s">
        <v>5060</v>
      </c>
      <c r="E1477" s="1" t="s">
        <v>1392</v>
      </c>
      <c r="F1477" s="3"/>
      <c r="G1477" s="3"/>
      <c r="H1477" s="3"/>
      <c r="I1477" s="3"/>
      <c r="J1477" s="3"/>
      <c r="K1477" s="3"/>
      <c r="L1477" s="3"/>
      <c r="M1477" s="3"/>
      <c r="N1477" s="3"/>
      <c r="O1477" s="3"/>
      <c r="P1477" s="3"/>
      <c r="Q1477" s="3"/>
      <c r="R1477" s="3">
        <v>9.7469999999999999</v>
      </c>
      <c r="S1477" s="3">
        <v>6.4980000000000002</v>
      </c>
      <c r="T1477" s="3"/>
      <c r="U1477" s="3"/>
      <c r="V1477" s="3">
        <v>2.048</v>
      </c>
      <c r="W1477" s="3">
        <v>5.52</v>
      </c>
      <c r="X1477" s="3"/>
      <c r="Y1477" s="3">
        <v>4.0659999999999998</v>
      </c>
      <c r="Z1477" s="3"/>
      <c r="AA1477" s="3"/>
      <c r="AB1477" s="3">
        <v>4.3860000000000001</v>
      </c>
      <c r="AC1477" s="3"/>
      <c r="AD1477" s="3"/>
      <c r="AE1477" t="s">
        <v>6473</v>
      </c>
      <c r="AF1477" t="s">
        <v>277</v>
      </c>
    </row>
    <row r="1478" spans="1:32" x14ac:dyDescent="0.3">
      <c r="A1478" t="s">
        <v>1826</v>
      </c>
      <c r="B1478" s="1" t="s">
        <v>1205</v>
      </c>
      <c r="C1478" s="5" t="s">
        <v>3543</v>
      </c>
      <c r="D1478" s="2" t="s">
        <v>5061</v>
      </c>
      <c r="E1478" s="1" t="s">
        <v>894</v>
      </c>
      <c r="F1478" s="3"/>
      <c r="G1478" s="3"/>
      <c r="H1478" s="3"/>
      <c r="I1478" s="3"/>
      <c r="J1478" s="3"/>
      <c r="K1478" s="3"/>
      <c r="L1478" s="3"/>
      <c r="M1478" s="3"/>
      <c r="N1478" s="3"/>
      <c r="O1478" s="3"/>
      <c r="P1478" s="3"/>
      <c r="Q1478" s="3"/>
      <c r="R1478" s="3">
        <v>27.1</v>
      </c>
      <c r="S1478" s="3"/>
      <c r="T1478" s="3"/>
      <c r="U1478" s="3"/>
      <c r="V1478" s="3">
        <v>30.5</v>
      </c>
      <c r="W1478" s="3">
        <v>32.281585689731401</v>
      </c>
      <c r="X1478" s="3">
        <v>25.455221643058898</v>
      </c>
      <c r="Y1478" s="3"/>
      <c r="Z1478" s="3">
        <v>26.293113121490801</v>
      </c>
      <c r="AA1478" s="3">
        <v>22.3</v>
      </c>
      <c r="AB1478" s="3">
        <v>22.359187209816099</v>
      </c>
      <c r="AC1478" s="3"/>
      <c r="AD1478" s="3"/>
      <c r="AE1478" t="s">
        <v>6474</v>
      </c>
      <c r="AF1478" t="s">
        <v>1768</v>
      </c>
    </row>
    <row r="1479" spans="1:32" x14ac:dyDescent="0.3">
      <c r="A1479" t="s">
        <v>1826</v>
      </c>
      <c r="B1479" s="1" t="s">
        <v>1205</v>
      </c>
      <c r="C1479" s="5" t="s">
        <v>3544</v>
      </c>
      <c r="D1479" s="2" t="s">
        <v>5062</v>
      </c>
      <c r="E1479" s="1" t="s">
        <v>218</v>
      </c>
      <c r="F1479" s="3">
        <v>2333.2620025317001</v>
      </c>
      <c r="G1479" s="3"/>
      <c r="H1479" s="3"/>
      <c r="I1479" s="3"/>
      <c r="J1479" s="3"/>
      <c r="K1479" s="3"/>
      <c r="L1479" s="3"/>
      <c r="M1479" s="3"/>
      <c r="N1479" s="3"/>
      <c r="O1479" s="3"/>
      <c r="P1479" s="3"/>
      <c r="Q1479" s="3"/>
      <c r="R1479" s="3"/>
      <c r="S1479" s="3"/>
      <c r="T1479" s="3"/>
      <c r="U1479" s="3">
        <v>2981.9568951998999</v>
      </c>
      <c r="V1479" s="3"/>
      <c r="W1479" s="3"/>
      <c r="X1479" s="3"/>
      <c r="Y1479" s="3"/>
      <c r="Z1479" s="3"/>
      <c r="AA1479" s="3"/>
      <c r="AB1479" s="3"/>
      <c r="AC1479" s="3"/>
      <c r="AD1479" s="3"/>
      <c r="AE1479" t="s">
        <v>6475</v>
      </c>
      <c r="AF1479" t="s">
        <v>206</v>
      </c>
    </row>
    <row r="1480" spans="1:32" x14ac:dyDescent="0.3">
      <c r="A1480" t="s">
        <v>1826</v>
      </c>
      <c r="B1480" s="1" t="s">
        <v>1205</v>
      </c>
      <c r="C1480" s="5" t="s">
        <v>3545</v>
      </c>
      <c r="D1480" s="2" t="s">
        <v>5063</v>
      </c>
      <c r="E1480" s="1" t="s">
        <v>1323</v>
      </c>
      <c r="F1480" s="3">
        <v>3.1213266888198001E-2</v>
      </c>
      <c r="G1480" s="3"/>
      <c r="H1480" s="3"/>
      <c r="I1480" s="3"/>
      <c r="J1480" s="3"/>
      <c r="K1480" s="3"/>
      <c r="L1480" s="3"/>
      <c r="M1480" s="3"/>
      <c r="N1480" s="3"/>
      <c r="O1480" s="3"/>
      <c r="P1480" s="3"/>
      <c r="Q1480" s="3"/>
      <c r="R1480" s="3"/>
      <c r="S1480" s="3"/>
      <c r="T1480" s="3"/>
      <c r="U1480" s="3">
        <v>3.5111923307725702E-2</v>
      </c>
      <c r="V1480" s="3"/>
      <c r="W1480" s="3"/>
      <c r="X1480" s="3"/>
      <c r="Y1480" s="3"/>
      <c r="Z1480" s="3"/>
      <c r="AA1480" s="3"/>
      <c r="AB1480" s="3"/>
      <c r="AC1480" s="3"/>
      <c r="AD1480" s="3"/>
      <c r="AE1480" t="s">
        <v>6476</v>
      </c>
      <c r="AF1480" t="s">
        <v>289</v>
      </c>
    </row>
    <row r="1481" spans="1:32" x14ac:dyDescent="0.3">
      <c r="A1481" t="s">
        <v>1826</v>
      </c>
      <c r="B1481" s="1" t="s">
        <v>1205</v>
      </c>
      <c r="C1481" s="5" t="s">
        <v>3546</v>
      </c>
      <c r="D1481" s="2" t="s">
        <v>5064</v>
      </c>
      <c r="E1481" s="1" t="s">
        <v>438</v>
      </c>
      <c r="F1481" s="3">
        <v>100.1963309307</v>
      </c>
      <c r="G1481" s="3"/>
      <c r="H1481" s="3"/>
      <c r="I1481" s="3"/>
      <c r="J1481" s="3"/>
      <c r="K1481" s="3"/>
      <c r="L1481" s="3"/>
      <c r="M1481" s="3"/>
      <c r="N1481" s="3"/>
      <c r="O1481" s="3"/>
      <c r="P1481" s="3"/>
      <c r="Q1481" s="3"/>
      <c r="R1481" s="3"/>
      <c r="S1481" s="3"/>
      <c r="T1481" s="3"/>
      <c r="U1481" s="3">
        <v>112.71123589699999</v>
      </c>
      <c r="V1481" s="3"/>
      <c r="W1481" s="3"/>
      <c r="X1481" s="3"/>
      <c r="Y1481" s="3"/>
      <c r="Z1481" s="3"/>
      <c r="AA1481" s="3"/>
      <c r="AB1481" s="3"/>
      <c r="AC1481" s="3"/>
      <c r="AD1481" s="3"/>
      <c r="AE1481" t="s">
        <v>6477</v>
      </c>
      <c r="AF1481" t="s">
        <v>289</v>
      </c>
    </row>
    <row r="1482" spans="1:32" x14ac:dyDescent="0.3">
      <c r="A1482" t="s">
        <v>1826</v>
      </c>
      <c r="B1482" s="1" t="s">
        <v>1205</v>
      </c>
      <c r="C1482" s="5" t="s">
        <v>3547</v>
      </c>
      <c r="D1482" s="2" t="s">
        <v>5065</v>
      </c>
      <c r="E1482" s="1" t="s">
        <v>727</v>
      </c>
      <c r="F1482" s="3">
        <v>7638005</v>
      </c>
      <c r="G1482" s="3">
        <v>7920189</v>
      </c>
      <c r="H1482" s="3">
        <v>8204928</v>
      </c>
      <c r="I1482" s="3">
        <v>8491549</v>
      </c>
      <c r="J1482" s="3">
        <v>8781891</v>
      </c>
      <c r="K1482" s="3">
        <v>9077766</v>
      </c>
      <c r="L1482" s="3">
        <v>9380026</v>
      </c>
      <c r="M1482" s="3">
        <v>9688988</v>
      </c>
      <c r="N1482" s="3">
        <v>10002278</v>
      </c>
      <c r="O1482" s="3">
        <v>10319234</v>
      </c>
      <c r="P1482" s="3">
        <v>10643601</v>
      </c>
      <c r="Q1482" s="3">
        <v>10974135</v>
      </c>
      <c r="R1482" s="3">
        <v>11304561</v>
      </c>
      <c r="S1482" s="3">
        <v>11633055</v>
      </c>
      <c r="T1482" s="3">
        <v>12021857</v>
      </c>
      <c r="U1482" s="3">
        <v>12482801</v>
      </c>
      <c r="V1482" s="3">
        <v>12963775</v>
      </c>
      <c r="W1482" s="3">
        <v>13453837</v>
      </c>
      <c r="X1482" s="3">
        <v>13946032</v>
      </c>
      <c r="Y1482" s="3">
        <v>14445816</v>
      </c>
      <c r="Z1482" s="3">
        <v>14951022</v>
      </c>
      <c r="AA1482" s="3">
        <v>15466014</v>
      </c>
      <c r="AB1482" s="3">
        <v>16006312</v>
      </c>
      <c r="AC1482" s="3">
        <v>16564233</v>
      </c>
      <c r="AD1482" s="3">
        <v>17130798</v>
      </c>
      <c r="AE1482" t="s">
        <v>6478</v>
      </c>
      <c r="AF1482" t="s">
        <v>365</v>
      </c>
    </row>
    <row r="1483" spans="1:32" x14ac:dyDescent="0.3">
      <c r="A1483" t="s">
        <v>1826</v>
      </c>
      <c r="B1483" s="1" t="s">
        <v>1205</v>
      </c>
      <c r="C1483" s="5" t="s">
        <v>3548</v>
      </c>
      <c r="D1483" s="2" t="s">
        <v>5066</v>
      </c>
      <c r="E1483" s="1" t="s">
        <v>1270</v>
      </c>
      <c r="F1483" s="3">
        <v>43.155000000000001</v>
      </c>
      <c r="G1483" s="3">
        <v>43.567999999999998</v>
      </c>
      <c r="H1483" s="3">
        <v>43.982999999999997</v>
      </c>
      <c r="I1483" s="3">
        <v>44.399000000000001</v>
      </c>
      <c r="J1483" s="3">
        <v>44.817</v>
      </c>
      <c r="K1483" s="3">
        <v>45.234000000000002</v>
      </c>
      <c r="L1483" s="3">
        <v>45.652000000000001</v>
      </c>
      <c r="M1483" s="3">
        <v>46.070999999999998</v>
      </c>
      <c r="N1483" s="3">
        <v>46.491</v>
      </c>
      <c r="O1483" s="3">
        <v>46.91</v>
      </c>
      <c r="P1483" s="3">
        <v>47.33</v>
      </c>
      <c r="Q1483" s="3">
        <v>47.750999999999998</v>
      </c>
      <c r="R1483" s="3">
        <v>48.171999999999997</v>
      </c>
      <c r="S1483" s="3">
        <v>48.593000000000004</v>
      </c>
      <c r="T1483" s="3">
        <v>49.014000000000003</v>
      </c>
      <c r="U1483" s="3">
        <v>49.444000000000003</v>
      </c>
      <c r="V1483" s="3">
        <v>49.881</v>
      </c>
      <c r="W1483" s="3">
        <v>50.326000000000001</v>
      </c>
      <c r="X1483" s="3">
        <v>50.779000000000003</v>
      </c>
      <c r="Y1483" s="3">
        <v>51.238999999999997</v>
      </c>
      <c r="Z1483" s="3">
        <v>51.706000000000003</v>
      </c>
      <c r="AA1483" s="3">
        <v>52.18</v>
      </c>
      <c r="AB1483" s="3">
        <v>52.661000000000001</v>
      </c>
      <c r="AC1483" s="3">
        <v>53.149000000000001</v>
      </c>
      <c r="AD1483" s="3">
        <v>53.643999999999998</v>
      </c>
      <c r="AE1483" t="s">
        <v>6479</v>
      </c>
      <c r="AF1483" t="s">
        <v>1130</v>
      </c>
    </row>
    <row r="1484" spans="1:32" x14ac:dyDescent="0.3">
      <c r="A1484" t="s">
        <v>1826</v>
      </c>
      <c r="B1484" s="1" t="s">
        <v>1205</v>
      </c>
      <c r="C1484" s="5" t="s">
        <v>3549</v>
      </c>
      <c r="D1484" s="2" t="s">
        <v>5067</v>
      </c>
      <c r="E1484" s="1" t="s">
        <v>1041</v>
      </c>
      <c r="F1484" s="3">
        <v>3.7312543972401726</v>
      </c>
      <c r="G1484" s="3">
        <v>3.6278625753227183</v>
      </c>
      <c r="H1484" s="3">
        <v>3.5319880188474837</v>
      </c>
      <c r="I1484" s="3">
        <v>3.433648425595575</v>
      </c>
      <c r="J1484" s="3">
        <v>3.3620326688793023</v>
      </c>
      <c r="K1484" s="3">
        <v>3.3136366788085798</v>
      </c>
      <c r="L1484" s="3">
        <v>3.2754407770026859</v>
      </c>
      <c r="M1484" s="3">
        <v>3.2407448014890865</v>
      </c>
      <c r="N1484" s="3">
        <v>3.1822884167372232</v>
      </c>
      <c r="O1484" s="3">
        <v>3.1196665440852511</v>
      </c>
      <c r="P1484" s="3">
        <v>3.0949334012857119</v>
      </c>
      <c r="Q1484" s="3">
        <v>3.0582273860106781</v>
      </c>
      <c r="R1484" s="3">
        <v>2.9665132235500056</v>
      </c>
      <c r="S1484" s="3">
        <v>2.8644342151737998</v>
      </c>
      <c r="T1484" s="3">
        <v>3.2875794934181681</v>
      </c>
      <c r="U1484" s="3">
        <v>3.7625367174356779</v>
      </c>
      <c r="V1484" s="3">
        <v>3.7807152513133158</v>
      </c>
      <c r="W1484" s="3">
        <v>3.7105414799703196</v>
      </c>
      <c r="X1484" s="3">
        <v>3.5930679186941643</v>
      </c>
      <c r="Y1484" s="3">
        <v>3.5209799096749572</v>
      </c>
      <c r="Z1484" s="3">
        <v>3.4374836246502394</v>
      </c>
      <c r="AA1484" s="3">
        <v>3.3865312693677443</v>
      </c>
      <c r="AB1484" s="3">
        <v>3.4338173047250073</v>
      </c>
      <c r="AC1484" s="3">
        <v>3.4262587789838324</v>
      </c>
      <c r="AD1484" s="3">
        <v>3.3632163954734153</v>
      </c>
      <c r="AE1484" t="s">
        <v>6480</v>
      </c>
      <c r="AF1484" t="s">
        <v>922</v>
      </c>
    </row>
    <row r="1485" spans="1:32" ht="28.8" x14ac:dyDescent="0.3">
      <c r="A1485" t="s">
        <v>1826</v>
      </c>
      <c r="B1485" s="1" t="s">
        <v>1205</v>
      </c>
      <c r="C1485" s="5" t="s">
        <v>3550</v>
      </c>
      <c r="D1485" s="2" t="s">
        <v>5068</v>
      </c>
      <c r="E1485" s="1" t="s">
        <v>1287</v>
      </c>
      <c r="F1485" s="3">
        <v>2.7076142784924202</v>
      </c>
      <c r="G1485" s="3"/>
      <c r="H1485" s="3"/>
      <c r="I1485" s="3"/>
      <c r="J1485" s="3"/>
      <c r="K1485" s="3"/>
      <c r="L1485" s="3"/>
      <c r="M1485" s="3"/>
      <c r="N1485" s="3"/>
      <c r="O1485" s="3"/>
      <c r="P1485" s="3"/>
      <c r="Q1485" s="3"/>
      <c r="R1485" s="3"/>
      <c r="S1485" s="3"/>
      <c r="T1485" s="3"/>
      <c r="U1485" s="3">
        <v>2.7197965045079102</v>
      </c>
      <c r="V1485" s="3"/>
      <c r="W1485" s="3"/>
      <c r="X1485" s="3"/>
      <c r="Y1485" s="3"/>
      <c r="Z1485" s="3"/>
      <c r="AA1485" s="3"/>
      <c r="AB1485" s="3"/>
      <c r="AC1485" s="3"/>
      <c r="AD1485" s="3"/>
      <c r="AE1485" t="s">
        <v>6481</v>
      </c>
      <c r="AF1485" t="s">
        <v>1452</v>
      </c>
    </row>
    <row r="1486" spans="1:32" x14ac:dyDescent="0.3">
      <c r="A1486" t="s">
        <v>1826</v>
      </c>
      <c r="B1486" s="1" t="s">
        <v>1205</v>
      </c>
      <c r="C1486" s="5" t="s">
        <v>3551</v>
      </c>
      <c r="D1486" s="2" t="s">
        <v>5069</v>
      </c>
      <c r="E1486" s="1" t="s">
        <v>305</v>
      </c>
      <c r="F1486" s="3">
        <v>598611576.20000005</v>
      </c>
      <c r="G1486" s="3">
        <v>511536865.69999999</v>
      </c>
      <c r="H1486" s="3">
        <v>542288056.70000005</v>
      </c>
      <c r="I1486" s="3">
        <v>481229898.60000002</v>
      </c>
      <c r="J1486" s="3">
        <v>370136638.39999998</v>
      </c>
      <c r="K1486" s="3">
        <v>252467682.09999999</v>
      </c>
      <c r="L1486" s="3">
        <v>206970838.80000001</v>
      </c>
      <c r="M1486" s="3">
        <v>233244900</v>
      </c>
      <c r="N1486" s="3">
        <v>246606468.69999999</v>
      </c>
      <c r="O1486" s="3">
        <v>839175295.39999998</v>
      </c>
      <c r="P1486" s="3">
        <v>861428341</v>
      </c>
      <c r="Q1486" s="3">
        <v>1090425757</v>
      </c>
      <c r="R1486" s="3">
        <v>1265163491.4000001</v>
      </c>
      <c r="S1486" s="3">
        <v>1417940614.5999999</v>
      </c>
      <c r="T1486" s="3">
        <v>1492154720.8</v>
      </c>
      <c r="U1486" s="3">
        <v>1508308147.7</v>
      </c>
      <c r="V1486" s="3">
        <v>1494849865.0999999</v>
      </c>
      <c r="W1486" s="3">
        <v>1737919425.3</v>
      </c>
      <c r="X1486" s="3">
        <v>1814028914.5999999</v>
      </c>
      <c r="Y1486" s="3">
        <v>1914817944.0999999</v>
      </c>
      <c r="Z1486" s="3">
        <v>3047380511.8000002</v>
      </c>
      <c r="AA1486" s="3">
        <v>3647029432</v>
      </c>
      <c r="AB1486" s="3">
        <v>3303123623.4000001</v>
      </c>
      <c r="AC1486" s="3">
        <v>4002292913.1999998</v>
      </c>
      <c r="AD1486" s="3"/>
      <c r="AE1486" t="s">
        <v>6482</v>
      </c>
      <c r="AF1486" t="s">
        <v>1429</v>
      </c>
    </row>
    <row r="1487" spans="1:32" x14ac:dyDescent="0.3">
      <c r="A1487" t="s">
        <v>1826</v>
      </c>
      <c r="B1487" s="1" t="s">
        <v>1205</v>
      </c>
      <c r="C1487" s="5" t="s">
        <v>3552</v>
      </c>
      <c r="D1487" s="2" t="s">
        <v>5070</v>
      </c>
      <c r="E1487" s="1" t="s">
        <v>255</v>
      </c>
      <c r="F1487" s="3">
        <v>1</v>
      </c>
      <c r="G1487" s="3"/>
      <c r="H1487" s="3"/>
      <c r="I1487" s="3"/>
      <c r="J1487" s="3">
        <v>4</v>
      </c>
      <c r="K1487" s="3">
        <v>1.3</v>
      </c>
      <c r="L1487" s="3">
        <v>3</v>
      </c>
      <c r="M1487" s="3"/>
      <c r="N1487" s="3"/>
      <c r="O1487" s="3"/>
      <c r="P1487" s="3"/>
      <c r="Q1487" s="3"/>
      <c r="R1487" s="3">
        <v>37.200000000000003</v>
      </c>
      <c r="S1487" s="3"/>
      <c r="T1487" s="3"/>
      <c r="U1487" s="3"/>
      <c r="V1487" s="3">
        <v>59.7</v>
      </c>
      <c r="W1487" s="3"/>
      <c r="X1487" s="3"/>
      <c r="Y1487" s="3"/>
      <c r="Z1487" s="3"/>
      <c r="AA1487" s="3"/>
      <c r="AB1487" s="3"/>
      <c r="AC1487" s="3"/>
      <c r="AD1487" s="3"/>
      <c r="AE1487" t="s">
        <v>6483</v>
      </c>
      <c r="AF1487" t="s">
        <v>1309</v>
      </c>
    </row>
    <row r="1488" spans="1:32" x14ac:dyDescent="0.3">
      <c r="A1488" t="s">
        <v>1826</v>
      </c>
      <c r="B1488" s="1" t="s">
        <v>1205</v>
      </c>
      <c r="C1488" s="5" t="s">
        <v>3553</v>
      </c>
      <c r="D1488" s="2" t="s">
        <v>5071</v>
      </c>
      <c r="E1488" s="1" t="s">
        <v>165</v>
      </c>
      <c r="F1488" s="3"/>
      <c r="G1488" s="3"/>
      <c r="H1488" s="3"/>
      <c r="I1488" s="3"/>
      <c r="J1488" s="3"/>
      <c r="K1488" s="3"/>
      <c r="L1488" s="3"/>
      <c r="M1488" s="3"/>
      <c r="N1488" s="3"/>
      <c r="O1488" s="3">
        <v>0</v>
      </c>
      <c r="P1488" s="3"/>
      <c r="Q1488" s="3"/>
      <c r="R1488" s="3"/>
      <c r="S1488" s="3"/>
      <c r="T1488" s="3"/>
      <c r="U1488" s="3"/>
      <c r="V1488" s="3">
        <v>0</v>
      </c>
      <c r="W1488" s="3"/>
      <c r="X1488" s="3"/>
      <c r="Y1488" s="3"/>
      <c r="Z1488" s="3"/>
      <c r="AA1488" s="3"/>
      <c r="AB1488" s="3"/>
      <c r="AC1488" s="3">
        <v>2</v>
      </c>
      <c r="AD1488" s="3"/>
      <c r="AE1488" t="s">
        <v>6484</v>
      </c>
      <c r="AF1488" t="s">
        <v>1960</v>
      </c>
    </row>
    <row r="1489" spans="1:32" x14ac:dyDescent="0.3">
      <c r="A1489" t="s">
        <v>1826</v>
      </c>
      <c r="B1489" s="1" t="s">
        <v>1205</v>
      </c>
      <c r="C1489" s="5" t="s">
        <v>3554</v>
      </c>
      <c r="D1489" s="2" t="s">
        <v>5072</v>
      </c>
      <c r="E1489" s="1" t="s">
        <v>1988</v>
      </c>
      <c r="F1489" s="3"/>
      <c r="G1489" s="3">
        <v>0</v>
      </c>
      <c r="H1489" s="3">
        <v>0</v>
      </c>
      <c r="I1489" s="3"/>
      <c r="J1489" s="3">
        <v>0</v>
      </c>
      <c r="K1489" s="3">
        <v>88</v>
      </c>
      <c r="L1489" s="3">
        <v>78</v>
      </c>
      <c r="M1489" s="3">
        <v>4</v>
      </c>
      <c r="N1489" s="3">
        <v>90</v>
      </c>
      <c r="O1489" s="3">
        <v>88</v>
      </c>
      <c r="P1489" s="3">
        <v>99</v>
      </c>
      <c r="Q1489" s="3">
        <v>99</v>
      </c>
      <c r="R1489" s="3">
        <v>99</v>
      </c>
      <c r="S1489" s="3">
        <v>99</v>
      </c>
      <c r="T1489" s="3">
        <v>99</v>
      </c>
      <c r="U1489" s="3">
        <v>72</v>
      </c>
      <c r="V1489" s="3">
        <v>0</v>
      </c>
      <c r="W1489" s="3">
        <v>94</v>
      </c>
      <c r="X1489" s="3">
        <v>84</v>
      </c>
      <c r="Y1489" s="3">
        <v>80</v>
      </c>
      <c r="Z1489" s="3">
        <v>89</v>
      </c>
      <c r="AA1489" s="3">
        <v>85</v>
      </c>
      <c r="AB1489" s="3">
        <v>72</v>
      </c>
      <c r="AC1489" s="3"/>
      <c r="AD1489" s="3"/>
      <c r="AE1489" t="s">
        <v>6485</v>
      </c>
      <c r="AF1489" t="s">
        <v>12</v>
      </c>
    </row>
    <row r="1490" spans="1:32" x14ac:dyDescent="0.3">
      <c r="A1490" t="s">
        <v>1826</v>
      </c>
      <c r="B1490" s="1" t="s">
        <v>1205</v>
      </c>
      <c r="C1490" s="5" t="s">
        <v>3555</v>
      </c>
      <c r="D1490" s="2" t="s">
        <v>5073</v>
      </c>
      <c r="E1490" s="1" t="s">
        <v>1298</v>
      </c>
      <c r="F1490" s="3">
        <v>-0.93240624666214</v>
      </c>
      <c r="G1490" s="3"/>
      <c r="H1490" s="3">
        <v>-1.0670583248138401</v>
      </c>
      <c r="I1490" s="3">
        <v>-1.1545275449752801</v>
      </c>
      <c r="J1490" s="3">
        <v>-1.21964883804321</v>
      </c>
      <c r="K1490" s="3">
        <v>-1.2946193218231199</v>
      </c>
      <c r="L1490" s="3">
        <v>-1.2786780595779399</v>
      </c>
      <c r="M1490" s="3">
        <v>-1.2020899057388299</v>
      </c>
      <c r="N1490" s="3">
        <v>-1.1675603389739999</v>
      </c>
      <c r="O1490" s="3">
        <v>-1.0643789768219001</v>
      </c>
      <c r="P1490" s="3">
        <v>-1.0483973026275599</v>
      </c>
      <c r="Q1490" s="3">
        <v>-1.08187675476074</v>
      </c>
      <c r="R1490" s="3">
        <v>-0.77774995565414395</v>
      </c>
      <c r="S1490" s="3">
        <v>-0.75127381086349498</v>
      </c>
      <c r="T1490" s="3">
        <v>-0.50816124677658103</v>
      </c>
      <c r="U1490" s="3">
        <v>-0.40778777003288302</v>
      </c>
      <c r="V1490" s="3">
        <v>-0.31014481186866799</v>
      </c>
      <c r="W1490" s="3">
        <v>-0.28455916047096302</v>
      </c>
      <c r="X1490" s="3">
        <v>-0.24950112402439101</v>
      </c>
      <c r="Y1490" s="3">
        <v>-0.24904319643974299</v>
      </c>
      <c r="Z1490" s="3">
        <v>-0.53029906749725297</v>
      </c>
      <c r="AA1490" s="3">
        <v>-0.45894849300384499</v>
      </c>
      <c r="AB1490" s="3">
        <v>-0.39304232597351102</v>
      </c>
      <c r="AC1490" s="3">
        <v>-0.37548062205314597</v>
      </c>
      <c r="AD1490" s="3"/>
      <c r="AE1490" t="s">
        <v>6486</v>
      </c>
    </row>
    <row r="1491" spans="1:32" x14ac:dyDescent="0.3">
      <c r="A1491" t="s">
        <v>1826</v>
      </c>
      <c r="B1491" s="1" t="s">
        <v>1205</v>
      </c>
      <c r="C1491" s="5" t="s">
        <v>3556</v>
      </c>
      <c r="D1491" s="2" t="s">
        <v>5074</v>
      </c>
      <c r="E1491" s="1" t="s">
        <v>1796</v>
      </c>
      <c r="F1491" s="3">
        <v>7</v>
      </c>
      <c r="G1491" s="3"/>
      <c r="H1491" s="3">
        <v>9</v>
      </c>
      <c r="I1491" s="3">
        <v>9</v>
      </c>
      <c r="J1491" s="3">
        <v>10</v>
      </c>
      <c r="K1491" s="3">
        <v>11</v>
      </c>
      <c r="L1491" s="3">
        <v>12</v>
      </c>
      <c r="M1491" s="3">
        <v>11</v>
      </c>
      <c r="N1491" s="3">
        <v>13</v>
      </c>
      <c r="O1491" s="3">
        <v>15</v>
      </c>
      <c r="P1491" s="3">
        <v>15</v>
      </c>
      <c r="Q1491" s="3">
        <v>16</v>
      </c>
      <c r="R1491" s="3">
        <v>17</v>
      </c>
      <c r="S1491" s="3">
        <v>18</v>
      </c>
      <c r="T1491" s="3">
        <v>14</v>
      </c>
      <c r="U1491" s="3">
        <v>14</v>
      </c>
      <c r="V1491" s="3">
        <v>15</v>
      </c>
      <c r="W1491" s="3">
        <v>14</v>
      </c>
      <c r="X1491" s="3">
        <v>14</v>
      </c>
      <c r="Y1491" s="3">
        <v>14</v>
      </c>
      <c r="Z1491" s="3">
        <v>13</v>
      </c>
      <c r="AA1491" s="3">
        <v>13</v>
      </c>
      <c r="AB1491" s="3">
        <v>13</v>
      </c>
      <c r="AC1491" s="3">
        <v>13</v>
      </c>
      <c r="AD1491" s="3"/>
      <c r="AE1491" t="s">
        <v>6487</v>
      </c>
      <c r="AF1491" t="s">
        <v>761</v>
      </c>
    </row>
    <row r="1492" spans="1:32" x14ac:dyDescent="0.3">
      <c r="A1492" t="s">
        <v>1826</v>
      </c>
      <c r="B1492" s="1" t="s">
        <v>1205</v>
      </c>
      <c r="C1492" s="5" t="s">
        <v>3557</v>
      </c>
      <c r="D1492" s="2" t="s">
        <v>5075</v>
      </c>
      <c r="E1492" s="1" t="s">
        <v>1778</v>
      </c>
      <c r="F1492" s="3">
        <v>20.895523071289102</v>
      </c>
      <c r="G1492" s="3"/>
      <c r="H1492" s="3">
        <v>18.407960891723601</v>
      </c>
      <c r="I1492" s="3">
        <v>15.4228858947754</v>
      </c>
      <c r="J1492" s="3">
        <v>14.903845787048301</v>
      </c>
      <c r="K1492" s="3">
        <v>10.096154212951699</v>
      </c>
      <c r="L1492" s="3">
        <v>11.057692527771</v>
      </c>
      <c r="M1492" s="3">
        <v>13.4615383148193</v>
      </c>
      <c r="N1492" s="3">
        <v>14.903845787048301</v>
      </c>
      <c r="O1492" s="3">
        <v>16.5876770019531</v>
      </c>
      <c r="P1492" s="3">
        <v>17.535545349121101</v>
      </c>
      <c r="Q1492" s="3">
        <v>17.840375900268601</v>
      </c>
      <c r="R1492" s="3">
        <v>25.3521118164062</v>
      </c>
      <c r="S1492" s="3">
        <v>26.291080474853501</v>
      </c>
      <c r="T1492" s="3">
        <v>31.034482955932599</v>
      </c>
      <c r="U1492" s="3">
        <v>33.004924774169901</v>
      </c>
      <c r="V1492" s="3">
        <v>35.9605903625488</v>
      </c>
      <c r="W1492" s="3">
        <v>36.945812225341797</v>
      </c>
      <c r="X1492" s="3">
        <v>37.378639221191399</v>
      </c>
      <c r="Y1492" s="3">
        <v>37.198066711425803</v>
      </c>
      <c r="Z1492" s="3">
        <v>33.333332061767599</v>
      </c>
      <c r="AA1492" s="3">
        <v>34.299518585205099</v>
      </c>
      <c r="AB1492" s="3">
        <v>35.748790740966797</v>
      </c>
      <c r="AC1492" s="3">
        <v>36.764705657958999</v>
      </c>
      <c r="AD1492" s="3"/>
      <c r="AE1492" t="s">
        <v>6488</v>
      </c>
    </row>
    <row r="1493" spans="1:32" x14ac:dyDescent="0.3">
      <c r="A1493" t="s">
        <v>1826</v>
      </c>
      <c r="B1493" s="1" t="s">
        <v>1205</v>
      </c>
      <c r="C1493" s="5" t="s">
        <v>3558</v>
      </c>
      <c r="D1493" s="2" t="s">
        <v>5076</v>
      </c>
      <c r="E1493" s="1" t="s">
        <v>403</v>
      </c>
      <c r="F1493" s="3">
        <v>11.9402980804443</v>
      </c>
      <c r="G1493" s="3"/>
      <c r="H1493" s="3">
        <v>10.945273399353001</v>
      </c>
      <c r="I1493" s="3">
        <v>9.9502487182617205</v>
      </c>
      <c r="J1493" s="3">
        <v>7.2115383148193404</v>
      </c>
      <c r="K1493" s="3">
        <v>5.7692308425903303</v>
      </c>
      <c r="L1493" s="3">
        <v>8.1730766296386701</v>
      </c>
      <c r="M1493" s="3">
        <v>8.6538457870483398</v>
      </c>
      <c r="N1493" s="3">
        <v>9.6153850555419904</v>
      </c>
      <c r="O1493" s="3">
        <v>13.2701425552368</v>
      </c>
      <c r="P1493" s="3">
        <v>13.2701425552368</v>
      </c>
      <c r="Q1493" s="3">
        <v>12.6760559082031</v>
      </c>
      <c r="R1493" s="3">
        <v>20.187793731689499</v>
      </c>
      <c r="S1493" s="3">
        <v>22.535211563110401</v>
      </c>
      <c r="T1493" s="3">
        <v>27.0935955047607</v>
      </c>
      <c r="U1493" s="3">
        <v>28.571428298950199</v>
      </c>
      <c r="V1493" s="3">
        <v>32.019702911377003</v>
      </c>
      <c r="W1493" s="3">
        <v>32.019702911377003</v>
      </c>
      <c r="X1493" s="3">
        <v>32.5242729187012</v>
      </c>
      <c r="Y1493" s="3">
        <v>33.333332061767599</v>
      </c>
      <c r="Z1493" s="3">
        <v>28.985507965087901</v>
      </c>
      <c r="AA1493" s="3">
        <v>29.9516906738281</v>
      </c>
      <c r="AB1493" s="3">
        <v>31.884057998657202</v>
      </c>
      <c r="AC1493" s="3">
        <v>31.862745285034201</v>
      </c>
      <c r="AD1493" s="3"/>
      <c r="AE1493" t="s">
        <v>6489</v>
      </c>
      <c r="AF1493" t="s">
        <v>453</v>
      </c>
    </row>
    <row r="1494" spans="1:32" x14ac:dyDescent="0.3">
      <c r="A1494" t="s">
        <v>1826</v>
      </c>
      <c r="B1494" s="1" t="s">
        <v>1205</v>
      </c>
      <c r="C1494" s="5" t="s">
        <v>3559</v>
      </c>
      <c r="D1494" s="2" t="s">
        <v>5077</v>
      </c>
      <c r="E1494" s="1" t="s">
        <v>1973</v>
      </c>
      <c r="F1494" s="3">
        <v>30.845771789550799</v>
      </c>
      <c r="G1494" s="3"/>
      <c r="H1494" s="3">
        <v>23.8805961608887</v>
      </c>
      <c r="I1494" s="3">
        <v>23.383085250854499</v>
      </c>
      <c r="J1494" s="3">
        <v>20.6730766296387</v>
      </c>
      <c r="K1494" s="3">
        <v>17.307691574096701</v>
      </c>
      <c r="L1494" s="3">
        <v>18.269229888916001</v>
      </c>
      <c r="M1494" s="3">
        <v>19.7115383148193</v>
      </c>
      <c r="N1494" s="3">
        <v>21.153846740722699</v>
      </c>
      <c r="O1494" s="3">
        <v>23.696681976318398</v>
      </c>
      <c r="P1494" s="3">
        <v>24.6445503234863</v>
      </c>
      <c r="Q1494" s="3">
        <v>23.474178314208999</v>
      </c>
      <c r="R1494" s="3">
        <v>29.1079807281494</v>
      </c>
      <c r="S1494" s="3">
        <v>29.1079807281494</v>
      </c>
      <c r="T1494" s="3">
        <v>37.438423156738303</v>
      </c>
      <c r="U1494" s="3">
        <v>39.408866882324197</v>
      </c>
      <c r="V1494" s="3">
        <v>41.871921539306598</v>
      </c>
      <c r="W1494" s="3">
        <v>42.857143402099602</v>
      </c>
      <c r="X1494" s="3">
        <v>43.203884124755902</v>
      </c>
      <c r="Y1494" s="3">
        <v>42.995170593261697</v>
      </c>
      <c r="Z1494" s="3">
        <v>35.748790740966797</v>
      </c>
      <c r="AA1494" s="3">
        <v>36.714977264404297</v>
      </c>
      <c r="AB1494" s="3">
        <v>40.0966186523438</v>
      </c>
      <c r="AC1494" s="3">
        <v>40.686275482177699</v>
      </c>
      <c r="AD1494" s="3"/>
      <c r="AE1494" t="s">
        <v>6490</v>
      </c>
      <c r="AF1494" t="s">
        <v>126</v>
      </c>
    </row>
    <row r="1495" spans="1:32" x14ac:dyDescent="0.3">
      <c r="A1495" t="s">
        <v>1826</v>
      </c>
      <c r="B1495" s="1" t="s">
        <v>1205</v>
      </c>
      <c r="C1495" s="5" t="s">
        <v>3560</v>
      </c>
      <c r="D1495" s="2" t="s">
        <v>5078</v>
      </c>
      <c r="E1495" s="1" t="s">
        <v>178</v>
      </c>
      <c r="F1495" s="3">
        <v>0.197282910346985</v>
      </c>
      <c r="G1495" s="3"/>
      <c r="H1495" s="3">
        <v>0.15914896130561801</v>
      </c>
      <c r="I1495" s="3">
        <v>0.158829554915428</v>
      </c>
      <c r="J1495" s="3">
        <v>0.15537285804748499</v>
      </c>
      <c r="K1495" s="3">
        <v>0.15201450884342199</v>
      </c>
      <c r="L1495" s="3">
        <v>0.130338460206985</v>
      </c>
      <c r="M1495" s="3">
        <v>0.13041979074478099</v>
      </c>
      <c r="N1495" s="3">
        <v>0.12894742190837899</v>
      </c>
      <c r="O1495" s="3">
        <v>0.114889658987522</v>
      </c>
      <c r="P1495" s="3">
        <v>0.112777724862099</v>
      </c>
      <c r="Q1495" s="3">
        <v>0.113221861422062</v>
      </c>
      <c r="R1495" s="3">
        <v>0.10985741019249</v>
      </c>
      <c r="S1495" s="3">
        <v>0.104681149125099</v>
      </c>
      <c r="T1495" s="3">
        <v>0.121403709053993</v>
      </c>
      <c r="U1495" s="3">
        <v>0.12289375066757199</v>
      </c>
      <c r="V1495" s="3">
        <v>0.119386218488216</v>
      </c>
      <c r="W1495" s="3">
        <v>0.120126157999039</v>
      </c>
      <c r="X1495" s="3">
        <v>0.12392406165599799</v>
      </c>
      <c r="Y1495" s="3">
        <v>0.117868170142174</v>
      </c>
      <c r="Z1495" s="3">
        <v>0.120357550680637</v>
      </c>
      <c r="AA1495" s="3">
        <v>0.12099127471447001</v>
      </c>
      <c r="AB1495" s="3">
        <v>0.120508655905724</v>
      </c>
      <c r="AC1495" s="3">
        <v>0.118235215544701</v>
      </c>
      <c r="AD1495" s="3"/>
      <c r="AE1495" t="s">
        <v>6491</v>
      </c>
      <c r="AF1495" t="s">
        <v>202</v>
      </c>
    </row>
    <row r="1496" spans="1:32" x14ac:dyDescent="0.3">
      <c r="A1496" t="s">
        <v>1826</v>
      </c>
      <c r="B1496" s="1" t="s">
        <v>1205</v>
      </c>
      <c r="C1496" s="5" t="s">
        <v>3561</v>
      </c>
      <c r="D1496" s="2" t="s">
        <v>5079</v>
      </c>
      <c r="E1496" s="1" t="s">
        <v>1512</v>
      </c>
      <c r="F1496" s="3">
        <v>92.216394327489596</v>
      </c>
      <c r="G1496" s="3">
        <v>92.157863145258091</v>
      </c>
      <c r="H1496" s="3">
        <v>91.970928138758495</v>
      </c>
      <c r="I1496" s="3">
        <v>91.7320522398675</v>
      </c>
      <c r="J1496" s="3">
        <v>91.577587992531306</v>
      </c>
      <c r="K1496" s="3">
        <v>91.39297616547961</v>
      </c>
      <c r="L1496" s="3">
        <v>91.147011664542902</v>
      </c>
      <c r="M1496" s="3">
        <v>90.874805418474494</v>
      </c>
      <c r="N1496" s="3">
        <v>90.588880042907405</v>
      </c>
      <c r="O1496" s="3">
        <v>90.181334483404896</v>
      </c>
      <c r="P1496" s="3">
        <v>89.706775513375703</v>
      </c>
      <c r="Q1496" s="3">
        <v>89.111616738197796</v>
      </c>
      <c r="R1496" s="3">
        <v>88.654774441768609</v>
      </c>
      <c r="S1496" s="3">
        <v>86.080215534770204</v>
      </c>
      <c r="T1496" s="3">
        <v>85.189673519177006</v>
      </c>
      <c r="U1496" s="3">
        <v>84.245974235302398</v>
      </c>
      <c r="V1496" s="3">
        <v>83.229307592696202</v>
      </c>
      <c r="W1496" s="3">
        <v>81.197375265364002</v>
      </c>
      <c r="X1496" s="3">
        <v>81.0701422785435</v>
      </c>
      <c r="Y1496" s="3">
        <v>80.612452507343392</v>
      </c>
      <c r="Z1496" s="3">
        <v>82.021536935759897</v>
      </c>
      <c r="AA1496" s="3">
        <v>82.740583810993201</v>
      </c>
      <c r="AB1496" s="3">
        <v>83.9732585648933</v>
      </c>
      <c r="AC1496" s="3">
        <v>83.443829820660596</v>
      </c>
      <c r="AD1496" s="3"/>
      <c r="AE1496" t="s">
        <v>6492</v>
      </c>
      <c r="AF1496" t="s">
        <v>736</v>
      </c>
    </row>
    <row r="1497" spans="1:32" x14ac:dyDescent="0.3">
      <c r="A1497" t="s">
        <v>1826</v>
      </c>
      <c r="B1497" s="1" t="s">
        <v>1205</v>
      </c>
      <c r="C1497" s="5" t="s">
        <v>3562</v>
      </c>
      <c r="D1497" s="2" t="s">
        <v>5080</v>
      </c>
      <c r="E1497" s="1" t="s">
        <v>1715</v>
      </c>
      <c r="F1497" s="3">
        <v>73.7744971645362</v>
      </c>
      <c r="G1497" s="3">
        <v>73.880554820892797</v>
      </c>
      <c r="H1497" s="3">
        <v>73.658188108950597</v>
      </c>
      <c r="I1497" s="3">
        <v>73.418666557768503</v>
      </c>
      <c r="J1497" s="3">
        <v>73.270317815335702</v>
      </c>
      <c r="K1497" s="3">
        <v>73.087490042930909</v>
      </c>
      <c r="L1497" s="3">
        <v>72.681375467070097</v>
      </c>
      <c r="M1497" s="3">
        <v>72.264701568378101</v>
      </c>
      <c r="N1497" s="3">
        <v>71.6911501811759</v>
      </c>
      <c r="O1497" s="3">
        <v>71.154611874082605</v>
      </c>
      <c r="P1497" s="3">
        <v>70.463647238819306</v>
      </c>
      <c r="Q1497" s="3">
        <v>69.728148481007295</v>
      </c>
      <c r="R1497" s="3">
        <v>69.071766897001197</v>
      </c>
      <c r="S1497" s="3">
        <v>67.718831839940378</v>
      </c>
      <c r="T1497" s="3">
        <v>66.505740186368087</v>
      </c>
      <c r="U1497" s="3">
        <v>65.287302145207022</v>
      </c>
      <c r="V1497" s="3">
        <v>63.902353933722466</v>
      </c>
      <c r="W1497" s="3">
        <v>66.504651323417406</v>
      </c>
      <c r="X1497" s="3">
        <v>65.408126604023025</v>
      </c>
      <c r="Y1497" s="3">
        <v>64.035458941968415</v>
      </c>
      <c r="Z1497" s="3">
        <v>65.045216633574029</v>
      </c>
      <c r="AA1497" s="3">
        <v>64.998282014173469</v>
      </c>
      <c r="AB1497" s="3">
        <v>65.314316800231424</v>
      </c>
      <c r="AC1497" s="3">
        <v>64.937817781144744</v>
      </c>
      <c r="AD1497" s="3"/>
      <c r="AE1497" t="s">
        <v>6492</v>
      </c>
      <c r="AF1497" t="s">
        <v>736</v>
      </c>
    </row>
    <row r="1498" spans="1:32" x14ac:dyDescent="0.3">
      <c r="A1498" t="s">
        <v>1826</v>
      </c>
      <c r="B1498" s="1" t="s">
        <v>1205</v>
      </c>
      <c r="C1498" s="5" t="s">
        <v>3563</v>
      </c>
      <c r="D1498" s="2" t="s">
        <v>5081</v>
      </c>
      <c r="E1498" s="1" t="s">
        <v>98</v>
      </c>
      <c r="F1498" s="3">
        <v>80.80056518389901</v>
      </c>
      <c r="G1498" s="3">
        <v>80.971718015898702</v>
      </c>
      <c r="H1498" s="3">
        <v>80.890027997055</v>
      </c>
      <c r="I1498" s="3">
        <v>80.777076036139007</v>
      </c>
      <c r="J1498" s="3">
        <v>80.751340336855407</v>
      </c>
      <c r="K1498" s="3">
        <v>80.693395333022096</v>
      </c>
      <c r="L1498" s="3">
        <v>80.479801225705003</v>
      </c>
      <c r="M1498" s="3">
        <v>80.251875734632904</v>
      </c>
      <c r="N1498" s="3">
        <v>79.909537451530795</v>
      </c>
      <c r="O1498" s="3">
        <v>79.519031974710401</v>
      </c>
      <c r="P1498" s="3">
        <v>79.016491565282308</v>
      </c>
      <c r="Q1498" s="3">
        <v>78.440263483958603</v>
      </c>
      <c r="R1498" s="3">
        <v>77.967397047885697</v>
      </c>
      <c r="S1498" s="3">
        <v>75.831381306970997</v>
      </c>
      <c r="T1498" s="3">
        <v>74.625176122324291</v>
      </c>
      <c r="U1498" s="3">
        <v>73.403904147939102</v>
      </c>
      <c r="V1498" s="3">
        <v>72.051959527313102</v>
      </c>
      <c r="W1498" s="3">
        <v>72.686087435399799</v>
      </c>
      <c r="X1498" s="3">
        <v>71.991786790720099</v>
      </c>
      <c r="Y1498" s="3">
        <v>71.000941274023702</v>
      </c>
      <c r="Z1498" s="3">
        <v>72.215778231705798</v>
      </c>
      <c r="AA1498" s="3">
        <v>72.551707818128392</v>
      </c>
      <c r="AB1498" s="3">
        <v>73.306894058899005</v>
      </c>
      <c r="AC1498" s="3">
        <v>72.890168481635001</v>
      </c>
      <c r="AD1498" s="3"/>
      <c r="AE1498" t="s">
        <v>6492</v>
      </c>
      <c r="AF1498" t="s">
        <v>736</v>
      </c>
    </row>
    <row r="1499" spans="1:32" x14ac:dyDescent="0.3">
      <c r="A1499" t="s">
        <v>1826</v>
      </c>
      <c r="B1499" s="1" t="s">
        <v>1205</v>
      </c>
      <c r="C1499" s="5" t="s">
        <v>3564</v>
      </c>
      <c r="D1499" s="2" t="s">
        <v>5082</v>
      </c>
      <c r="E1499" s="1" t="s">
        <v>1542</v>
      </c>
      <c r="F1499" s="3">
        <v>7.4386652543307203</v>
      </c>
      <c r="G1499" s="3">
        <v>7.49539252320647</v>
      </c>
      <c r="H1499" s="3">
        <v>7.6733588779406796</v>
      </c>
      <c r="I1499" s="3">
        <v>7.8963870062078803</v>
      </c>
      <c r="J1499" s="3">
        <v>8.0432901792490998</v>
      </c>
      <c r="K1499" s="3">
        <v>8.2194548981814997</v>
      </c>
      <c r="L1499" s="3">
        <v>8.4580072667978001</v>
      </c>
      <c r="M1499" s="3">
        <v>8.7197363627330802</v>
      </c>
      <c r="N1499" s="3">
        <v>8.9989232063104492</v>
      </c>
      <c r="O1499" s="3">
        <v>9.3980805178204996</v>
      </c>
      <c r="P1499" s="3">
        <v>9.8733365748139192</v>
      </c>
      <c r="Q1499" s="3">
        <v>10.4330450455681</v>
      </c>
      <c r="R1499" s="3">
        <v>10.8722707286169</v>
      </c>
      <c r="S1499" s="3">
        <v>13.3799054493697</v>
      </c>
      <c r="T1499" s="3">
        <v>14.143684104398799</v>
      </c>
      <c r="U1499" s="3">
        <v>14.9311436958212</v>
      </c>
      <c r="V1499" s="3">
        <v>15.758463287049199</v>
      </c>
      <c r="W1499" s="3">
        <v>18.091938125393</v>
      </c>
      <c r="X1499" s="3">
        <v>17.677180993534201</v>
      </c>
      <c r="Y1499" s="3">
        <v>17.2322452312692</v>
      </c>
      <c r="Z1499" s="3">
        <v>16.353087522697901</v>
      </c>
      <c r="AA1499" s="3">
        <v>16.037627433081799</v>
      </c>
      <c r="AB1499" s="3">
        <v>15.272735609475101</v>
      </c>
      <c r="AC1499" s="3">
        <v>15.790390830685499</v>
      </c>
      <c r="AD1499" s="3"/>
      <c r="AE1499" t="s">
        <v>6493</v>
      </c>
      <c r="AF1499" t="s">
        <v>1110</v>
      </c>
    </row>
    <row r="1500" spans="1:32" x14ac:dyDescent="0.3">
      <c r="A1500" t="s">
        <v>1826</v>
      </c>
      <c r="B1500" s="1" t="s">
        <v>1205</v>
      </c>
      <c r="C1500" s="5" t="s">
        <v>3565</v>
      </c>
      <c r="D1500" s="2" t="s">
        <v>5083</v>
      </c>
      <c r="E1500" s="1" t="s">
        <v>1744</v>
      </c>
      <c r="F1500" s="3">
        <v>25.081166407828</v>
      </c>
      <c r="G1500" s="3">
        <v>24.9757025363417</v>
      </c>
      <c r="H1500" s="3">
        <v>25.187163241814201</v>
      </c>
      <c r="I1500" s="3">
        <v>25.418112643102301</v>
      </c>
      <c r="J1500" s="3">
        <v>25.562002190368801</v>
      </c>
      <c r="K1500" s="3">
        <v>25.741211626693001</v>
      </c>
      <c r="L1500" s="3">
        <v>26.135560754661899</v>
      </c>
      <c r="M1500" s="3">
        <v>26.542199484669698</v>
      </c>
      <c r="N1500" s="3">
        <v>27.096267664589401</v>
      </c>
      <c r="O1500" s="3">
        <v>27.628953177974601</v>
      </c>
      <c r="P1500" s="3">
        <v>28.2936626024566</v>
      </c>
      <c r="Q1500" s="3">
        <v>29.000677393176399</v>
      </c>
      <c r="R1500" s="3">
        <v>29.5787473232587</v>
      </c>
      <c r="S1500" s="3">
        <v>31.144791949379201</v>
      </c>
      <c r="T1500" s="3">
        <v>32.036197237775099</v>
      </c>
      <c r="U1500" s="3">
        <v>32.850109047164601</v>
      </c>
      <c r="V1500" s="3">
        <v>33.721956265706503</v>
      </c>
      <c r="W1500" s="3">
        <v>31.306265797021901</v>
      </c>
      <c r="X1500" s="3">
        <v>31.7602311749161</v>
      </c>
      <c r="Y1500" s="3">
        <v>32.361650039514899</v>
      </c>
      <c r="Z1500" s="3">
        <v>31.9142866251462</v>
      </c>
      <c r="AA1500" s="3">
        <v>32.351908527493897</v>
      </c>
      <c r="AB1500" s="3">
        <v>32.593362246420298</v>
      </c>
      <c r="AC1500" s="3">
        <v>33.048769060259303</v>
      </c>
      <c r="AD1500" s="3"/>
      <c r="AE1500" t="s">
        <v>6493</v>
      </c>
      <c r="AF1500" t="s">
        <v>716</v>
      </c>
    </row>
    <row r="1501" spans="1:32" x14ac:dyDescent="0.3">
      <c r="A1501" t="s">
        <v>1826</v>
      </c>
      <c r="B1501" s="1" t="s">
        <v>1205</v>
      </c>
      <c r="C1501" s="5" t="s">
        <v>3566</v>
      </c>
      <c r="D1501" s="2" t="s">
        <v>5084</v>
      </c>
      <c r="E1501" s="1" t="s">
        <v>282</v>
      </c>
      <c r="F1501" s="3">
        <v>18.359639418048801</v>
      </c>
      <c r="G1501" s="3">
        <v>18.1937558301703</v>
      </c>
      <c r="H1501" s="3">
        <v>18.2708291058544</v>
      </c>
      <c r="I1501" s="3">
        <v>18.3777961094993</v>
      </c>
      <c r="J1501" s="3">
        <v>18.403213477759099</v>
      </c>
      <c r="K1501" s="3">
        <v>18.460959135981199</v>
      </c>
      <c r="L1501" s="3">
        <v>18.669972786021599</v>
      </c>
      <c r="M1501" s="3">
        <v>18.8930823796581</v>
      </c>
      <c r="N1501" s="3">
        <v>19.2259580342071</v>
      </c>
      <c r="O1501" s="3">
        <v>19.614413329148899</v>
      </c>
      <c r="P1501" s="3">
        <v>20.1065349809789</v>
      </c>
      <c r="Q1501" s="3">
        <v>20.655248897175699</v>
      </c>
      <c r="R1501" s="3">
        <v>21.081294398091799</v>
      </c>
      <c r="S1501" s="3">
        <v>23.295790866302202</v>
      </c>
      <c r="T1501" s="3">
        <v>24.260676656764499</v>
      </c>
      <c r="U1501" s="3">
        <v>25.178617196660898</v>
      </c>
      <c r="V1501" s="3">
        <v>26.147281775227899</v>
      </c>
      <c r="W1501" s="3">
        <v>25.746811839558301</v>
      </c>
      <c r="X1501" s="3">
        <v>25.840311438403599</v>
      </c>
      <c r="Y1501" s="3">
        <v>26.004420784444399</v>
      </c>
      <c r="Z1501" s="3">
        <v>25.341452541040699</v>
      </c>
      <c r="AA1501" s="3">
        <v>25.406417103658399</v>
      </c>
      <c r="AB1501" s="3">
        <v>25.174053675207301</v>
      </c>
      <c r="AC1501" s="3">
        <v>25.632555783345602</v>
      </c>
      <c r="AD1501" s="3"/>
      <c r="AE1501" t="s">
        <v>6493</v>
      </c>
      <c r="AF1501" t="s">
        <v>716</v>
      </c>
    </row>
    <row r="1502" spans="1:32" x14ac:dyDescent="0.3">
      <c r="A1502" t="s">
        <v>1826</v>
      </c>
      <c r="B1502" s="1" t="s">
        <v>1205</v>
      </c>
      <c r="C1502" s="5" t="s">
        <v>3567</v>
      </c>
      <c r="D1502" s="2" t="s">
        <v>5085</v>
      </c>
      <c r="E1502" s="1" t="s">
        <v>1722</v>
      </c>
      <c r="F1502" s="3"/>
      <c r="G1502" s="3"/>
      <c r="H1502" s="3"/>
      <c r="I1502" s="3"/>
      <c r="J1502" s="3"/>
      <c r="K1502" s="3"/>
      <c r="L1502" s="3"/>
      <c r="M1502" s="3"/>
      <c r="N1502" s="3"/>
      <c r="O1502" s="3"/>
      <c r="P1502" s="3"/>
      <c r="Q1502" s="3"/>
      <c r="R1502" s="3">
        <v>4.5</v>
      </c>
      <c r="S1502" s="3"/>
      <c r="T1502" s="3"/>
      <c r="U1502" s="3"/>
      <c r="V1502" s="3"/>
      <c r="W1502" s="3"/>
      <c r="X1502" s="3"/>
      <c r="Y1502" s="3"/>
      <c r="Z1502" s="3"/>
      <c r="AA1502" s="3">
        <v>3.9</v>
      </c>
      <c r="AB1502" s="3"/>
      <c r="AC1502" s="3"/>
      <c r="AD1502" s="3"/>
      <c r="AE1502" t="s">
        <v>6494</v>
      </c>
      <c r="AF1502" t="s">
        <v>1970</v>
      </c>
    </row>
    <row r="1503" spans="1:32" ht="28.8" x14ac:dyDescent="0.3">
      <c r="A1503" t="s">
        <v>1826</v>
      </c>
      <c r="B1503" s="1" t="s">
        <v>1205</v>
      </c>
      <c r="C1503" s="5" t="s">
        <v>3568</v>
      </c>
      <c r="D1503" s="2" t="s">
        <v>5086</v>
      </c>
      <c r="E1503" s="1" t="s">
        <v>525</v>
      </c>
      <c r="F1503" s="3">
        <v>21.582958672790156</v>
      </c>
      <c r="G1503" s="3">
        <v>20.705362720306706</v>
      </c>
      <c r="H1503" s="3">
        <v>19.753958698001412</v>
      </c>
      <c r="I1503" s="3">
        <v>18.466452456971219</v>
      </c>
      <c r="J1503" s="3">
        <v>18.702866251481836</v>
      </c>
      <c r="K1503" s="3">
        <v>18.546783909222114</v>
      </c>
      <c r="L1503" s="3">
        <v>19.613666585751233</v>
      </c>
      <c r="M1503" s="3">
        <v>20.427345951671928</v>
      </c>
      <c r="N1503" s="3">
        <v>22.061346453081921</v>
      </c>
      <c r="O1503" s="3">
        <v>23.566678979241239</v>
      </c>
      <c r="P1503" s="3">
        <v>25.988272607466289</v>
      </c>
      <c r="Q1503" s="3">
        <v>25.407605817477332</v>
      </c>
      <c r="R1503" s="3">
        <v>28.269194145488978</v>
      </c>
      <c r="S1503" s="3">
        <v>32.428899191802337</v>
      </c>
      <c r="T1503" s="3">
        <v>36.781318058938218</v>
      </c>
      <c r="U1503" s="3">
        <v>39.427715291966528</v>
      </c>
      <c r="V1503" s="3">
        <v>42.255770541230646</v>
      </c>
      <c r="W1503" s="3">
        <v>45.387245307285262</v>
      </c>
      <c r="X1503" s="3">
        <v>47.585415889624599</v>
      </c>
      <c r="Y1503" s="3">
        <v>50.78380855506515</v>
      </c>
      <c r="Z1503" s="3">
        <v>51.139157384390302</v>
      </c>
      <c r="AA1503" s="3">
        <v>54.75128437046628</v>
      </c>
      <c r="AB1503" s="3"/>
      <c r="AC1503" s="3"/>
      <c r="AD1503" s="3"/>
      <c r="AE1503" t="s">
        <v>6495</v>
      </c>
      <c r="AF1503" t="s">
        <v>1497</v>
      </c>
    </row>
    <row r="1504" spans="1:32" x14ac:dyDescent="0.3">
      <c r="A1504" t="s">
        <v>1826</v>
      </c>
      <c r="B1504" s="1" t="s">
        <v>1205</v>
      </c>
      <c r="C1504" s="5" t="s">
        <v>3569</v>
      </c>
      <c r="D1504" s="2" t="s">
        <v>5087</v>
      </c>
      <c r="E1504" s="1" t="s">
        <v>772</v>
      </c>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t="s">
        <v>6496</v>
      </c>
      <c r="AF1504" t="s">
        <v>231</v>
      </c>
    </row>
    <row r="1505" spans="1:32" x14ac:dyDescent="0.3">
      <c r="A1505" t="s">
        <v>1826</v>
      </c>
      <c r="B1505" s="1" t="s">
        <v>1205</v>
      </c>
      <c r="C1505" s="5" t="s">
        <v>3570</v>
      </c>
      <c r="D1505" s="2" t="s">
        <v>5088</v>
      </c>
      <c r="E1505" s="1" t="s">
        <v>1444</v>
      </c>
      <c r="F1505" s="3">
        <v>69.375</v>
      </c>
      <c r="G1505" s="3">
        <v>69.375</v>
      </c>
      <c r="H1505" s="3">
        <v>69.375</v>
      </c>
      <c r="I1505" s="3">
        <v>69.375</v>
      </c>
      <c r="J1505" s="3">
        <v>69.375</v>
      </c>
      <c r="K1505" s="3">
        <v>69.375</v>
      </c>
      <c r="L1505" s="3">
        <v>69.375</v>
      </c>
      <c r="M1505" s="3">
        <v>69.375</v>
      </c>
      <c r="N1505" s="3">
        <v>69.375</v>
      </c>
      <c r="O1505" s="3">
        <v>69.375</v>
      </c>
      <c r="P1505" s="3">
        <v>69.375</v>
      </c>
      <c r="Q1505" s="3">
        <v>69.375</v>
      </c>
      <c r="R1505" s="3">
        <v>69.375</v>
      </c>
      <c r="S1505" s="3">
        <v>81.25</v>
      </c>
      <c r="T1505" s="3">
        <v>81.25</v>
      </c>
      <c r="U1505" s="3">
        <v>81.25</v>
      </c>
      <c r="V1505" s="3">
        <v>81.25</v>
      </c>
      <c r="W1505" s="3">
        <v>81.25</v>
      </c>
      <c r="X1505" s="3">
        <v>78.125</v>
      </c>
      <c r="Y1505" s="3">
        <v>83.125</v>
      </c>
      <c r="Z1505" s="3">
        <v>83.125</v>
      </c>
      <c r="AA1505" s="3">
        <v>83.125</v>
      </c>
      <c r="AB1505" s="3">
        <v>95</v>
      </c>
      <c r="AC1505" s="3">
        <v>95</v>
      </c>
      <c r="AD1505" s="3"/>
      <c r="AE1505" t="s">
        <v>6497</v>
      </c>
      <c r="AF1505" t="s">
        <v>1183</v>
      </c>
    </row>
    <row r="1506" spans="1:32" ht="28.8" x14ac:dyDescent="0.3">
      <c r="A1506" t="s">
        <v>1826</v>
      </c>
      <c r="B1506" s="1" t="s">
        <v>1205</v>
      </c>
      <c r="C1506" s="5" t="s">
        <v>3571</v>
      </c>
      <c r="D1506" s="2" t="s">
        <v>5089</v>
      </c>
      <c r="E1506" s="1" t="s">
        <v>1184</v>
      </c>
      <c r="F1506" s="3"/>
      <c r="G1506" s="3"/>
      <c r="H1506" s="3"/>
      <c r="I1506" s="3"/>
      <c r="J1506" s="3"/>
      <c r="K1506" s="3"/>
      <c r="L1506" s="3"/>
      <c r="M1506" s="3"/>
      <c r="N1506" s="3"/>
      <c r="O1506" s="3"/>
      <c r="P1506" s="3"/>
      <c r="Q1506" s="3"/>
      <c r="R1506" s="3">
        <v>25.2</v>
      </c>
      <c r="S1506" s="3"/>
      <c r="T1506" s="3"/>
      <c r="U1506" s="3"/>
      <c r="V1506" s="3"/>
      <c r="W1506" s="3"/>
      <c r="X1506" s="3"/>
      <c r="Y1506" s="3"/>
      <c r="Z1506" s="3"/>
      <c r="AA1506" s="3"/>
      <c r="AB1506" s="3"/>
      <c r="AC1506" s="3"/>
      <c r="AD1506" s="3"/>
      <c r="AE1506" t="s">
        <v>6498</v>
      </c>
      <c r="AF1506" t="s">
        <v>100</v>
      </c>
    </row>
    <row r="1507" spans="1:32" ht="28.8" x14ac:dyDescent="0.3">
      <c r="A1507" t="s">
        <v>1826</v>
      </c>
      <c r="B1507" s="1" t="s">
        <v>1205</v>
      </c>
      <c r="C1507" s="5" t="s">
        <v>3572</v>
      </c>
      <c r="D1507" s="2" t="s">
        <v>5090</v>
      </c>
      <c r="E1507" s="1" t="s">
        <v>1742</v>
      </c>
      <c r="F1507" s="3"/>
      <c r="G1507" s="3"/>
      <c r="H1507" s="3"/>
      <c r="I1507" s="3"/>
      <c r="J1507" s="3"/>
      <c r="K1507" s="3"/>
      <c r="L1507" s="3"/>
      <c r="M1507" s="3"/>
      <c r="N1507" s="3"/>
      <c r="O1507" s="3"/>
      <c r="P1507" s="3"/>
      <c r="Q1507" s="3"/>
      <c r="R1507" s="3">
        <v>23.6</v>
      </c>
      <c r="S1507" s="3"/>
      <c r="T1507" s="3"/>
      <c r="U1507" s="3"/>
      <c r="V1507" s="3"/>
      <c r="W1507" s="3"/>
      <c r="X1507" s="3"/>
      <c r="Y1507" s="3"/>
      <c r="Z1507" s="3"/>
      <c r="AA1507" s="3">
        <v>31.5</v>
      </c>
      <c r="AB1507" s="3"/>
      <c r="AC1507" s="3"/>
      <c r="AD1507" s="3"/>
      <c r="AE1507" t="s">
        <v>6499</v>
      </c>
      <c r="AF1507" t="s">
        <v>1061</v>
      </c>
    </row>
    <row r="1508" spans="1:32" x14ac:dyDescent="0.3">
      <c r="A1508" t="s">
        <v>1826</v>
      </c>
      <c r="B1508" s="1" t="s">
        <v>1205</v>
      </c>
      <c r="C1508" s="5" t="s">
        <v>3573</v>
      </c>
      <c r="D1508" s="2" t="s">
        <v>5091</v>
      </c>
      <c r="E1508" s="1" t="s">
        <v>121</v>
      </c>
      <c r="F1508" s="3"/>
      <c r="G1508" s="3"/>
      <c r="H1508" s="3"/>
      <c r="I1508" s="3"/>
      <c r="J1508" s="3"/>
      <c r="K1508" s="3"/>
      <c r="L1508" s="3"/>
      <c r="M1508" s="3"/>
      <c r="N1508" s="3"/>
      <c r="O1508" s="3"/>
      <c r="P1508" s="3"/>
      <c r="Q1508" s="3"/>
      <c r="R1508" s="3">
        <v>47.9</v>
      </c>
      <c r="S1508" s="3"/>
      <c r="T1508" s="3"/>
      <c r="U1508" s="3"/>
      <c r="V1508" s="3"/>
      <c r="W1508" s="3"/>
      <c r="X1508" s="3"/>
      <c r="Y1508" s="3"/>
      <c r="Z1508" s="3"/>
      <c r="AA1508" s="3">
        <v>25.8</v>
      </c>
      <c r="AB1508" s="3"/>
      <c r="AC1508" s="3"/>
      <c r="AD1508" s="3"/>
      <c r="AE1508" t="s">
        <v>6500</v>
      </c>
      <c r="AF1508" t="s">
        <v>2017</v>
      </c>
    </row>
    <row r="1509" spans="1:32" x14ac:dyDescent="0.3">
      <c r="A1509" t="s">
        <v>1826</v>
      </c>
      <c r="B1509" s="1" t="s">
        <v>1205</v>
      </c>
      <c r="C1509" s="5" t="s">
        <v>3574</v>
      </c>
      <c r="D1509" s="2" t="s">
        <v>5092</v>
      </c>
      <c r="E1509" s="1" t="s">
        <v>2028</v>
      </c>
      <c r="F1509" s="3"/>
      <c r="G1509" s="3"/>
      <c r="H1509" s="3"/>
      <c r="I1509" s="3"/>
      <c r="J1509" s="3"/>
      <c r="K1509" s="3"/>
      <c r="L1509" s="3"/>
      <c r="M1509" s="3"/>
      <c r="N1509" s="3"/>
      <c r="O1509" s="3"/>
      <c r="P1509" s="3"/>
      <c r="Q1509" s="3"/>
      <c r="R1509" s="3">
        <v>34.299999999999997</v>
      </c>
      <c r="S1509" s="3"/>
      <c r="T1509" s="3"/>
      <c r="U1509" s="3"/>
      <c r="V1509" s="3"/>
      <c r="W1509" s="3"/>
      <c r="X1509" s="3"/>
      <c r="Y1509" s="3"/>
      <c r="Z1509" s="3"/>
      <c r="AA1509" s="3">
        <v>19.5</v>
      </c>
      <c r="AB1509" s="3"/>
      <c r="AC1509" s="3"/>
      <c r="AD1509" s="3"/>
      <c r="AE1509" t="s">
        <v>6501</v>
      </c>
      <c r="AF1509" t="s">
        <v>2017</v>
      </c>
    </row>
    <row r="1510" spans="1:32" x14ac:dyDescent="0.3">
      <c r="A1510" t="s">
        <v>1826</v>
      </c>
      <c r="B1510" s="1" t="s">
        <v>1205</v>
      </c>
      <c r="C1510" s="5" t="s">
        <v>3575</v>
      </c>
      <c r="D1510" s="2" t="s">
        <v>5093</v>
      </c>
      <c r="E1510" s="1" t="s">
        <v>1299</v>
      </c>
      <c r="F1510" s="3"/>
      <c r="G1510" s="3"/>
      <c r="H1510" s="3"/>
      <c r="I1510" s="3"/>
      <c r="J1510" s="3"/>
      <c r="K1510" s="3"/>
      <c r="L1510" s="3"/>
      <c r="M1510" s="3"/>
      <c r="N1510" s="3"/>
      <c r="O1510" s="3"/>
      <c r="P1510" s="3"/>
      <c r="Q1510" s="3"/>
      <c r="R1510" s="3">
        <v>16.399999999999999</v>
      </c>
      <c r="S1510" s="3"/>
      <c r="T1510" s="3"/>
      <c r="U1510" s="3"/>
      <c r="V1510" s="3"/>
      <c r="W1510" s="3"/>
      <c r="X1510" s="3"/>
      <c r="Y1510" s="3"/>
      <c r="Z1510" s="3"/>
      <c r="AA1510" s="3">
        <v>7</v>
      </c>
      <c r="AB1510" s="3"/>
      <c r="AC1510" s="3"/>
      <c r="AD1510" s="3"/>
      <c r="AE1510" t="s">
        <v>6502</v>
      </c>
      <c r="AF1510" t="s">
        <v>2017</v>
      </c>
    </row>
    <row r="1511" spans="1:32" x14ac:dyDescent="0.3">
      <c r="A1511" t="s">
        <v>1826</v>
      </c>
      <c r="B1511" s="1" t="s">
        <v>1205</v>
      </c>
      <c r="C1511" s="5" t="s">
        <v>3576</v>
      </c>
      <c r="D1511" s="2" t="s">
        <v>5094</v>
      </c>
      <c r="E1511" s="1" t="s">
        <v>566</v>
      </c>
      <c r="F1511" s="3"/>
      <c r="G1511" s="3"/>
      <c r="H1511" s="3"/>
      <c r="I1511" s="3"/>
      <c r="J1511" s="3"/>
      <c r="K1511" s="3"/>
      <c r="L1511" s="3"/>
      <c r="M1511" s="3"/>
      <c r="N1511" s="3"/>
      <c r="O1511" s="3"/>
      <c r="P1511" s="3"/>
      <c r="Q1511" s="3"/>
      <c r="R1511" s="3">
        <v>26.6</v>
      </c>
      <c r="S1511" s="3"/>
      <c r="T1511" s="3"/>
      <c r="U1511" s="3"/>
      <c r="V1511" s="3"/>
      <c r="W1511" s="3"/>
      <c r="X1511" s="3"/>
      <c r="Y1511" s="3"/>
      <c r="Z1511" s="3"/>
      <c r="AA1511" s="3">
        <v>12.4</v>
      </c>
      <c r="AB1511" s="3"/>
      <c r="AC1511" s="3"/>
      <c r="AD1511" s="3"/>
      <c r="AE1511" t="s">
        <v>6503</v>
      </c>
      <c r="AF1511" t="s">
        <v>2017</v>
      </c>
    </row>
    <row r="1512" spans="1:32" x14ac:dyDescent="0.3">
      <c r="A1512" t="s">
        <v>1826</v>
      </c>
      <c r="B1512" s="1" t="s">
        <v>1205</v>
      </c>
      <c r="C1512" s="5" t="s">
        <v>3577</v>
      </c>
      <c r="D1512" s="2" t="s">
        <v>5095</v>
      </c>
      <c r="E1512" s="1" t="s">
        <v>658</v>
      </c>
      <c r="F1512" s="3"/>
      <c r="G1512" s="3"/>
      <c r="H1512" s="3"/>
      <c r="I1512" s="3"/>
      <c r="J1512" s="3"/>
      <c r="K1512" s="3"/>
      <c r="L1512" s="3"/>
      <c r="M1512" s="3"/>
      <c r="N1512" s="3"/>
      <c r="O1512" s="3"/>
      <c r="P1512" s="3"/>
      <c r="Q1512" s="3"/>
      <c r="R1512" s="3">
        <v>32.700000000000003</v>
      </c>
      <c r="S1512" s="3"/>
      <c r="T1512" s="3"/>
      <c r="U1512" s="3"/>
      <c r="V1512" s="3"/>
      <c r="W1512" s="3"/>
      <c r="X1512" s="3"/>
      <c r="Y1512" s="3"/>
      <c r="Z1512" s="3"/>
      <c r="AA1512" s="3">
        <v>13.9</v>
      </c>
      <c r="AB1512" s="3"/>
      <c r="AC1512" s="3"/>
      <c r="AD1512" s="3"/>
      <c r="AE1512" t="s">
        <v>6504</v>
      </c>
      <c r="AF1512" t="s">
        <v>2017</v>
      </c>
    </row>
    <row r="1513" spans="1:32" ht="28.8" x14ac:dyDescent="0.3">
      <c r="A1513" t="s">
        <v>1826</v>
      </c>
      <c r="B1513" s="1" t="s">
        <v>1205</v>
      </c>
      <c r="C1513" s="5" t="s">
        <v>3578</v>
      </c>
      <c r="D1513" s="2" t="s">
        <v>5096</v>
      </c>
      <c r="E1513" s="1" t="s">
        <v>1113</v>
      </c>
      <c r="F1513" s="3"/>
      <c r="G1513" s="3"/>
      <c r="H1513" s="3"/>
      <c r="I1513" s="3"/>
      <c r="J1513" s="3"/>
      <c r="K1513" s="3"/>
      <c r="L1513" s="3"/>
      <c r="M1513" s="3"/>
      <c r="N1513" s="3"/>
      <c r="O1513" s="3"/>
      <c r="P1513" s="3"/>
      <c r="Q1513" s="3"/>
      <c r="R1513" s="3">
        <v>21.5</v>
      </c>
      <c r="S1513" s="3"/>
      <c r="T1513" s="3"/>
      <c r="U1513" s="3"/>
      <c r="V1513" s="3"/>
      <c r="W1513" s="3"/>
      <c r="X1513" s="3"/>
      <c r="Y1513" s="3"/>
      <c r="Z1513" s="3"/>
      <c r="AA1513" s="3">
        <v>12.1</v>
      </c>
      <c r="AB1513" s="3"/>
      <c r="AC1513" s="3"/>
      <c r="AD1513" s="3"/>
      <c r="AE1513" t="s">
        <v>6505</v>
      </c>
      <c r="AF1513" t="s">
        <v>2017</v>
      </c>
    </row>
    <row r="1514" spans="1:32" x14ac:dyDescent="0.3">
      <c r="A1514" t="s">
        <v>1826</v>
      </c>
      <c r="B1514" s="1" t="s">
        <v>1205</v>
      </c>
      <c r="C1514" s="5" t="s">
        <v>3579</v>
      </c>
      <c r="D1514" s="2" t="s">
        <v>5097</v>
      </c>
      <c r="E1514" s="1" t="s">
        <v>612</v>
      </c>
      <c r="F1514" s="3"/>
      <c r="G1514" s="3"/>
      <c r="H1514" s="3"/>
      <c r="I1514" s="3"/>
      <c r="J1514" s="3"/>
      <c r="K1514" s="3">
        <v>8.1999999999999993</v>
      </c>
      <c r="L1514" s="3"/>
      <c r="M1514" s="3"/>
      <c r="N1514" s="3"/>
      <c r="O1514" s="3"/>
      <c r="P1514" s="3"/>
      <c r="Q1514" s="3"/>
      <c r="R1514" s="3">
        <v>9.8000000000000007</v>
      </c>
      <c r="S1514" s="3"/>
      <c r="T1514" s="3"/>
      <c r="U1514" s="3"/>
      <c r="V1514" s="3"/>
      <c r="W1514" s="3"/>
      <c r="X1514" s="3"/>
      <c r="Y1514" s="3"/>
      <c r="Z1514" s="3"/>
      <c r="AA1514" s="3">
        <v>7.4</v>
      </c>
      <c r="AB1514" s="3"/>
      <c r="AC1514" s="3"/>
      <c r="AD1514" s="3"/>
      <c r="AE1514" t="s">
        <v>6506</v>
      </c>
      <c r="AF1514" t="s">
        <v>1671</v>
      </c>
    </row>
    <row r="1515" spans="1:32" x14ac:dyDescent="0.3">
      <c r="A1515" t="s">
        <v>1826</v>
      </c>
      <c r="B1515" s="1" t="s">
        <v>1205</v>
      </c>
      <c r="C1515" s="5" t="s">
        <v>3580</v>
      </c>
      <c r="D1515" s="2" t="s">
        <v>5098</v>
      </c>
      <c r="E1515" s="1" t="s">
        <v>776</v>
      </c>
      <c r="F1515" s="3"/>
      <c r="G1515" s="3"/>
      <c r="H1515" s="3"/>
      <c r="I1515" s="3"/>
      <c r="J1515" s="3"/>
      <c r="K1515" s="3">
        <v>34.5</v>
      </c>
      <c r="L1515" s="3"/>
      <c r="M1515" s="3"/>
      <c r="N1515" s="3"/>
      <c r="O1515" s="3"/>
      <c r="P1515" s="3"/>
      <c r="Q1515" s="3"/>
      <c r="R1515" s="3">
        <v>33.200000000000003</v>
      </c>
      <c r="S1515" s="3"/>
      <c r="T1515" s="3"/>
      <c r="U1515" s="3"/>
      <c r="V1515" s="3"/>
      <c r="W1515" s="3"/>
      <c r="X1515" s="3"/>
      <c r="Y1515" s="3"/>
      <c r="Z1515" s="3"/>
      <c r="AA1515" s="3">
        <v>25.8</v>
      </c>
      <c r="AB1515" s="3"/>
      <c r="AC1515" s="3"/>
      <c r="AD1515" s="3"/>
      <c r="AE1515" t="s">
        <v>6507</v>
      </c>
      <c r="AF1515" t="s">
        <v>614</v>
      </c>
    </row>
    <row r="1516" spans="1:32" x14ac:dyDescent="0.3">
      <c r="A1516" t="s">
        <v>1826</v>
      </c>
      <c r="B1516" s="1" t="s">
        <v>1205</v>
      </c>
      <c r="C1516" s="5" t="s">
        <v>3581</v>
      </c>
      <c r="D1516" s="2" t="s">
        <v>5099</v>
      </c>
      <c r="E1516" s="1" t="s">
        <v>1693</v>
      </c>
      <c r="F1516" s="3">
        <v>59.484528663580903</v>
      </c>
      <c r="G1516" s="3">
        <v>59.814423120970901</v>
      </c>
      <c r="H1516" s="3">
        <v>60.068463590709399</v>
      </c>
      <c r="I1516" s="3">
        <v>60.304748019103798</v>
      </c>
      <c r="J1516" s="3">
        <v>60.501495039027297</v>
      </c>
      <c r="K1516" s="3">
        <v>60.712826721531897</v>
      </c>
      <c r="L1516" s="3">
        <v>60.937714383994503</v>
      </c>
      <c r="M1516" s="3">
        <v>61.163867839712303</v>
      </c>
      <c r="N1516" s="3">
        <v>61.410273180475201</v>
      </c>
      <c r="O1516" s="3">
        <v>61.688508430166799</v>
      </c>
      <c r="P1516" s="3">
        <v>61.975770703863702</v>
      </c>
      <c r="Q1516" s="3">
        <v>62.337456248966298</v>
      </c>
      <c r="R1516" s="3">
        <v>62.711171039400298</v>
      </c>
      <c r="S1516" s="3">
        <v>63.091703015959403</v>
      </c>
      <c r="T1516" s="3">
        <v>63.517901402938698</v>
      </c>
      <c r="U1516" s="3">
        <v>64.009023510135805</v>
      </c>
      <c r="V1516" s="3">
        <v>64.528500654169093</v>
      </c>
      <c r="W1516" s="3">
        <v>65.082393968417705</v>
      </c>
      <c r="X1516" s="3">
        <v>65.598028964486105</v>
      </c>
      <c r="Y1516" s="3">
        <v>66.042538677794994</v>
      </c>
      <c r="Z1516" s="3">
        <v>66.450429729750297</v>
      </c>
      <c r="AA1516" s="3">
        <v>66.866817952726095</v>
      </c>
      <c r="AB1516" s="3">
        <v>67.255453760081096</v>
      </c>
      <c r="AC1516" s="3"/>
      <c r="AD1516" s="3"/>
      <c r="AE1516" t="s">
        <v>6508</v>
      </c>
      <c r="AF1516" t="s">
        <v>143</v>
      </c>
    </row>
    <row r="1517" spans="1:32" x14ac:dyDescent="0.3">
      <c r="A1517" t="s">
        <v>1826</v>
      </c>
      <c r="B1517" s="1" t="s">
        <v>1205</v>
      </c>
      <c r="C1517" s="5" t="s">
        <v>3582</v>
      </c>
      <c r="D1517" s="2" t="s">
        <v>5100</v>
      </c>
      <c r="E1517" s="1" t="s">
        <v>850</v>
      </c>
      <c r="F1517" s="3">
        <v>12000</v>
      </c>
      <c r="G1517" s="3">
        <v>10000</v>
      </c>
      <c r="H1517" s="3">
        <v>9400</v>
      </c>
      <c r="I1517" s="3">
        <v>8400</v>
      </c>
      <c r="J1517" s="3">
        <v>8200</v>
      </c>
      <c r="K1517" s="3">
        <v>6900</v>
      </c>
      <c r="L1517" s="3">
        <v>6500</v>
      </c>
      <c r="M1517" s="3">
        <v>6100</v>
      </c>
      <c r="N1517" s="3">
        <v>5500</v>
      </c>
      <c r="O1517" s="3">
        <v>5100</v>
      </c>
      <c r="P1517" s="3">
        <v>4900</v>
      </c>
      <c r="Q1517" s="3">
        <v>5000</v>
      </c>
      <c r="R1517" s="3">
        <v>4300</v>
      </c>
      <c r="S1517" s="3">
        <v>4100</v>
      </c>
      <c r="T1517" s="3">
        <v>3800</v>
      </c>
      <c r="U1517" s="3">
        <v>3600</v>
      </c>
      <c r="V1517" s="3">
        <v>3500</v>
      </c>
      <c r="W1517" s="3">
        <v>3000</v>
      </c>
      <c r="X1517" s="3">
        <v>2600</v>
      </c>
      <c r="Y1517" s="3">
        <v>2400</v>
      </c>
      <c r="Z1517" s="3">
        <v>2200</v>
      </c>
      <c r="AA1517" s="3">
        <v>2200</v>
      </c>
      <c r="AB1517" s="3">
        <v>1900</v>
      </c>
      <c r="AC1517" s="3"/>
      <c r="AD1517" s="3"/>
      <c r="AE1517" t="s">
        <v>6509</v>
      </c>
      <c r="AF1517" t="s">
        <v>1170</v>
      </c>
    </row>
    <row r="1518" spans="1:32" x14ac:dyDescent="0.3">
      <c r="B1518" s="1"/>
      <c r="E1518" s="1"/>
    </row>
    <row r="1519" spans="1:32" x14ac:dyDescent="0.3">
      <c r="B1519" s="1"/>
      <c r="E1519" s="1"/>
    </row>
    <row r="1520" spans="1:32" x14ac:dyDescent="0.3">
      <c r="B1520" s="1"/>
      <c r="E1520" s="1"/>
    </row>
    <row r="1521" spans="1:5" x14ac:dyDescent="0.3">
      <c r="A1521" t="s">
        <v>7</v>
      </c>
      <c r="B1521" s="1"/>
      <c r="E1521" s="1"/>
    </row>
    <row r="1522" spans="1:5" x14ac:dyDescent="0.3">
      <c r="A1522" t="s">
        <v>989</v>
      </c>
    </row>
  </sheetData>
  <hyperlinks>
    <hyperlink ref="D2" r:id="rId1" display="https://donnees.banquemondiale.org/indicateur/" xr:uid="{AE64C9E9-979C-42BA-A352-3E455A9CCA9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4689-48BF-4FFF-AAFC-9C0BB5B41474}">
  <dimension ref="A1:R136"/>
  <sheetViews>
    <sheetView topLeftCell="A113" workbookViewId="0">
      <selection activeCell="B127" sqref="A1:XFD1048576"/>
    </sheetView>
  </sheetViews>
  <sheetFormatPr baseColWidth="10" defaultRowHeight="14.4" x14ac:dyDescent="0.3"/>
  <cols>
    <col min="1" max="1" width="56" customWidth="1"/>
    <col min="2" max="15" width="12.109375" bestFit="1" customWidth="1"/>
  </cols>
  <sheetData>
    <row r="1" spans="1:14" ht="20.399999999999999" x14ac:dyDescent="0.3">
      <c r="A1" s="9" t="s">
        <v>5128</v>
      </c>
      <c r="B1" s="14"/>
      <c r="C1" s="14"/>
      <c r="D1" s="14"/>
      <c r="E1" s="14"/>
      <c r="F1" s="15"/>
      <c r="G1" s="15"/>
      <c r="H1" s="15"/>
      <c r="I1" s="15"/>
      <c r="J1" s="14"/>
      <c r="K1" s="14"/>
      <c r="L1" s="14"/>
      <c r="M1" s="14"/>
      <c r="N1" s="14"/>
    </row>
    <row r="2" spans="1:14" x14ac:dyDescent="0.3">
      <c r="A2" s="14"/>
      <c r="B2" s="14"/>
      <c r="C2" s="14"/>
      <c r="D2" s="14"/>
      <c r="E2" s="14"/>
      <c r="F2" s="14"/>
      <c r="G2" s="14"/>
      <c r="H2" s="14"/>
      <c r="I2" s="14"/>
      <c r="J2" s="14"/>
      <c r="K2" s="14"/>
      <c r="L2" s="14"/>
      <c r="M2" s="14"/>
      <c r="N2" s="14"/>
    </row>
    <row r="3" spans="1:14" ht="17.399999999999999" x14ac:dyDescent="0.3">
      <c r="A3" s="15" t="s">
        <v>5129</v>
      </c>
      <c r="B3" s="16"/>
      <c r="C3" s="16"/>
      <c r="D3" s="16"/>
      <c r="E3" s="16"/>
      <c r="F3" s="16"/>
      <c r="G3" s="16"/>
      <c r="H3" s="14"/>
      <c r="I3" s="14"/>
      <c r="J3" s="14"/>
      <c r="K3" s="17"/>
      <c r="L3" s="17"/>
      <c r="M3" s="17"/>
      <c r="N3" s="14"/>
    </row>
    <row r="4" spans="1:14" ht="15.6" x14ac:dyDescent="0.3">
      <c r="A4" s="18" t="s">
        <v>5102</v>
      </c>
      <c r="B4" s="19">
        <v>2011</v>
      </c>
      <c r="C4" s="19">
        <v>2012</v>
      </c>
      <c r="D4" s="19">
        <v>2013</v>
      </c>
      <c r="E4" s="19">
        <v>2014</v>
      </c>
      <c r="F4" s="19">
        <v>2015</v>
      </c>
      <c r="G4" s="19">
        <v>2016</v>
      </c>
      <c r="H4" s="19">
        <v>2017</v>
      </c>
      <c r="I4" s="19">
        <v>2018</v>
      </c>
      <c r="J4" s="19">
        <v>2019</v>
      </c>
      <c r="K4" s="19">
        <v>2020</v>
      </c>
      <c r="L4" s="19">
        <v>2021</v>
      </c>
      <c r="M4" s="19">
        <v>2022</v>
      </c>
      <c r="N4" s="19" t="s">
        <v>5103</v>
      </c>
    </row>
    <row r="5" spans="1:14" ht="15.6" x14ac:dyDescent="0.3">
      <c r="A5" s="20" t="s">
        <v>5104</v>
      </c>
      <c r="B5" s="21">
        <v>20.2</v>
      </c>
      <c r="C5" s="21">
        <v>17.5</v>
      </c>
      <c r="D5" s="21">
        <v>16</v>
      </c>
      <c r="E5" s="21">
        <v>16.2</v>
      </c>
      <c r="F5" s="21">
        <v>18.399999999999999</v>
      </c>
      <c r="G5" s="21">
        <v>17.399999999999999</v>
      </c>
      <c r="H5" s="21">
        <v>16.899999999999999</v>
      </c>
      <c r="I5" s="21">
        <v>17.899999999999999</v>
      </c>
      <c r="J5" s="21">
        <v>15.7</v>
      </c>
      <c r="K5" s="21">
        <v>16.899999999999999</v>
      </c>
      <c r="L5" s="21">
        <v>16.200000000000003</v>
      </c>
      <c r="M5" s="21">
        <v>16.600000000000001</v>
      </c>
      <c r="N5" s="21">
        <v>15.2</v>
      </c>
    </row>
    <row r="6" spans="1:14" ht="15.6" x14ac:dyDescent="0.3">
      <c r="A6" s="22" t="s">
        <v>5105</v>
      </c>
      <c r="B6" s="23">
        <v>8.6</v>
      </c>
      <c r="C6" s="23">
        <v>7.8</v>
      </c>
      <c r="D6" s="23">
        <v>6.5</v>
      </c>
      <c r="E6" s="23">
        <v>6.9</v>
      </c>
      <c r="F6" s="23">
        <v>5.0999999999999996</v>
      </c>
      <c r="G6" s="23">
        <v>5.2</v>
      </c>
      <c r="H6" s="23">
        <v>4.7</v>
      </c>
      <c r="I6" s="23">
        <v>5.3</v>
      </c>
      <c r="J6" s="23">
        <v>5.0999999999999996</v>
      </c>
      <c r="K6" s="23">
        <v>5.7</v>
      </c>
      <c r="L6" s="23">
        <v>5.4</v>
      </c>
      <c r="M6" s="23">
        <v>5.9</v>
      </c>
      <c r="N6" s="23">
        <v>5.8</v>
      </c>
    </row>
    <row r="7" spans="1:14" ht="15.6" x14ac:dyDescent="0.3">
      <c r="A7" s="24" t="s">
        <v>5106</v>
      </c>
      <c r="B7" s="25">
        <v>7.8</v>
      </c>
      <c r="C7" s="25">
        <v>7</v>
      </c>
      <c r="D7" s="25">
        <v>5.9</v>
      </c>
      <c r="E7" s="25">
        <v>6.2</v>
      </c>
      <c r="F7" s="25">
        <v>4.5999999999999996</v>
      </c>
      <c r="G7" s="25">
        <v>4.5999999999999996</v>
      </c>
      <c r="H7" s="25">
        <v>4.3</v>
      </c>
      <c r="I7" s="25">
        <v>4.8</v>
      </c>
      <c r="J7" s="25">
        <v>4.7</v>
      </c>
      <c r="K7" s="25">
        <v>5.2</v>
      </c>
      <c r="L7" s="25">
        <v>5</v>
      </c>
      <c r="M7" s="25">
        <v>5.4</v>
      </c>
      <c r="N7" s="25">
        <v>5.2</v>
      </c>
    </row>
    <row r="8" spans="1:14" ht="15.6" x14ac:dyDescent="0.3">
      <c r="A8" s="24" t="s">
        <v>5107</v>
      </c>
      <c r="B8" s="25">
        <v>0.8</v>
      </c>
      <c r="C8" s="25">
        <v>0.8</v>
      </c>
      <c r="D8" s="25">
        <v>0.6</v>
      </c>
      <c r="E8" s="25">
        <v>0.7</v>
      </c>
      <c r="F8" s="25">
        <v>0.5</v>
      </c>
      <c r="G8" s="25">
        <v>0.60000000000000053</v>
      </c>
      <c r="H8" s="25">
        <v>0.40000000000000036</v>
      </c>
      <c r="I8" s="25">
        <v>0.5</v>
      </c>
      <c r="J8" s="25">
        <v>0.39999999999999947</v>
      </c>
      <c r="K8" s="25">
        <v>0.5</v>
      </c>
      <c r="L8" s="25">
        <v>0.40000000000000036</v>
      </c>
      <c r="M8" s="25">
        <v>0.5</v>
      </c>
      <c r="N8" s="25">
        <v>0.59999999999999964</v>
      </c>
    </row>
    <row r="9" spans="1:14" ht="15.6" x14ac:dyDescent="0.3">
      <c r="A9" s="22" t="s">
        <v>5108</v>
      </c>
      <c r="B9" s="23">
        <v>10.5</v>
      </c>
      <c r="C9" s="23">
        <v>8.9</v>
      </c>
      <c r="D9" s="23">
        <v>8.6999999999999993</v>
      </c>
      <c r="E9" s="23">
        <v>8.6</v>
      </c>
      <c r="F9" s="23">
        <v>12.1</v>
      </c>
      <c r="G9" s="23">
        <v>11.4</v>
      </c>
      <c r="H9" s="23">
        <v>11.4</v>
      </c>
      <c r="I9" s="23">
        <v>11.8</v>
      </c>
      <c r="J9" s="23">
        <v>9.8000000000000007</v>
      </c>
      <c r="K9" s="23">
        <v>10.199999999999999</v>
      </c>
      <c r="L9" s="23">
        <v>9.9</v>
      </c>
      <c r="M9" s="23">
        <v>9.6999999999999993</v>
      </c>
      <c r="N9" s="23">
        <v>8.5</v>
      </c>
    </row>
    <row r="10" spans="1:14" ht="15.6" x14ac:dyDescent="0.3">
      <c r="A10" s="22" t="s">
        <v>5109</v>
      </c>
      <c r="B10" s="23">
        <v>0.2</v>
      </c>
      <c r="C10" s="23">
        <v>0.1</v>
      </c>
      <c r="D10" s="23">
        <v>0.2</v>
      </c>
      <c r="E10" s="23">
        <v>0.1</v>
      </c>
      <c r="F10" s="23">
        <v>0.6</v>
      </c>
      <c r="G10" s="23">
        <v>0.4</v>
      </c>
      <c r="H10" s="23">
        <v>0.5</v>
      </c>
      <c r="I10" s="23">
        <v>0.5</v>
      </c>
      <c r="J10" s="23">
        <v>0.4</v>
      </c>
      <c r="K10" s="23">
        <v>0.4</v>
      </c>
      <c r="L10" s="23">
        <v>0.4</v>
      </c>
      <c r="M10" s="23">
        <v>0.4</v>
      </c>
      <c r="N10" s="23">
        <v>0.4</v>
      </c>
    </row>
    <row r="11" spans="1:14" ht="15.6" x14ac:dyDescent="0.3">
      <c r="A11" s="22" t="s">
        <v>5110</v>
      </c>
      <c r="B11" s="23">
        <v>1</v>
      </c>
      <c r="C11" s="23">
        <v>0.7</v>
      </c>
      <c r="D11" s="23">
        <v>0.7</v>
      </c>
      <c r="E11" s="23">
        <v>0.7</v>
      </c>
      <c r="F11" s="23">
        <v>0.5</v>
      </c>
      <c r="G11" s="23">
        <v>0.4</v>
      </c>
      <c r="H11" s="23">
        <v>0.4</v>
      </c>
      <c r="I11" s="23">
        <v>0.4</v>
      </c>
      <c r="J11" s="23">
        <v>0.4</v>
      </c>
      <c r="K11" s="23">
        <v>0.6</v>
      </c>
      <c r="L11" s="23">
        <v>0.5</v>
      </c>
      <c r="M11" s="23">
        <v>0.6</v>
      </c>
      <c r="N11" s="23">
        <v>0.6</v>
      </c>
    </row>
    <row r="12" spans="1:14" ht="15.6" x14ac:dyDescent="0.3">
      <c r="A12" s="20" t="s">
        <v>5111</v>
      </c>
      <c r="B12" s="21">
        <v>19.3</v>
      </c>
      <c r="C12" s="21">
        <v>20.100000000000001</v>
      </c>
      <c r="D12" s="21">
        <v>22.2</v>
      </c>
      <c r="E12" s="21">
        <v>23.9</v>
      </c>
      <c r="F12" s="21">
        <v>20.100000000000001</v>
      </c>
      <c r="G12" s="21">
        <v>20.8</v>
      </c>
      <c r="H12" s="21">
        <v>19.8</v>
      </c>
      <c r="I12" s="21">
        <v>19.100000000000001</v>
      </c>
      <c r="J12" s="21">
        <v>21.6</v>
      </c>
      <c r="K12" s="21">
        <v>20.7</v>
      </c>
      <c r="L12" s="21">
        <v>22.1</v>
      </c>
      <c r="M12" s="21">
        <v>23</v>
      </c>
      <c r="N12" s="21">
        <v>22.9</v>
      </c>
    </row>
    <row r="13" spans="1:14" ht="15.6" x14ac:dyDescent="0.3">
      <c r="A13" s="22" t="s">
        <v>5112</v>
      </c>
      <c r="B13" s="23">
        <v>5.9</v>
      </c>
      <c r="C13" s="23">
        <v>4.3</v>
      </c>
      <c r="D13" s="23">
        <v>3.8</v>
      </c>
      <c r="E13" s="23">
        <v>2.9</v>
      </c>
      <c r="F13" s="23">
        <v>3.3</v>
      </c>
      <c r="G13" s="23">
        <v>3.2</v>
      </c>
      <c r="H13" s="23">
        <v>3.2</v>
      </c>
      <c r="I13" s="23">
        <v>2.5</v>
      </c>
      <c r="J13" s="23">
        <v>3.3</v>
      </c>
      <c r="K13" s="23">
        <v>3</v>
      </c>
      <c r="L13" s="23">
        <v>2.9</v>
      </c>
      <c r="M13" s="23">
        <v>4</v>
      </c>
      <c r="N13" s="23">
        <v>4</v>
      </c>
    </row>
    <row r="14" spans="1:14" ht="15.6" x14ac:dyDescent="0.3">
      <c r="A14" s="22" t="s">
        <v>5113</v>
      </c>
      <c r="B14" s="23">
        <v>0.7</v>
      </c>
      <c r="C14" s="23">
        <v>0.8</v>
      </c>
      <c r="D14" s="23">
        <v>0.9</v>
      </c>
      <c r="E14" s="23">
        <v>1.8</v>
      </c>
      <c r="F14" s="23">
        <v>0.5</v>
      </c>
      <c r="G14" s="23">
        <v>1</v>
      </c>
      <c r="H14" s="23">
        <v>0.6</v>
      </c>
      <c r="I14" s="23">
        <v>1.1000000000000001</v>
      </c>
      <c r="J14" s="23">
        <v>1.7</v>
      </c>
      <c r="K14" s="23">
        <v>1.4</v>
      </c>
      <c r="L14" s="23">
        <v>2.2999999999999998</v>
      </c>
      <c r="M14" s="23">
        <v>1.7</v>
      </c>
      <c r="N14" s="23">
        <v>1.6</v>
      </c>
    </row>
    <row r="15" spans="1:14" ht="15.6" x14ac:dyDescent="0.3">
      <c r="A15" s="22" t="s">
        <v>5114</v>
      </c>
      <c r="B15" s="23">
        <v>0.4</v>
      </c>
      <c r="C15" s="23">
        <v>0.5</v>
      </c>
      <c r="D15" s="23">
        <v>0.8</v>
      </c>
      <c r="E15" s="23">
        <v>1.7</v>
      </c>
      <c r="F15" s="23">
        <v>0.9</v>
      </c>
      <c r="G15" s="23">
        <v>1.1000000000000001</v>
      </c>
      <c r="H15" s="23">
        <v>0.9</v>
      </c>
      <c r="I15" s="23">
        <v>1.3</v>
      </c>
      <c r="J15" s="23">
        <v>1.5</v>
      </c>
      <c r="K15" s="23">
        <v>1.3</v>
      </c>
      <c r="L15" s="23">
        <v>1.4</v>
      </c>
      <c r="M15" s="23">
        <v>1.3</v>
      </c>
      <c r="N15" s="23">
        <v>1.3</v>
      </c>
    </row>
    <row r="16" spans="1:14" ht="15.6" x14ac:dyDescent="0.3">
      <c r="A16" s="22" t="s">
        <v>5115</v>
      </c>
      <c r="B16" s="23">
        <v>2.9</v>
      </c>
      <c r="C16" s="23">
        <v>4.5</v>
      </c>
      <c r="D16" s="23">
        <v>4.7</v>
      </c>
      <c r="E16" s="23">
        <v>6.5</v>
      </c>
      <c r="F16" s="23">
        <v>4.5</v>
      </c>
      <c r="G16" s="23">
        <v>4</v>
      </c>
      <c r="H16" s="23">
        <v>4.5</v>
      </c>
      <c r="I16" s="23">
        <v>4</v>
      </c>
      <c r="J16" s="23">
        <v>4.5</v>
      </c>
      <c r="K16" s="23">
        <v>4.3</v>
      </c>
      <c r="L16" s="23">
        <v>4.3</v>
      </c>
      <c r="M16" s="23">
        <v>4.9000000000000004</v>
      </c>
      <c r="N16" s="23">
        <v>4.4000000000000004</v>
      </c>
    </row>
    <row r="17" spans="1:14" ht="15.6" x14ac:dyDescent="0.3">
      <c r="A17" s="22" t="s">
        <v>5116</v>
      </c>
      <c r="B17" s="23">
        <v>9.4</v>
      </c>
      <c r="C17" s="23">
        <v>10</v>
      </c>
      <c r="D17" s="23">
        <v>12</v>
      </c>
      <c r="E17" s="23">
        <v>11.1</v>
      </c>
      <c r="F17" s="23">
        <v>11</v>
      </c>
      <c r="G17" s="23">
        <v>11.600000000000001</v>
      </c>
      <c r="H17" s="23">
        <v>10.7</v>
      </c>
      <c r="I17" s="23">
        <v>10.199999999999999</v>
      </c>
      <c r="J17" s="23">
        <v>10.6</v>
      </c>
      <c r="K17" s="23">
        <v>10.7</v>
      </c>
      <c r="L17" s="23">
        <v>11.1</v>
      </c>
      <c r="M17" s="23">
        <v>11.100000000000001</v>
      </c>
      <c r="N17" s="23">
        <v>11.6</v>
      </c>
    </row>
    <row r="18" spans="1:14" ht="31.2" x14ac:dyDescent="0.3">
      <c r="A18" s="20" t="s">
        <v>5117</v>
      </c>
      <c r="B18" s="21">
        <v>49.3</v>
      </c>
      <c r="C18" s="21">
        <v>49</v>
      </c>
      <c r="D18" s="21">
        <v>48.4</v>
      </c>
      <c r="E18" s="21">
        <v>46.4</v>
      </c>
      <c r="F18" s="21">
        <v>47.2</v>
      </c>
      <c r="G18" s="21">
        <v>47.1</v>
      </c>
      <c r="H18" s="21">
        <v>48.2</v>
      </c>
      <c r="I18" s="21">
        <v>47.9</v>
      </c>
      <c r="J18" s="21">
        <v>46.9</v>
      </c>
      <c r="K18" s="21">
        <v>47</v>
      </c>
      <c r="L18" s="21">
        <v>45.6</v>
      </c>
      <c r="M18" s="21">
        <v>45.2</v>
      </c>
      <c r="N18" s="21">
        <v>44.9</v>
      </c>
    </row>
    <row r="19" spans="1:14" ht="15.6" x14ac:dyDescent="0.3">
      <c r="A19" s="22" t="s">
        <v>5118</v>
      </c>
      <c r="B19" s="23">
        <v>11.2</v>
      </c>
      <c r="C19" s="23">
        <v>11.3</v>
      </c>
      <c r="D19" s="23">
        <v>11.9</v>
      </c>
      <c r="E19" s="23">
        <v>10.9</v>
      </c>
      <c r="F19" s="23">
        <v>10.1</v>
      </c>
      <c r="G19" s="23">
        <v>10</v>
      </c>
      <c r="H19" s="23">
        <v>9.9</v>
      </c>
      <c r="I19" s="23">
        <v>8.9</v>
      </c>
      <c r="J19" s="23">
        <v>8.6</v>
      </c>
      <c r="K19" s="23">
        <v>8.5</v>
      </c>
      <c r="L19" s="23">
        <v>10</v>
      </c>
      <c r="M19" s="23">
        <v>9.6999999999999993</v>
      </c>
      <c r="N19" s="23">
        <v>9.4</v>
      </c>
    </row>
    <row r="20" spans="1:14" ht="15.6" x14ac:dyDescent="0.3">
      <c r="A20" s="22" t="s">
        <v>5119</v>
      </c>
      <c r="B20" s="23">
        <v>3.6</v>
      </c>
      <c r="C20" s="23">
        <v>4.4000000000000004</v>
      </c>
      <c r="D20" s="23">
        <v>4.3</v>
      </c>
      <c r="E20" s="23">
        <v>4</v>
      </c>
      <c r="F20" s="23">
        <v>2.7</v>
      </c>
      <c r="G20" s="23">
        <v>2.7</v>
      </c>
      <c r="H20" s="23">
        <v>2</v>
      </c>
      <c r="I20" s="23">
        <v>1.9</v>
      </c>
      <c r="J20" s="23">
        <v>2</v>
      </c>
      <c r="K20" s="23">
        <v>2.1</v>
      </c>
      <c r="L20" s="23">
        <v>2.2000000000000002</v>
      </c>
      <c r="M20" s="23">
        <v>2.1</v>
      </c>
      <c r="N20" s="23">
        <v>2.1</v>
      </c>
    </row>
    <row r="21" spans="1:14" ht="15.6" x14ac:dyDescent="0.3">
      <c r="A21" s="22" t="s">
        <v>5120</v>
      </c>
      <c r="B21" s="23">
        <v>16.3</v>
      </c>
      <c r="C21" s="23">
        <v>14.5</v>
      </c>
      <c r="D21" s="23">
        <v>13.9</v>
      </c>
      <c r="E21" s="23">
        <v>13.8</v>
      </c>
      <c r="F21" s="23">
        <v>14</v>
      </c>
      <c r="G21" s="23">
        <v>14.7</v>
      </c>
      <c r="H21" s="23">
        <v>16.2</v>
      </c>
      <c r="I21" s="23">
        <v>17.100000000000001</v>
      </c>
      <c r="J21" s="23">
        <v>15.8</v>
      </c>
      <c r="K21" s="23">
        <v>17</v>
      </c>
      <c r="L21" s="23">
        <v>15</v>
      </c>
      <c r="M21" s="23">
        <v>15.2</v>
      </c>
      <c r="N21" s="23">
        <v>15</v>
      </c>
    </row>
    <row r="22" spans="1:14" ht="15.6" x14ac:dyDescent="0.3">
      <c r="A22" s="22" t="s">
        <v>5121</v>
      </c>
      <c r="B22" s="23">
        <v>18.2</v>
      </c>
      <c r="C22" s="23">
        <v>18.7</v>
      </c>
      <c r="D22" s="23">
        <v>18.2</v>
      </c>
      <c r="E22" s="23">
        <v>17.7</v>
      </c>
      <c r="F22" s="23">
        <v>20.3</v>
      </c>
      <c r="G22" s="23">
        <v>19.8</v>
      </c>
      <c r="H22" s="23">
        <v>20.2</v>
      </c>
      <c r="I22" s="23">
        <v>20.100000000000001</v>
      </c>
      <c r="J22" s="23">
        <v>20.5</v>
      </c>
      <c r="K22" s="23">
        <v>19.399999999999999</v>
      </c>
      <c r="L22" s="23">
        <v>18.3</v>
      </c>
      <c r="M22" s="23">
        <v>18.2</v>
      </c>
      <c r="N22" s="23">
        <v>18.399999999999999</v>
      </c>
    </row>
    <row r="23" spans="1:14" ht="31.2" x14ac:dyDescent="0.3">
      <c r="A23" s="20" t="s">
        <v>5122</v>
      </c>
      <c r="B23" s="21">
        <v>88.8</v>
      </c>
      <c r="C23" s="21">
        <v>86.6</v>
      </c>
      <c r="D23" s="21">
        <v>86.6</v>
      </c>
      <c r="E23" s="21">
        <v>86.5</v>
      </c>
      <c r="F23" s="21">
        <v>85.700000000000017</v>
      </c>
      <c r="G23" s="21">
        <v>85.300000000000011</v>
      </c>
      <c r="H23" s="21">
        <v>85</v>
      </c>
      <c r="I23" s="21">
        <v>84.9</v>
      </c>
      <c r="J23" s="21">
        <v>84.2</v>
      </c>
      <c r="K23" s="21">
        <v>84.6</v>
      </c>
      <c r="L23" s="21">
        <v>83.9</v>
      </c>
      <c r="M23" s="21">
        <v>84.9</v>
      </c>
      <c r="N23" s="21">
        <v>83</v>
      </c>
    </row>
    <row r="24" spans="1:14" ht="15.6" x14ac:dyDescent="0.3">
      <c r="A24" s="22" t="s">
        <v>5123</v>
      </c>
      <c r="B24" s="23">
        <v>5.7</v>
      </c>
      <c r="C24" s="23">
        <v>6.2</v>
      </c>
      <c r="D24" s="23">
        <v>6.1</v>
      </c>
      <c r="E24" s="23">
        <v>6.1</v>
      </c>
      <c r="F24" s="23">
        <v>6.5</v>
      </c>
      <c r="G24" s="23">
        <v>6.9</v>
      </c>
      <c r="H24" s="23">
        <v>7</v>
      </c>
      <c r="I24" s="23">
        <v>7.2</v>
      </c>
      <c r="J24" s="23">
        <v>7.6</v>
      </c>
      <c r="K24" s="23">
        <v>7.7</v>
      </c>
      <c r="L24" s="23">
        <v>7.6</v>
      </c>
      <c r="M24" s="23">
        <v>6.9</v>
      </c>
      <c r="N24" s="23">
        <v>7</v>
      </c>
    </row>
    <row r="25" spans="1:14" ht="15.6" x14ac:dyDescent="0.3">
      <c r="A25" s="22" t="s">
        <v>5124</v>
      </c>
      <c r="B25" s="23">
        <v>0.4</v>
      </c>
      <c r="C25" s="23">
        <v>0.4</v>
      </c>
      <c r="D25" s="23">
        <v>0.4</v>
      </c>
      <c r="E25" s="23">
        <v>0.4</v>
      </c>
      <c r="F25" s="23">
        <v>0.4</v>
      </c>
      <c r="G25" s="23">
        <v>0.5</v>
      </c>
      <c r="H25" s="23">
        <v>0.5</v>
      </c>
      <c r="I25" s="23">
        <v>0.5</v>
      </c>
      <c r="J25" s="23">
        <v>0.5</v>
      </c>
      <c r="K25" s="23">
        <v>0.9</v>
      </c>
      <c r="L25" s="23">
        <v>0.9</v>
      </c>
      <c r="M25" s="23">
        <v>0.8</v>
      </c>
      <c r="N25" s="23">
        <v>0.8</v>
      </c>
    </row>
    <row r="26" spans="1:14" ht="15.6" x14ac:dyDescent="0.3">
      <c r="A26" s="20" t="s">
        <v>5125</v>
      </c>
      <c r="B26" s="21">
        <v>6.1000000000000005</v>
      </c>
      <c r="C26" s="21">
        <v>6.6000000000000005</v>
      </c>
      <c r="D26" s="21">
        <v>6.5</v>
      </c>
      <c r="E26" s="21">
        <v>6.5</v>
      </c>
      <c r="F26" s="21">
        <v>6.9</v>
      </c>
      <c r="G26" s="21">
        <v>7.4</v>
      </c>
      <c r="H26" s="21">
        <v>7.5</v>
      </c>
      <c r="I26" s="21">
        <v>7.7</v>
      </c>
      <c r="J26" s="21">
        <v>8.1</v>
      </c>
      <c r="K26" s="21">
        <v>8.6</v>
      </c>
      <c r="L26" s="21">
        <v>8.5</v>
      </c>
      <c r="M26" s="21">
        <v>7.7</v>
      </c>
      <c r="N26" s="21">
        <v>7.8</v>
      </c>
    </row>
    <row r="27" spans="1:14" ht="15.6" x14ac:dyDescent="0.3">
      <c r="A27" s="20" t="s">
        <v>5126</v>
      </c>
      <c r="B27" s="21">
        <v>5.0999999999999996</v>
      </c>
      <c r="C27" s="21">
        <v>6.8</v>
      </c>
      <c r="D27" s="21">
        <v>6.9</v>
      </c>
      <c r="E27" s="21">
        <v>7</v>
      </c>
      <c r="F27" s="21">
        <v>7.4</v>
      </c>
      <c r="G27" s="21">
        <v>7.3</v>
      </c>
      <c r="H27" s="21">
        <v>7.5</v>
      </c>
      <c r="I27" s="21">
        <v>7.4</v>
      </c>
      <c r="J27" s="21">
        <v>7.7</v>
      </c>
      <c r="K27" s="21">
        <v>6.8</v>
      </c>
      <c r="L27" s="21">
        <v>7.6</v>
      </c>
      <c r="M27" s="21">
        <v>7.4</v>
      </c>
      <c r="N27" s="21">
        <v>9.1999999999999993</v>
      </c>
    </row>
    <row r="28" spans="1:14" ht="15.6" x14ac:dyDescent="0.3">
      <c r="A28" s="26" t="s">
        <v>5127</v>
      </c>
      <c r="B28" s="27">
        <v>100</v>
      </c>
      <c r="C28" s="27">
        <v>100</v>
      </c>
      <c r="D28" s="27">
        <v>100</v>
      </c>
      <c r="E28" s="27">
        <v>100</v>
      </c>
      <c r="F28" s="27">
        <v>100.00000000000001</v>
      </c>
      <c r="G28" s="27">
        <v>100.00000000000001</v>
      </c>
      <c r="H28" s="27">
        <v>100</v>
      </c>
      <c r="I28" s="27">
        <v>100</v>
      </c>
      <c r="J28" s="27">
        <v>100</v>
      </c>
      <c r="K28" s="27">
        <v>100</v>
      </c>
      <c r="L28" s="27">
        <v>100</v>
      </c>
      <c r="M28" s="27">
        <v>100</v>
      </c>
      <c r="N28" s="27">
        <v>100</v>
      </c>
    </row>
    <row r="29" spans="1:14" ht="15.6" x14ac:dyDescent="0.3">
      <c r="A29" s="28" t="s">
        <v>5130</v>
      </c>
      <c r="B29" s="29"/>
      <c r="C29" s="29"/>
      <c r="D29" s="29"/>
      <c r="E29" s="29"/>
      <c r="F29" s="29"/>
      <c r="G29" s="29"/>
      <c r="H29" s="29"/>
      <c r="I29" s="29"/>
      <c r="J29" s="29"/>
      <c r="K29" s="29"/>
      <c r="L29" s="29"/>
      <c r="M29" s="29"/>
      <c r="N29" s="29"/>
    </row>
    <row r="30" spans="1:14" x14ac:dyDescent="0.3">
      <c r="A30" s="14"/>
      <c r="B30" s="14"/>
      <c r="C30" s="14"/>
      <c r="D30" s="14"/>
      <c r="E30" s="14"/>
      <c r="F30" s="14"/>
      <c r="G30" s="14"/>
      <c r="H30" s="14"/>
      <c r="I30" s="14"/>
      <c r="J30" s="14"/>
      <c r="K30" s="14"/>
      <c r="L30" s="14"/>
      <c r="M30" s="14"/>
      <c r="N30" s="14"/>
    </row>
    <row r="31" spans="1:14" x14ac:dyDescent="0.3">
      <c r="A31" s="44" t="s">
        <v>5152</v>
      </c>
      <c r="B31" s="44"/>
      <c r="C31" s="44"/>
      <c r="D31" s="44"/>
      <c r="E31" s="44"/>
      <c r="F31" s="44"/>
      <c r="G31" s="44"/>
      <c r="L31" s="14"/>
      <c r="M31" s="14"/>
      <c r="N31" s="14"/>
    </row>
    <row r="32" spans="1:14" ht="15.6" x14ac:dyDescent="0.3">
      <c r="A32" s="45" t="s">
        <v>5102</v>
      </c>
      <c r="B32" s="8">
        <v>2015</v>
      </c>
      <c r="C32" s="8">
        <v>2016</v>
      </c>
      <c r="D32" s="8">
        <v>2017</v>
      </c>
      <c r="E32" s="8">
        <v>2018</v>
      </c>
      <c r="F32" s="8">
        <v>2019</v>
      </c>
      <c r="G32" s="8">
        <v>2020</v>
      </c>
      <c r="H32" s="8">
        <v>2021</v>
      </c>
      <c r="I32" s="8">
        <v>2022</v>
      </c>
      <c r="J32" s="8">
        <v>2023</v>
      </c>
      <c r="K32" s="8">
        <v>2024</v>
      </c>
      <c r="L32" s="14"/>
      <c r="M32" s="14"/>
      <c r="N32" s="14"/>
    </row>
    <row r="33" spans="1:14" ht="15.6" x14ac:dyDescent="0.3">
      <c r="A33" s="46" t="s">
        <v>5153</v>
      </c>
      <c r="B33" s="47" t="s">
        <v>5154</v>
      </c>
      <c r="C33" s="47" t="s">
        <v>5154</v>
      </c>
      <c r="D33" s="47" t="s">
        <v>5154</v>
      </c>
      <c r="E33" s="47" t="s">
        <v>5154</v>
      </c>
      <c r="F33" s="47" t="s">
        <v>5154</v>
      </c>
      <c r="G33" s="47" t="s">
        <v>5155</v>
      </c>
      <c r="H33" s="47" t="s">
        <v>5154</v>
      </c>
      <c r="I33" s="47" t="s">
        <v>5154</v>
      </c>
      <c r="J33" s="47" t="s">
        <v>5156</v>
      </c>
      <c r="K33" s="47" t="s">
        <v>5157</v>
      </c>
      <c r="L33" s="14"/>
      <c r="M33" s="14"/>
      <c r="N33" s="14"/>
    </row>
    <row r="34" spans="1:14" ht="15.6" x14ac:dyDescent="0.3">
      <c r="A34" s="48" t="s">
        <v>5137</v>
      </c>
      <c r="B34" s="49">
        <v>20.12155783018077</v>
      </c>
      <c r="C34" s="49">
        <v>20.820713814142024</v>
      </c>
      <c r="D34" s="49">
        <v>19.808562653240742</v>
      </c>
      <c r="E34" s="49">
        <v>19.111681889397815</v>
      </c>
      <c r="F34" s="49">
        <v>21.6</v>
      </c>
      <c r="G34" s="49">
        <v>20.7</v>
      </c>
      <c r="H34" s="49">
        <v>22.1</v>
      </c>
      <c r="I34" s="49">
        <v>23</v>
      </c>
      <c r="J34" s="49">
        <v>22.9</v>
      </c>
      <c r="K34" s="49">
        <v>22.7</v>
      </c>
      <c r="L34" s="14"/>
      <c r="M34" s="14"/>
      <c r="N34" s="14"/>
    </row>
    <row r="35" spans="1:14" ht="15.6" x14ac:dyDescent="0.3">
      <c r="A35" s="13" t="s">
        <v>5112</v>
      </c>
      <c r="B35" s="50">
        <v>3.304810128283354</v>
      </c>
      <c r="C35" s="50">
        <v>3.1788307833547038</v>
      </c>
      <c r="D35" s="50">
        <v>3.1734068021973365</v>
      </c>
      <c r="E35" s="50">
        <v>2.4589813180620266</v>
      </c>
      <c r="F35" s="50">
        <v>3.3</v>
      </c>
      <c r="G35" s="50">
        <v>3</v>
      </c>
      <c r="H35" s="50">
        <v>2.9</v>
      </c>
      <c r="I35" s="50">
        <v>4</v>
      </c>
      <c r="J35" s="50">
        <v>4</v>
      </c>
      <c r="K35" s="50">
        <v>3.9</v>
      </c>
      <c r="L35" s="14"/>
      <c r="M35" s="14"/>
      <c r="N35" s="14"/>
    </row>
    <row r="36" spans="1:14" ht="31.2" x14ac:dyDescent="0.3">
      <c r="A36" s="51" t="s">
        <v>5158</v>
      </c>
      <c r="B36" s="52">
        <v>1.0925791561489218</v>
      </c>
      <c r="C36" s="52">
        <v>0.8422877059694992</v>
      </c>
      <c r="D36" s="52">
        <v>1.7815021208923216</v>
      </c>
      <c r="E36" s="52">
        <v>2.5500943407457979</v>
      </c>
      <c r="F36" s="52">
        <v>0.9</v>
      </c>
      <c r="G36" s="52">
        <v>1.4</v>
      </c>
      <c r="H36" s="52">
        <v>1</v>
      </c>
      <c r="I36" s="52">
        <v>1.3</v>
      </c>
      <c r="J36" s="52">
        <v>1.2</v>
      </c>
      <c r="K36" s="52">
        <v>1.2</v>
      </c>
      <c r="L36" s="14"/>
      <c r="M36" s="14"/>
      <c r="N36" s="14"/>
    </row>
    <row r="37" spans="1:14" ht="15.6" x14ac:dyDescent="0.3">
      <c r="A37" s="13" t="s">
        <v>5116</v>
      </c>
      <c r="B37" s="50">
        <f t="shared" ref="B37:E37" si="0">B38+B39</f>
        <v>11.430599016841203</v>
      </c>
      <c r="C37" s="50">
        <f t="shared" si="0"/>
        <v>12.543034299052266</v>
      </c>
      <c r="D37" s="50">
        <f t="shared" si="0"/>
        <v>11.2836181003932</v>
      </c>
      <c r="E37" s="50">
        <f t="shared" si="0"/>
        <v>11.290984342232594</v>
      </c>
      <c r="F37" s="50">
        <f>F38+F39</f>
        <v>12.299999999999999</v>
      </c>
      <c r="G37" s="50">
        <f t="shared" ref="G37:K37" si="1">G38+G39</f>
        <v>12.1</v>
      </c>
      <c r="H37" s="50">
        <f t="shared" si="1"/>
        <v>13.5</v>
      </c>
      <c r="I37" s="50">
        <f t="shared" si="1"/>
        <v>12.799999999999999</v>
      </c>
      <c r="J37" s="50">
        <f t="shared" si="1"/>
        <v>13.2</v>
      </c>
      <c r="K37" s="50">
        <f t="shared" si="1"/>
        <v>13.299999999999999</v>
      </c>
      <c r="L37" s="14"/>
      <c r="M37" s="14"/>
      <c r="N37" s="14"/>
    </row>
    <row r="38" spans="1:14" ht="15.6" x14ac:dyDescent="0.3">
      <c r="A38" s="51" t="s">
        <v>5113</v>
      </c>
      <c r="B38" s="52">
        <v>0.45842618908619231</v>
      </c>
      <c r="C38" s="52">
        <v>0.95456743019441992</v>
      </c>
      <c r="D38" s="52">
        <v>0.57696129041504385</v>
      </c>
      <c r="E38" s="52">
        <v>1.067577986816814</v>
      </c>
      <c r="F38" s="52">
        <v>1.7</v>
      </c>
      <c r="G38" s="52">
        <v>1.4</v>
      </c>
      <c r="H38" s="52">
        <v>2.2999999999999998</v>
      </c>
      <c r="I38" s="52">
        <v>1.7</v>
      </c>
      <c r="J38" s="52">
        <v>1.6</v>
      </c>
      <c r="K38" s="52">
        <v>1.7</v>
      </c>
      <c r="L38" s="14"/>
      <c r="M38" s="14"/>
      <c r="N38" s="14"/>
    </row>
    <row r="39" spans="1:14" ht="31.2" x14ac:dyDescent="0.3">
      <c r="A39" s="51" t="s">
        <v>5159</v>
      </c>
      <c r="B39" s="52">
        <v>10.97217282775501</v>
      </c>
      <c r="C39" s="52">
        <v>11.588466868857846</v>
      </c>
      <c r="D39" s="52">
        <v>10.706656809978156</v>
      </c>
      <c r="E39" s="52">
        <v>10.223406355415781</v>
      </c>
      <c r="F39" s="52">
        <v>10.6</v>
      </c>
      <c r="G39" s="52">
        <v>10.7</v>
      </c>
      <c r="H39" s="52">
        <v>11.2</v>
      </c>
      <c r="I39" s="52">
        <v>11.1</v>
      </c>
      <c r="J39" s="52">
        <v>11.6</v>
      </c>
      <c r="K39" s="52">
        <v>11.6</v>
      </c>
      <c r="L39" s="14"/>
      <c r="M39" s="14"/>
      <c r="N39" s="14"/>
    </row>
    <row r="40" spans="1:14" ht="15.6" x14ac:dyDescent="0.3">
      <c r="A40" s="53" t="s">
        <v>5160</v>
      </c>
      <c r="B40" s="52">
        <v>5.4225101505860867</v>
      </c>
      <c r="C40" s="52">
        <v>6.102466748453665</v>
      </c>
      <c r="D40" s="52">
        <v>6.1615399128817163</v>
      </c>
      <c r="E40" s="52">
        <v>5.8288192835665349</v>
      </c>
      <c r="F40" s="52">
        <v>5.9</v>
      </c>
      <c r="G40" s="52">
        <v>5.6</v>
      </c>
      <c r="H40" s="52">
        <v>5.8</v>
      </c>
      <c r="I40" s="52">
        <v>5.5</v>
      </c>
      <c r="J40" s="52">
        <v>5.8</v>
      </c>
      <c r="K40" s="52">
        <v>5.8</v>
      </c>
      <c r="L40" s="14"/>
      <c r="M40" s="14"/>
      <c r="N40" s="14"/>
    </row>
    <row r="41" spans="1:14" ht="15.6" x14ac:dyDescent="0.3">
      <c r="A41" s="53" t="s">
        <v>5161</v>
      </c>
      <c r="B41" s="52">
        <v>0.38165694203286843</v>
      </c>
      <c r="C41" s="52">
        <v>0.56798076293932742</v>
      </c>
      <c r="D41" s="52">
        <v>0.15735784951203194</v>
      </c>
      <c r="E41" s="52">
        <v>0.15507857093789432</v>
      </c>
      <c r="F41" s="52">
        <v>0.1</v>
      </c>
      <c r="G41" s="52">
        <v>0.2</v>
      </c>
      <c r="H41" s="52">
        <v>0.2</v>
      </c>
      <c r="I41" s="52">
        <v>0.1</v>
      </c>
      <c r="J41" s="52">
        <v>0.2</v>
      </c>
      <c r="K41" s="52">
        <v>0.2</v>
      </c>
      <c r="L41" s="14"/>
      <c r="M41" s="14"/>
      <c r="N41" s="14"/>
    </row>
    <row r="42" spans="1:14" ht="15.6" x14ac:dyDescent="0.3">
      <c r="A42" s="53" t="s">
        <v>5162</v>
      </c>
      <c r="B42" s="52">
        <v>0.64053256016209192</v>
      </c>
      <c r="C42" s="52">
        <v>0.58513156143972012</v>
      </c>
      <c r="D42" s="52">
        <v>0.55632941047756457</v>
      </c>
      <c r="E42" s="52">
        <v>0.59893368331479169</v>
      </c>
      <c r="F42" s="52">
        <v>0.6</v>
      </c>
      <c r="G42" s="52">
        <v>0.6</v>
      </c>
      <c r="H42" s="52">
        <v>0.5</v>
      </c>
      <c r="I42" s="52">
        <v>0.4</v>
      </c>
      <c r="J42" s="52">
        <v>0.5</v>
      </c>
      <c r="K42" s="52">
        <v>0.5</v>
      </c>
      <c r="L42" s="14"/>
      <c r="M42" s="14"/>
      <c r="N42" s="14"/>
    </row>
    <row r="43" spans="1:14" ht="15.6" x14ac:dyDescent="0.3">
      <c r="A43" s="53" t="s">
        <v>5163</v>
      </c>
      <c r="B43" s="52">
        <v>0.82889299993609333</v>
      </c>
      <c r="C43" s="52">
        <v>0.62803295923328395</v>
      </c>
      <c r="D43" s="52">
        <v>0.57547235805268249</v>
      </c>
      <c r="E43" s="52">
        <v>0.69621387712947314</v>
      </c>
      <c r="F43" s="52">
        <v>0.7</v>
      </c>
      <c r="G43" s="52">
        <v>0.6</v>
      </c>
      <c r="H43" s="52">
        <v>0.7</v>
      </c>
      <c r="I43" s="52">
        <v>0.5</v>
      </c>
      <c r="J43" s="52">
        <v>0.6</v>
      </c>
      <c r="K43" s="52">
        <v>0.6</v>
      </c>
      <c r="L43" s="14"/>
      <c r="M43" s="14"/>
      <c r="N43" s="14"/>
    </row>
    <row r="44" spans="1:14" ht="31.2" x14ac:dyDescent="0.3">
      <c r="A44" s="53" t="s">
        <v>5164</v>
      </c>
      <c r="B44" s="52">
        <v>0.17714815722610566</v>
      </c>
      <c r="C44" s="52">
        <v>0.24245372709335691</v>
      </c>
      <c r="D44" s="52">
        <v>0.27957164793361278</v>
      </c>
      <c r="E44" s="52">
        <v>0.3873395712798916</v>
      </c>
      <c r="F44" s="52">
        <v>0.4</v>
      </c>
      <c r="G44" s="52">
        <v>0.3</v>
      </c>
      <c r="H44" s="52">
        <v>0.5</v>
      </c>
      <c r="I44" s="52">
        <v>0.7</v>
      </c>
      <c r="J44" s="52">
        <v>0.8</v>
      </c>
      <c r="K44" s="52">
        <v>0.8</v>
      </c>
      <c r="L44" s="14"/>
      <c r="M44" s="14"/>
      <c r="N44" s="14"/>
    </row>
    <row r="45" spans="1:14" ht="15.6" x14ac:dyDescent="0.3">
      <c r="A45" s="53" t="s">
        <v>5165</v>
      </c>
      <c r="B45" s="52">
        <v>0.30113673051834522</v>
      </c>
      <c r="C45" s="52">
        <v>0.4021374217490461</v>
      </c>
      <c r="D45" s="52">
        <v>0.30301085408735057</v>
      </c>
      <c r="E45" s="52">
        <v>0.32879056588235134</v>
      </c>
      <c r="F45" s="52">
        <v>0.4</v>
      </c>
      <c r="G45" s="52">
        <v>0.4</v>
      </c>
      <c r="H45" s="52">
        <v>0.5</v>
      </c>
      <c r="I45" s="52">
        <v>0.5</v>
      </c>
      <c r="J45" s="52">
        <v>0.6</v>
      </c>
      <c r="K45" s="52">
        <v>0.6</v>
      </c>
      <c r="L45" s="14"/>
      <c r="M45" s="14"/>
      <c r="N45" s="14"/>
    </row>
    <row r="46" spans="1:14" ht="15.6" x14ac:dyDescent="0.3">
      <c r="A46" s="53" t="s">
        <v>5166</v>
      </c>
      <c r="B46" s="52">
        <v>3.2202952872934199</v>
      </c>
      <c r="C46" s="52">
        <v>3.060263687949448</v>
      </c>
      <c r="D46" s="52">
        <v>2.6733747770331986</v>
      </c>
      <c r="E46" s="52">
        <v>2.2282308033048439</v>
      </c>
      <c r="F46" s="52">
        <v>2.4</v>
      </c>
      <c r="G46" s="52">
        <v>2.9</v>
      </c>
      <c r="H46" s="52">
        <v>2.9</v>
      </c>
      <c r="I46" s="52">
        <v>3.2</v>
      </c>
      <c r="J46" s="52">
        <v>3.3</v>
      </c>
      <c r="K46" s="52">
        <v>3.3</v>
      </c>
      <c r="L46" s="14"/>
      <c r="M46" s="14"/>
      <c r="N46" s="14"/>
    </row>
    <row r="47" spans="1:14" ht="15.6" x14ac:dyDescent="0.3">
      <c r="A47" s="13" t="s">
        <v>5167</v>
      </c>
      <c r="B47" s="50">
        <v>0.88379884980514389</v>
      </c>
      <c r="C47" s="50">
        <v>1.1101830391082477</v>
      </c>
      <c r="D47" s="50">
        <v>0.87642363169165638</v>
      </c>
      <c r="E47" s="50">
        <v>1.3431170140573294</v>
      </c>
      <c r="F47" s="50">
        <v>1.5</v>
      </c>
      <c r="G47" s="50">
        <v>1.3</v>
      </c>
      <c r="H47" s="50">
        <v>1.4</v>
      </c>
      <c r="I47" s="50">
        <v>1.3</v>
      </c>
      <c r="J47" s="50">
        <v>1.3</v>
      </c>
      <c r="K47" s="50">
        <v>1.3</v>
      </c>
      <c r="L47" s="14"/>
      <c r="M47" s="14"/>
      <c r="N47" s="14"/>
    </row>
    <row r="48" spans="1:14" ht="15.6" x14ac:dyDescent="0.3">
      <c r="A48" s="13" t="s">
        <v>5115</v>
      </c>
      <c r="B48" s="50">
        <v>4.5023498352510689</v>
      </c>
      <c r="C48" s="50">
        <v>3.9886656926268054</v>
      </c>
      <c r="D48" s="50">
        <v>4.4751141189585466</v>
      </c>
      <c r="E48" s="50">
        <v>4.0185992150458638</v>
      </c>
      <c r="F48" s="50">
        <v>4.5</v>
      </c>
      <c r="G48" s="50">
        <v>4.3</v>
      </c>
      <c r="H48" s="50">
        <v>4.3</v>
      </c>
      <c r="I48" s="50">
        <v>4.9000000000000004</v>
      </c>
      <c r="J48" s="50">
        <v>4.4000000000000004</v>
      </c>
      <c r="K48" s="50">
        <v>4.2</v>
      </c>
      <c r="L48" s="14"/>
      <c r="M48" s="14"/>
      <c r="N48" s="14"/>
    </row>
    <row r="49" spans="1:14" ht="15.6" x14ac:dyDescent="0.3">
      <c r="A49" s="54" t="s">
        <v>5168</v>
      </c>
      <c r="B49" s="55"/>
      <c r="C49" s="55"/>
      <c r="D49" s="55"/>
      <c r="E49" s="55"/>
      <c r="L49" s="14"/>
      <c r="M49" s="14"/>
      <c r="N49" s="14"/>
    </row>
    <row r="50" spans="1:14" ht="15.6" x14ac:dyDescent="0.3">
      <c r="A50" s="30"/>
      <c r="B50" s="31"/>
      <c r="C50" s="31"/>
      <c r="D50" s="31"/>
      <c r="E50" s="31"/>
      <c r="F50" s="31"/>
      <c r="G50" s="31"/>
      <c r="H50" s="31"/>
      <c r="I50" s="31"/>
      <c r="J50" s="31"/>
      <c r="K50" s="31"/>
      <c r="L50" s="14"/>
      <c r="M50" s="14"/>
      <c r="N50" s="14"/>
    </row>
    <row r="51" spans="1:14" x14ac:dyDescent="0.3">
      <c r="A51" s="14"/>
      <c r="B51" s="14"/>
      <c r="C51" s="14"/>
      <c r="D51" s="14"/>
      <c r="E51" s="14"/>
      <c r="F51" s="14"/>
      <c r="G51" s="14"/>
      <c r="H51" s="14"/>
      <c r="I51" s="14"/>
      <c r="J51" s="14"/>
      <c r="K51" s="14"/>
      <c r="L51" s="14"/>
      <c r="M51" s="14"/>
      <c r="N51" s="14"/>
    </row>
    <row r="52" spans="1:14" ht="17.399999999999999" x14ac:dyDescent="0.3">
      <c r="A52" s="32" t="s">
        <v>5131</v>
      </c>
      <c r="B52" s="14"/>
      <c r="C52" s="33"/>
      <c r="D52" s="33"/>
      <c r="E52" s="33"/>
      <c r="F52" s="33"/>
      <c r="G52" s="33"/>
      <c r="H52" s="33"/>
      <c r="I52" s="14"/>
      <c r="J52" s="14"/>
      <c r="K52" s="14"/>
      <c r="L52" s="14"/>
      <c r="M52" s="14"/>
      <c r="N52" s="14"/>
    </row>
    <row r="53" spans="1:14" ht="15.6" x14ac:dyDescent="0.3">
      <c r="A53" s="19" t="s">
        <v>5102</v>
      </c>
      <c r="B53" s="19">
        <v>2015</v>
      </c>
      <c r="C53" s="19">
        <v>2016</v>
      </c>
      <c r="D53" s="19">
        <v>2017</v>
      </c>
      <c r="E53" s="19">
        <v>2018</v>
      </c>
      <c r="F53" s="19">
        <v>2019</v>
      </c>
      <c r="G53" s="19">
        <v>2020</v>
      </c>
      <c r="H53" s="19">
        <v>2021</v>
      </c>
      <c r="I53" s="19">
        <v>2022</v>
      </c>
      <c r="J53" s="19" t="s">
        <v>5132</v>
      </c>
      <c r="K53" s="19">
        <v>2024</v>
      </c>
      <c r="L53" s="14"/>
      <c r="M53" s="14"/>
      <c r="N53" s="14"/>
    </row>
    <row r="54" spans="1:14" ht="15.6" x14ac:dyDescent="0.3">
      <c r="A54" s="34" t="s">
        <v>5133</v>
      </c>
      <c r="B54" s="35">
        <v>4136.4450000000006</v>
      </c>
      <c r="C54" s="35">
        <v>4255.0510000000004</v>
      </c>
      <c r="D54" s="35">
        <v>4352.5910000000003</v>
      </c>
      <c r="E54" s="35">
        <v>4461.7640000000001</v>
      </c>
      <c r="F54" s="35">
        <v>4592.8460000000005</v>
      </c>
      <c r="G54" s="35">
        <v>4724.3119999999999</v>
      </c>
      <c r="H54" s="35">
        <v>4849.1029999999992</v>
      </c>
      <c r="I54" s="35">
        <v>4992.5010000000002</v>
      </c>
      <c r="J54" s="35">
        <v>5140</v>
      </c>
      <c r="K54" s="35"/>
      <c r="L54" s="14"/>
      <c r="M54" s="14"/>
      <c r="N54" s="14"/>
    </row>
    <row r="55" spans="1:14" ht="15.6" x14ac:dyDescent="0.3">
      <c r="A55" s="24" t="s">
        <v>5134</v>
      </c>
      <c r="B55" s="36">
        <v>1814.1110000000001</v>
      </c>
      <c r="C55" s="36">
        <v>1861.3050000000001</v>
      </c>
      <c r="D55" s="36">
        <v>1909.7460000000001</v>
      </c>
      <c r="E55" s="36">
        <v>1959.2829999999999</v>
      </c>
      <c r="F55" s="36">
        <v>2016.18</v>
      </c>
      <c r="G55" s="36">
        <v>2074.2330000000002</v>
      </c>
      <c r="H55" s="36">
        <v>2133.596</v>
      </c>
      <c r="I55" s="36">
        <v>2194.7370000000001</v>
      </c>
      <c r="J55" s="36">
        <v>2258</v>
      </c>
      <c r="K55" s="36"/>
      <c r="L55" s="14"/>
      <c r="M55" s="14"/>
      <c r="N55" s="14"/>
    </row>
    <row r="56" spans="1:14" ht="15.6" x14ac:dyDescent="0.3">
      <c r="A56" s="24" t="s">
        <v>5135</v>
      </c>
      <c r="B56" s="36">
        <v>2118.078</v>
      </c>
      <c r="C56" s="36">
        <v>2172</v>
      </c>
      <c r="D56" s="36">
        <v>2227.998</v>
      </c>
      <c r="E56" s="36">
        <v>2285.8519999999999</v>
      </c>
      <c r="F56" s="36">
        <v>2352.8389999999999</v>
      </c>
      <c r="G56" s="36">
        <v>2418.1770000000001</v>
      </c>
      <c r="H56" s="36">
        <v>2478.5619999999999</v>
      </c>
      <c r="I56" s="36">
        <v>2552.8649999999998</v>
      </c>
      <c r="J56" s="36">
        <v>2629</v>
      </c>
      <c r="K56" s="36"/>
      <c r="L56" s="14"/>
      <c r="M56" s="14"/>
      <c r="N56" s="14"/>
    </row>
    <row r="57" spans="1:14" ht="15.6" x14ac:dyDescent="0.3">
      <c r="A57" s="24" t="s">
        <v>5136</v>
      </c>
      <c r="B57" s="36">
        <v>204.256</v>
      </c>
      <c r="C57" s="36">
        <v>221.74600000000001</v>
      </c>
      <c r="D57" s="36">
        <v>214.84700000000001</v>
      </c>
      <c r="E57" s="36">
        <v>216.62899999999999</v>
      </c>
      <c r="F57" s="36">
        <v>223.827</v>
      </c>
      <c r="G57" s="36">
        <v>231.90199999999999</v>
      </c>
      <c r="H57" s="36">
        <v>236.94499999999999</v>
      </c>
      <c r="I57" s="36">
        <v>244.899</v>
      </c>
      <c r="J57" s="36">
        <v>253</v>
      </c>
      <c r="K57" s="36"/>
      <c r="L57" s="14"/>
      <c r="M57" s="14"/>
      <c r="N57" s="14"/>
    </row>
    <row r="58" spans="1:14" ht="15.6" x14ac:dyDescent="0.3">
      <c r="A58" s="34" t="s">
        <v>5137</v>
      </c>
      <c r="B58" s="35">
        <v>1003</v>
      </c>
      <c r="C58" s="35">
        <v>1054.383</v>
      </c>
      <c r="D58" s="35">
        <v>1082</v>
      </c>
      <c r="E58" s="35">
        <v>1145</v>
      </c>
      <c r="F58" s="35">
        <v>1191</v>
      </c>
      <c r="G58" s="35">
        <v>1238</v>
      </c>
      <c r="H58" s="35">
        <v>1266</v>
      </c>
      <c r="I58" s="35">
        <v>1314.0000000000002</v>
      </c>
      <c r="J58" s="35">
        <v>1364</v>
      </c>
      <c r="K58" s="35"/>
      <c r="L58" s="41"/>
      <c r="M58" s="14"/>
      <c r="N58" s="14"/>
    </row>
    <row r="59" spans="1:14" ht="15.6" x14ac:dyDescent="0.3">
      <c r="A59" s="24" t="s">
        <v>5138</v>
      </c>
      <c r="B59" s="36">
        <v>101.294</v>
      </c>
      <c r="C59" s="36">
        <v>106.739</v>
      </c>
      <c r="D59" s="36">
        <v>109.834</v>
      </c>
      <c r="E59" s="36">
        <v>110.968</v>
      </c>
      <c r="F59" s="36">
        <v>116.598</v>
      </c>
      <c r="G59" s="36">
        <v>118.642</v>
      </c>
      <c r="H59" s="36">
        <v>122.21599999999999</v>
      </c>
      <c r="I59" s="36">
        <v>122.282</v>
      </c>
      <c r="J59" s="36"/>
      <c r="K59" s="37"/>
      <c r="L59" s="14"/>
      <c r="M59" s="14"/>
      <c r="N59" s="14"/>
    </row>
    <row r="60" spans="1:14" ht="15.6" x14ac:dyDescent="0.3">
      <c r="A60" s="24" t="s">
        <v>5139</v>
      </c>
      <c r="B60" s="36">
        <v>0.68200000000000005</v>
      </c>
      <c r="C60" s="36">
        <v>0.69299999999999995</v>
      </c>
      <c r="D60" s="36">
        <v>0.67600000000000005</v>
      </c>
      <c r="E60" s="36">
        <v>0.8</v>
      </c>
      <c r="F60" s="36">
        <v>0.93400000000000005</v>
      </c>
      <c r="G60" s="36">
        <v>0.99199999999999999</v>
      </c>
      <c r="H60" s="36">
        <v>1.034</v>
      </c>
      <c r="I60" s="36">
        <v>1.145</v>
      </c>
      <c r="J60" s="36"/>
      <c r="K60" s="37"/>
      <c r="L60" s="14"/>
      <c r="M60" s="14"/>
      <c r="N60" s="14"/>
    </row>
    <row r="61" spans="1:14" ht="15.6" x14ac:dyDescent="0.3">
      <c r="A61" s="24" t="s">
        <v>5140</v>
      </c>
      <c r="B61" s="36">
        <v>31.414000000000001</v>
      </c>
      <c r="C61" s="36">
        <v>32.167999999999999</v>
      </c>
      <c r="D61" s="36">
        <v>32.555</v>
      </c>
      <c r="E61" s="36">
        <v>35.497999999999998</v>
      </c>
      <c r="F61" s="36">
        <v>33.28</v>
      </c>
      <c r="G61" s="36">
        <v>39.382999999999996</v>
      </c>
      <c r="H61" s="36">
        <v>36.150999999999996</v>
      </c>
      <c r="I61" s="36">
        <v>40.856999999999999</v>
      </c>
      <c r="J61" s="36"/>
      <c r="K61" s="37"/>
      <c r="L61" s="14"/>
      <c r="M61" s="14"/>
      <c r="N61" s="14"/>
    </row>
    <row r="62" spans="1:14" ht="15.6" x14ac:dyDescent="0.3">
      <c r="A62" s="24" t="s">
        <v>5141</v>
      </c>
      <c r="B62" s="36">
        <v>201.423</v>
      </c>
      <c r="C62" s="36">
        <v>206.55199999999999</v>
      </c>
      <c r="D62" s="36">
        <v>212.833</v>
      </c>
      <c r="E62" s="36">
        <v>217.24299999999999</v>
      </c>
      <c r="F62" s="36">
        <v>235.99100000000001</v>
      </c>
      <c r="G62" s="36">
        <v>242.73699999999999</v>
      </c>
      <c r="H62" s="36">
        <v>253.85900000000001</v>
      </c>
      <c r="I62" s="36">
        <v>263.89600000000002</v>
      </c>
      <c r="J62" s="36"/>
      <c r="K62" s="37"/>
      <c r="L62" s="14"/>
      <c r="M62" s="14"/>
      <c r="N62" s="14"/>
    </row>
    <row r="63" spans="1:14" ht="31.2" x14ac:dyDescent="0.3">
      <c r="A63" s="24" t="s">
        <v>5142</v>
      </c>
      <c r="B63" s="36">
        <v>668.18700000000001</v>
      </c>
      <c r="C63" s="36">
        <v>708.23099999999999</v>
      </c>
      <c r="D63" s="36">
        <v>726.10199999999998</v>
      </c>
      <c r="E63" s="36">
        <v>780.49099999999999</v>
      </c>
      <c r="F63" s="36">
        <v>804.19700000000012</v>
      </c>
      <c r="G63" s="36">
        <v>836.24599999999998</v>
      </c>
      <c r="H63" s="36">
        <v>852.7399999999999</v>
      </c>
      <c r="I63" s="36">
        <v>885.82000000000016</v>
      </c>
      <c r="J63" s="36"/>
      <c r="K63" s="37"/>
      <c r="L63" s="14"/>
      <c r="M63" s="14"/>
      <c r="N63" s="14"/>
    </row>
    <row r="64" spans="1:14" ht="15.6" x14ac:dyDescent="0.3">
      <c r="A64" s="34" t="s">
        <v>5143</v>
      </c>
      <c r="B64" s="35">
        <v>3958.46</v>
      </c>
      <c r="C64" s="35">
        <v>4001.7339999999999</v>
      </c>
      <c r="D64" s="35">
        <v>4165.9759999999997</v>
      </c>
      <c r="E64" s="35">
        <v>4197.7960000000003</v>
      </c>
      <c r="F64" s="35">
        <v>4335.8919999999998</v>
      </c>
      <c r="G64" s="35">
        <v>4169.4629999999997</v>
      </c>
      <c r="H64" s="35">
        <v>4466.0919999999996</v>
      </c>
      <c r="I64" s="35">
        <v>4065.864</v>
      </c>
      <c r="J64" s="35">
        <v>4732</v>
      </c>
      <c r="K64" s="37"/>
      <c r="L64" s="14"/>
      <c r="M64" s="14"/>
      <c r="N64" s="14"/>
    </row>
    <row r="65" spans="1:14" ht="15.6" x14ac:dyDescent="0.3">
      <c r="A65" s="24" t="s">
        <v>5144</v>
      </c>
      <c r="B65" s="36">
        <v>410.18200000000002</v>
      </c>
      <c r="C65" s="36">
        <v>424.30500000000001</v>
      </c>
      <c r="D65" s="36">
        <v>434.33</v>
      </c>
      <c r="E65" s="36">
        <v>268.18299999999999</v>
      </c>
      <c r="F65" s="36">
        <v>281.10700000000003</v>
      </c>
      <c r="G65" s="36">
        <v>285.16300000000001</v>
      </c>
      <c r="H65" s="36">
        <v>295.45100000000002</v>
      </c>
      <c r="I65" s="36">
        <v>300.06400000000002</v>
      </c>
      <c r="J65" s="36"/>
      <c r="K65" s="36"/>
      <c r="L65" s="14"/>
      <c r="M65" s="14"/>
      <c r="N65" s="14"/>
    </row>
    <row r="66" spans="1:14" ht="15.6" x14ac:dyDescent="0.3">
      <c r="A66" s="24" t="s">
        <v>5145</v>
      </c>
      <c r="B66" s="36">
        <v>158.518</v>
      </c>
      <c r="C66" s="36">
        <v>164.131</v>
      </c>
      <c r="D66" s="36">
        <v>168.96</v>
      </c>
      <c r="E66" s="36">
        <v>237.01900000000001</v>
      </c>
      <c r="F66" s="36">
        <v>231.548</v>
      </c>
      <c r="G66" s="36">
        <v>238.94399999999999</v>
      </c>
      <c r="H66" s="36">
        <v>108.02</v>
      </c>
      <c r="I66" s="36">
        <v>111.63500000000001</v>
      </c>
      <c r="J66" s="36"/>
      <c r="K66" s="36"/>
      <c r="L66" s="14"/>
      <c r="M66" s="14"/>
      <c r="N66" s="14"/>
    </row>
    <row r="67" spans="1:14" ht="15.6" x14ac:dyDescent="0.3">
      <c r="A67" s="24" t="s">
        <v>5146</v>
      </c>
      <c r="B67" s="36">
        <v>1548.663</v>
      </c>
      <c r="C67" s="36">
        <v>1593.579</v>
      </c>
      <c r="D67" s="36">
        <v>1638.8710000000001</v>
      </c>
      <c r="E67" s="36">
        <v>1676.3630000000001</v>
      </c>
      <c r="F67" s="36">
        <v>1746.57</v>
      </c>
      <c r="G67" s="36">
        <v>1530.588</v>
      </c>
      <c r="H67" s="36">
        <v>1852.3409999999999</v>
      </c>
      <c r="I67" s="36">
        <v>1897.855</v>
      </c>
      <c r="J67" s="36"/>
      <c r="K67" s="36"/>
      <c r="L67" s="14"/>
      <c r="M67" s="14"/>
      <c r="N67" s="14"/>
    </row>
    <row r="68" spans="1:14" ht="15.6" x14ac:dyDescent="0.3">
      <c r="A68" s="24" t="s">
        <v>5147</v>
      </c>
      <c r="B68" s="36">
        <v>1841.097</v>
      </c>
      <c r="C68" s="36">
        <v>1819.7190000000001</v>
      </c>
      <c r="D68" s="36">
        <v>1923.8149999999996</v>
      </c>
      <c r="E68" s="36">
        <v>2016.231</v>
      </c>
      <c r="F68" s="36">
        <v>2076.6670000000004</v>
      </c>
      <c r="G68" s="36">
        <v>2114.768</v>
      </c>
      <c r="H68" s="36">
        <v>2210.2799999999997</v>
      </c>
      <c r="I68" s="36">
        <v>1756.31</v>
      </c>
      <c r="J68" s="36"/>
      <c r="K68" s="36"/>
      <c r="L68" s="14"/>
      <c r="M68" s="14"/>
      <c r="N68" s="14"/>
    </row>
    <row r="69" spans="1:14" ht="15.6" x14ac:dyDescent="0.3">
      <c r="A69" s="34" t="s">
        <v>5148</v>
      </c>
      <c r="B69" s="35">
        <v>9097.9050000000007</v>
      </c>
      <c r="C69" s="35">
        <v>9311.1679999999997</v>
      </c>
      <c r="D69" s="35">
        <v>9600.5669999999991</v>
      </c>
      <c r="E69" s="35">
        <v>9804.5600000000013</v>
      </c>
      <c r="F69" s="35">
        <v>10119.738000000001</v>
      </c>
      <c r="G69" s="35">
        <v>10131.775</v>
      </c>
      <c r="H69" s="35">
        <v>10581.195</v>
      </c>
      <c r="I69" s="35">
        <v>10372.365</v>
      </c>
      <c r="J69" s="35">
        <v>11236</v>
      </c>
      <c r="K69" s="35"/>
      <c r="L69" s="14"/>
      <c r="M69" s="14"/>
      <c r="N69" s="14"/>
    </row>
    <row r="70" spans="1:14" ht="15.6" x14ac:dyDescent="0.3">
      <c r="A70" s="30" t="s">
        <v>5149</v>
      </c>
      <c r="B70" s="38"/>
      <c r="C70" s="38"/>
      <c r="D70" s="38"/>
      <c r="E70" s="38"/>
      <c r="F70" s="38"/>
      <c r="G70" s="38"/>
      <c r="H70" s="38"/>
      <c r="I70" s="38"/>
      <c r="J70" s="38"/>
      <c r="K70" s="38"/>
      <c r="L70" s="14"/>
      <c r="M70" s="14"/>
      <c r="N70" s="14"/>
    </row>
    <row r="71" spans="1:14" ht="15.6" x14ac:dyDescent="0.3">
      <c r="A71" s="30" t="s">
        <v>5150</v>
      </c>
      <c r="B71" s="38"/>
      <c r="C71" s="38"/>
      <c r="D71" s="38"/>
      <c r="E71" s="38"/>
      <c r="F71" s="38"/>
      <c r="G71" s="38"/>
      <c r="H71" s="38"/>
      <c r="I71" s="38"/>
      <c r="J71" s="38"/>
      <c r="K71" s="38"/>
      <c r="L71" s="14"/>
      <c r="M71" s="14"/>
      <c r="N71" s="14"/>
    </row>
    <row r="72" spans="1:14" ht="15.6" x14ac:dyDescent="0.3">
      <c r="A72" s="30"/>
      <c r="B72" s="38"/>
      <c r="C72" s="38"/>
      <c r="D72" s="38"/>
      <c r="E72" s="38"/>
      <c r="F72" s="38"/>
      <c r="G72" s="38"/>
      <c r="H72" s="38"/>
      <c r="I72" s="38"/>
      <c r="J72" s="38"/>
      <c r="K72" s="38"/>
      <c r="L72" s="14"/>
      <c r="M72" s="14"/>
      <c r="N72" s="14"/>
    </row>
    <row r="73" spans="1:14" ht="15.6" x14ac:dyDescent="0.3">
      <c r="A73" s="30"/>
      <c r="B73" s="38"/>
      <c r="C73" s="38"/>
      <c r="D73" s="38"/>
      <c r="E73" s="38"/>
      <c r="F73" s="38"/>
      <c r="G73" s="38"/>
      <c r="H73" s="38"/>
      <c r="I73" s="38"/>
      <c r="J73" s="38"/>
      <c r="K73" s="38"/>
      <c r="L73" s="14"/>
      <c r="M73" s="14"/>
      <c r="N73" s="14"/>
    </row>
    <row r="74" spans="1:14" ht="17.399999999999999" x14ac:dyDescent="0.3">
      <c r="A74" s="32" t="s">
        <v>5151</v>
      </c>
      <c r="B74" s="14"/>
      <c r="C74" s="33"/>
      <c r="D74" s="33"/>
      <c r="E74" s="33"/>
      <c r="F74" s="33"/>
      <c r="G74" s="33"/>
      <c r="H74" s="33"/>
      <c r="I74" s="31"/>
      <c r="J74" s="31"/>
      <c r="K74" s="14"/>
      <c r="L74" s="14"/>
      <c r="M74" s="14"/>
      <c r="N74" s="14"/>
    </row>
    <row r="75" spans="1:14" ht="15.6" x14ac:dyDescent="0.3">
      <c r="A75" s="39"/>
      <c r="B75" s="38"/>
      <c r="C75" s="38"/>
      <c r="D75" s="38"/>
      <c r="E75" s="38"/>
      <c r="F75" s="38"/>
      <c r="G75" s="38"/>
      <c r="H75" s="38"/>
      <c r="I75" s="38"/>
      <c r="J75" s="38"/>
      <c r="K75" s="38"/>
      <c r="L75" s="14"/>
      <c r="M75" s="14"/>
      <c r="N75" s="14"/>
    </row>
    <row r="76" spans="1:14" ht="15.6" x14ac:dyDescent="0.3">
      <c r="A76" s="19" t="s">
        <v>5102</v>
      </c>
      <c r="B76" s="19">
        <v>2015</v>
      </c>
      <c r="C76" s="19">
        <v>2016</v>
      </c>
      <c r="D76" s="19">
        <v>2017</v>
      </c>
      <c r="E76" s="19">
        <v>2018</v>
      </c>
      <c r="F76" s="19">
        <v>2019</v>
      </c>
      <c r="G76" s="19">
        <v>2020</v>
      </c>
      <c r="H76" s="19">
        <v>2021</v>
      </c>
      <c r="I76" s="19">
        <v>2022</v>
      </c>
      <c r="J76" s="19" t="s">
        <v>5132</v>
      </c>
      <c r="K76" s="19">
        <v>2024</v>
      </c>
    </row>
    <row r="77" spans="1:14" ht="15.6" x14ac:dyDescent="0.3">
      <c r="A77" s="34" t="s">
        <v>5133</v>
      </c>
      <c r="B77" s="40">
        <v>0.45465906711490178</v>
      </c>
      <c r="C77" s="40">
        <v>0.45698359217662066</v>
      </c>
      <c r="D77" s="40">
        <v>0.45336811877881805</v>
      </c>
      <c r="E77" s="40">
        <v>0.45507029382246622</v>
      </c>
      <c r="F77" s="40">
        <v>0.45385028742838995</v>
      </c>
      <c r="G77" s="40">
        <v>0.46628670691956742</v>
      </c>
      <c r="H77" s="40">
        <v>0.4582755539426312</v>
      </c>
      <c r="I77" s="40">
        <v>0.48132716116334129</v>
      </c>
      <c r="J77" s="40">
        <v>0.45745817016731932</v>
      </c>
      <c r="K77" s="35"/>
    </row>
    <row r="78" spans="1:14" ht="15.6" x14ac:dyDescent="0.3">
      <c r="A78" s="24" t="s">
        <v>5134</v>
      </c>
      <c r="B78" s="42">
        <v>0.43856765894385152</v>
      </c>
      <c r="C78" s="42">
        <v>0.43743423991862845</v>
      </c>
      <c r="D78" s="42">
        <v>0.43876072895431706</v>
      </c>
      <c r="E78" s="42">
        <v>0.43912743928186249</v>
      </c>
      <c r="F78" s="42">
        <v>0.43898271355059582</v>
      </c>
      <c r="G78" s="42">
        <v>0.43905504124198408</v>
      </c>
      <c r="H78" s="42">
        <v>0.4399980779950437</v>
      </c>
      <c r="I78" s="42">
        <v>0.43960672216189839</v>
      </c>
      <c r="J78" s="42">
        <v>0.43929961089494163</v>
      </c>
      <c r="K78" s="36"/>
    </row>
    <row r="79" spans="1:14" ht="15.6" x14ac:dyDescent="0.3">
      <c r="A79" s="24" t="s">
        <v>5135</v>
      </c>
      <c r="B79" s="42">
        <v>0.51205274094059017</v>
      </c>
      <c r="C79" s="42">
        <v>0.51045216614324951</v>
      </c>
      <c r="D79" s="42">
        <v>0.51187855693310025</v>
      </c>
      <c r="E79" s="42">
        <v>0.51232023925962911</v>
      </c>
      <c r="F79" s="42">
        <v>0.51228345126311658</v>
      </c>
      <c r="G79" s="42">
        <v>0.51185802292481952</v>
      </c>
      <c r="H79" s="42">
        <v>0.51113824556830412</v>
      </c>
      <c r="I79" s="42">
        <v>0.51133990759340853</v>
      </c>
      <c r="J79" s="42">
        <v>0.51147859922178984</v>
      </c>
      <c r="K79" s="36"/>
    </row>
    <row r="80" spans="1:14" ht="15.6" x14ac:dyDescent="0.3">
      <c r="A80" s="24" t="s">
        <v>5136</v>
      </c>
      <c r="B80" s="42">
        <v>4.9379600115558156E-2</v>
      </c>
      <c r="C80" s="42">
        <v>5.211359393812201E-2</v>
      </c>
      <c r="D80" s="42">
        <v>4.9360714112582596E-2</v>
      </c>
      <c r="E80" s="42">
        <v>4.8552321458508338E-2</v>
      </c>
      <c r="F80" s="42">
        <v>4.8733835186287537E-2</v>
      </c>
      <c r="G80" s="42">
        <v>4.9086935833196448E-2</v>
      </c>
      <c r="H80" s="42">
        <v>4.8863676436652313E-2</v>
      </c>
      <c r="I80" s="42">
        <v>4.9053370244692987E-2</v>
      </c>
      <c r="J80" s="42">
        <v>4.9221789883268481E-2</v>
      </c>
      <c r="K80" s="36"/>
    </row>
    <row r="81" spans="1:11" ht="15.6" x14ac:dyDescent="0.3">
      <c r="A81" s="34" t="s">
        <v>5137</v>
      </c>
      <c r="B81" s="40">
        <v>0.11024516083647828</v>
      </c>
      <c r="C81" s="40">
        <v>0.11323853248056528</v>
      </c>
      <c r="D81" s="40">
        <v>0.112701676890542</v>
      </c>
      <c r="E81" s="40">
        <v>0.1167823951304291</v>
      </c>
      <c r="F81" s="40">
        <v>0.11769079397114825</v>
      </c>
      <c r="G81" s="40">
        <v>0.12218984333939513</v>
      </c>
      <c r="H81" s="40">
        <v>0.11964622143340142</v>
      </c>
      <c r="I81" s="40">
        <v>0.12668277678234427</v>
      </c>
      <c r="J81" s="40">
        <v>0.12139551441794233</v>
      </c>
      <c r="K81" s="35"/>
    </row>
    <row r="82" spans="1:11" ht="15.6" x14ac:dyDescent="0.3">
      <c r="A82" s="24" t="s">
        <v>5138</v>
      </c>
      <c r="B82" s="42">
        <v>0.10099102691924226</v>
      </c>
      <c r="C82" s="42">
        <v>0.10123361245391854</v>
      </c>
      <c r="D82" s="42">
        <v>0.10151016635859519</v>
      </c>
      <c r="E82" s="42">
        <v>9.6915283842794769E-2</v>
      </c>
      <c r="F82" s="42">
        <v>9.7899244332493696E-2</v>
      </c>
      <c r="G82" s="42">
        <v>9.5833602584814215E-2</v>
      </c>
      <c r="H82" s="42">
        <v>9.6537124802527643E-2</v>
      </c>
      <c r="I82" s="42">
        <v>9.3060882800608813E-2</v>
      </c>
      <c r="J82" s="43"/>
      <c r="K82" s="37"/>
    </row>
    <row r="83" spans="1:11" ht="15.6" x14ac:dyDescent="0.3">
      <c r="A83" s="24" t="s">
        <v>5139</v>
      </c>
      <c r="B83" s="42">
        <v>6.7996011964107685E-4</v>
      </c>
      <c r="C83" s="42">
        <v>6.5725642389909546E-4</v>
      </c>
      <c r="D83" s="42">
        <v>6.2476894639556385E-4</v>
      </c>
      <c r="E83" s="42">
        <v>6.9868995633187779E-4</v>
      </c>
      <c r="F83" s="42">
        <v>7.8421494542401347E-4</v>
      </c>
      <c r="G83" s="42">
        <v>8.0129240710823905E-4</v>
      </c>
      <c r="H83" s="42">
        <v>8.1674565560821487E-4</v>
      </c>
      <c r="I83" s="42">
        <v>8.7138508371385065E-4</v>
      </c>
      <c r="J83" s="43"/>
      <c r="K83" s="37"/>
    </row>
    <row r="84" spans="1:11" ht="15.6" x14ac:dyDescent="0.3">
      <c r="A84" s="24" t="s">
        <v>5140</v>
      </c>
      <c r="B84" s="42">
        <v>3.1320039880358926E-2</v>
      </c>
      <c r="C84" s="42">
        <v>3.0508837870109815E-2</v>
      </c>
      <c r="D84" s="42">
        <v>3.0087800369685766E-2</v>
      </c>
      <c r="E84" s="42">
        <v>3.1002620087336244E-2</v>
      </c>
      <c r="F84" s="42">
        <v>2.7942905121746433E-2</v>
      </c>
      <c r="G84" s="42">
        <v>3.1811793214862681E-2</v>
      </c>
      <c r="H84" s="42">
        <v>2.8555292259083726E-2</v>
      </c>
      <c r="I84" s="42">
        <v>3.1093607305936067E-2</v>
      </c>
      <c r="J84" s="43"/>
      <c r="K84" s="37"/>
    </row>
    <row r="85" spans="1:11" ht="15.6" x14ac:dyDescent="0.3">
      <c r="A85" s="24" t="s">
        <v>5141</v>
      </c>
      <c r="B85" s="42">
        <v>0.20082053838484545</v>
      </c>
      <c r="C85" s="42">
        <v>0.19589845435671857</v>
      </c>
      <c r="D85" s="42">
        <v>0.19670332717190389</v>
      </c>
      <c r="E85" s="42">
        <v>0.18973187772925765</v>
      </c>
      <c r="F85" s="42">
        <v>0.19814525608732159</v>
      </c>
      <c r="G85" s="42">
        <v>0.19607189014539581</v>
      </c>
      <c r="H85" s="42">
        <v>0.20052053712480253</v>
      </c>
      <c r="I85" s="42">
        <v>0.20083409436834093</v>
      </c>
      <c r="J85" s="43"/>
      <c r="K85" s="37"/>
    </row>
    <row r="86" spans="1:11" ht="31.2" x14ac:dyDescent="0.3">
      <c r="A86" s="24" t="s">
        <v>5142</v>
      </c>
      <c r="B86" s="42">
        <v>0.66618843469591227</v>
      </c>
      <c r="C86" s="42">
        <v>0.67170183889535395</v>
      </c>
      <c r="D86" s="42">
        <v>0.67107393715341956</v>
      </c>
      <c r="E86" s="42">
        <v>0.68165152838427945</v>
      </c>
      <c r="F86" s="42">
        <v>0.6752283795130144</v>
      </c>
      <c r="G86" s="42">
        <v>0.6754814216478191</v>
      </c>
      <c r="H86" s="42">
        <v>0.67357030015797781</v>
      </c>
      <c r="I86" s="42">
        <v>0.67414003044140036</v>
      </c>
      <c r="J86" s="43"/>
      <c r="K86" s="37"/>
    </row>
    <row r="87" spans="1:11" ht="15.6" x14ac:dyDescent="0.3">
      <c r="A87" s="34" t="s">
        <v>5143</v>
      </c>
      <c r="B87" s="40">
        <v>0.43509577204861993</v>
      </c>
      <c r="C87" s="40">
        <v>0.42977787534281414</v>
      </c>
      <c r="D87" s="40">
        <v>0.43393020433064006</v>
      </c>
      <c r="E87" s="40">
        <v>0.42814731104710457</v>
      </c>
      <c r="F87" s="40">
        <v>0.4284589186004617</v>
      </c>
      <c r="G87" s="40">
        <v>0.41152344974103749</v>
      </c>
      <c r="H87" s="40">
        <v>0.42207822462396732</v>
      </c>
      <c r="I87" s="40">
        <v>0.39199006205431453</v>
      </c>
      <c r="J87" s="40">
        <v>0.42114631541473835</v>
      </c>
      <c r="K87" s="37"/>
    </row>
    <row r="88" spans="1:11" ht="15.6" x14ac:dyDescent="0.3">
      <c r="A88" s="24" t="s">
        <v>5144</v>
      </c>
      <c r="B88" s="42">
        <v>0.1036216104242559</v>
      </c>
      <c r="C88" s="42">
        <v>0.10603028587107489</v>
      </c>
      <c r="D88" s="42">
        <v>0.10425648155438245</v>
      </c>
      <c r="E88" s="42">
        <v>6.3886620502759062E-2</v>
      </c>
      <c r="F88" s="42">
        <v>6.4832565017763369E-2</v>
      </c>
      <c r="G88" s="42">
        <v>6.8393219942232381E-2</v>
      </c>
      <c r="H88" s="42">
        <v>6.6154257458198362E-2</v>
      </c>
      <c r="I88" s="42">
        <v>7.3800796091556431E-2</v>
      </c>
      <c r="J88" s="43"/>
      <c r="K88" s="36"/>
    </row>
    <row r="89" spans="1:11" ht="15.6" x14ac:dyDescent="0.3">
      <c r="A89" s="24" t="s">
        <v>5145</v>
      </c>
      <c r="B89" s="42">
        <v>4.0045371179701195E-2</v>
      </c>
      <c r="C89" s="42">
        <v>4.1014970010500446E-2</v>
      </c>
      <c r="D89" s="42">
        <v>4.0557122748666824E-2</v>
      </c>
      <c r="E89" s="42">
        <v>5.646272472507001E-2</v>
      </c>
      <c r="F89" s="42">
        <v>5.3402621652015321E-2</v>
      </c>
      <c r="G89" s="42">
        <v>5.7308099388338501E-2</v>
      </c>
      <c r="H89" s="42">
        <v>2.418669387016658E-2</v>
      </c>
      <c r="I89" s="42">
        <v>2.7456648820521297E-2</v>
      </c>
      <c r="J89" s="43"/>
      <c r="K89" s="36"/>
    </row>
    <row r="90" spans="1:11" ht="15.6" x14ac:dyDescent="0.3">
      <c r="A90" s="24" t="s">
        <v>5146</v>
      </c>
      <c r="B90" s="42">
        <v>0.39122865963026027</v>
      </c>
      <c r="C90" s="42">
        <v>0.39822212071067192</v>
      </c>
      <c r="D90" s="42">
        <v>0.3933942490307194</v>
      </c>
      <c r="E90" s="42">
        <v>0.39934360793140017</v>
      </c>
      <c r="F90" s="42">
        <v>0.40281676757631418</v>
      </c>
      <c r="G90" s="42">
        <v>0.36709475536777758</v>
      </c>
      <c r="H90" s="42">
        <v>0.41475657017365519</v>
      </c>
      <c r="I90" s="42">
        <v>0.46677778695991801</v>
      </c>
      <c r="J90" s="43"/>
      <c r="K90" s="36"/>
    </row>
    <row r="91" spans="1:11" ht="15.6" x14ac:dyDescent="0.3">
      <c r="A91" s="24" t="s">
        <v>5147</v>
      </c>
      <c r="B91" s="42">
        <v>0.46510435876578266</v>
      </c>
      <c r="C91" s="42">
        <v>0.45473262340775278</v>
      </c>
      <c r="D91" s="42">
        <v>0.46179214666623136</v>
      </c>
      <c r="E91" s="42">
        <v>0.48030704684077069</v>
      </c>
      <c r="F91" s="42">
        <v>0.47894804575390726</v>
      </c>
      <c r="G91" s="42">
        <v>0.50720392530165159</v>
      </c>
      <c r="H91" s="42">
        <v>0.49490247849797986</v>
      </c>
      <c r="I91" s="42">
        <v>0.43196476812800427</v>
      </c>
      <c r="J91" s="43"/>
      <c r="K91" s="36"/>
    </row>
    <row r="92" spans="1:11" ht="15.6" x14ac:dyDescent="0.3">
      <c r="A92" s="34" t="s">
        <v>5148</v>
      </c>
      <c r="B92" s="40">
        <v>1</v>
      </c>
      <c r="C92" s="40">
        <v>1</v>
      </c>
      <c r="D92" s="40">
        <v>1.0000000000000002</v>
      </c>
      <c r="E92" s="40">
        <v>0.99999999999999989</v>
      </c>
      <c r="F92" s="40">
        <v>0.99999999999999989</v>
      </c>
      <c r="G92" s="40">
        <v>1</v>
      </c>
      <c r="H92" s="40">
        <v>0.99999999999999989</v>
      </c>
      <c r="I92" s="40">
        <v>1</v>
      </c>
      <c r="J92" s="40">
        <v>1</v>
      </c>
      <c r="K92" s="35"/>
    </row>
    <row r="93" spans="1:11" x14ac:dyDescent="0.3">
      <c r="A93" s="14"/>
      <c r="B93" s="14"/>
      <c r="C93" s="14"/>
      <c r="D93" s="14"/>
      <c r="E93" s="14"/>
      <c r="F93" s="14"/>
      <c r="G93" s="14"/>
      <c r="H93" s="14"/>
      <c r="I93" s="14"/>
      <c r="J93" s="14"/>
      <c r="K93" s="14"/>
    </row>
    <row r="94" spans="1:11" x14ac:dyDescent="0.3">
      <c r="A94" s="14"/>
      <c r="B94" s="14"/>
      <c r="C94" s="14"/>
      <c r="D94" s="14"/>
      <c r="E94" s="14"/>
      <c r="F94" s="14"/>
      <c r="G94" s="14"/>
      <c r="H94" s="14"/>
      <c r="I94" s="14"/>
      <c r="J94" s="14"/>
      <c r="K94" s="14"/>
    </row>
    <row r="95" spans="1:11" ht="17.399999999999999" x14ac:dyDescent="0.3">
      <c r="A95" s="12" t="s">
        <v>5169</v>
      </c>
      <c r="B95" s="56"/>
      <c r="C95" s="56"/>
      <c r="D95" s="56"/>
      <c r="E95" s="56"/>
      <c r="F95" s="56"/>
      <c r="G95" s="56"/>
      <c r="H95" s="56"/>
      <c r="I95" s="56"/>
      <c r="J95" s="56"/>
      <c r="K95" s="56"/>
    </row>
    <row r="96" spans="1:11" ht="15.6" x14ac:dyDescent="0.3">
      <c r="A96" s="57" t="s">
        <v>5170</v>
      </c>
      <c r="B96" s="58"/>
      <c r="C96" s="58"/>
      <c r="D96" s="58"/>
      <c r="E96" s="58"/>
      <c r="F96" s="58"/>
      <c r="G96" s="58"/>
      <c r="H96" s="58"/>
      <c r="I96" s="58"/>
      <c r="J96" s="59"/>
      <c r="K96" s="56"/>
    </row>
    <row r="97" spans="1:11" ht="15.6" x14ac:dyDescent="0.3">
      <c r="A97" s="7" t="s">
        <v>5102</v>
      </c>
      <c r="B97" s="8">
        <v>2015</v>
      </c>
      <c r="C97" s="8">
        <v>2016</v>
      </c>
      <c r="D97" s="8">
        <v>2017</v>
      </c>
      <c r="E97" s="8">
        <v>2018</v>
      </c>
      <c r="F97" s="8">
        <v>2019</v>
      </c>
      <c r="G97" s="8">
        <v>2020</v>
      </c>
      <c r="H97" s="8">
        <v>2021</v>
      </c>
      <c r="I97" s="8">
        <v>2022</v>
      </c>
      <c r="J97" s="8">
        <v>2023</v>
      </c>
      <c r="K97" s="8">
        <v>2024</v>
      </c>
    </row>
    <row r="98" spans="1:11" ht="15.6" x14ac:dyDescent="0.3">
      <c r="A98" s="60" t="s">
        <v>5171</v>
      </c>
      <c r="B98" s="61">
        <v>1.47</v>
      </c>
      <c r="C98" s="61">
        <v>1.24</v>
      </c>
      <c r="D98" s="61">
        <v>1.1599999999999999</v>
      </c>
      <c r="E98" s="61">
        <v>0.83</v>
      </c>
      <c r="F98" s="61">
        <v>1.05</v>
      </c>
      <c r="G98" s="61">
        <v>0.44999999999999996</v>
      </c>
      <c r="H98" s="61">
        <v>0.36</v>
      </c>
      <c r="I98" s="61">
        <v>1.34</v>
      </c>
      <c r="J98" s="61"/>
      <c r="K98" s="61"/>
    </row>
    <row r="99" spans="1:11" ht="15.6" x14ac:dyDescent="0.3">
      <c r="A99" s="51" t="s">
        <v>5172</v>
      </c>
      <c r="B99" s="62">
        <v>0.97</v>
      </c>
      <c r="C99" s="62">
        <v>0.79</v>
      </c>
      <c r="D99" s="62">
        <v>0.82</v>
      </c>
      <c r="E99" s="62">
        <v>0.62</v>
      </c>
      <c r="F99" s="62">
        <v>0.51</v>
      </c>
      <c r="G99" s="62">
        <v>0.03</v>
      </c>
      <c r="H99" s="63">
        <v>0.09</v>
      </c>
      <c r="I99" s="64">
        <v>0.66</v>
      </c>
      <c r="J99" s="64"/>
      <c r="K99" s="64"/>
    </row>
    <row r="100" spans="1:11" ht="15.6" x14ac:dyDescent="0.3">
      <c r="A100" s="51" t="s">
        <v>5173</v>
      </c>
      <c r="B100" s="62">
        <v>0.5</v>
      </c>
      <c r="C100" s="62">
        <v>0.45</v>
      </c>
      <c r="D100" s="62">
        <v>0.34</v>
      </c>
      <c r="E100" s="62">
        <v>0.21</v>
      </c>
      <c r="F100" s="62">
        <v>0.54</v>
      </c>
      <c r="G100" s="62">
        <v>0.42</v>
      </c>
      <c r="H100" s="62">
        <v>0.27</v>
      </c>
      <c r="I100" s="64">
        <v>0.68</v>
      </c>
      <c r="J100" s="64"/>
      <c r="K100" s="64"/>
    </row>
    <row r="101" spans="1:11" ht="15.6" x14ac:dyDescent="0.3">
      <c r="A101" s="60" t="s">
        <v>5174</v>
      </c>
      <c r="B101" s="61">
        <v>0.64</v>
      </c>
      <c r="C101" s="61">
        <v>0.82000000000000006</v>
      </c>
      <c r="D101" s="61">
        <v>1.07</v>
      </c>
      <c r="E101" s="61">
        <v>0.8</v>
      </c>
      <c r="F101" s="61">
        <v>1.36</v>
      </c>
      <c r="G101" s="61">
        <v>1.4300000000000002</v>
      </c>
      <c r="H101" s="61">
        <v>1.3400000000000003</v>
      </c>
      <c r="I101" s="61">
        <v>1.2100000000000002</v>
      </c>
      <c r="J101" s="61"/>
      <c r="K101" s="61"/>
    </row>
    <row r="102" spans="1:11" ht="31.2" x14ac:dyDescent="0.3">
      <c r="A102" s="51" t="s">
        <v>5175</v>
      </c>
      <c r="B102" s="62">
        <v>0.49</v>
      </c>
      <c r="C102" s="62">
        <v>0.71</v>
      </c>
      <c r="D102" s="62">
        <v>0.66</v>
      </c>
      <c r="E102" s="62">
        <v>0.61</v>
      </c>
      <c r="F102" s="62">
        <v>0.84</v>
      </c>
      <c r="G102" s="62">
        <v>1.1399999999999999</v>
      </c>
      <c r="H102" s="62">
        <v>1.1200000000000001</v>
      </c>
      <c r="I102" s="64">
        <v>0.9</v>
      </c>
      <c r="J102" s="64"/>
      <c r="K102" s="64"/>
    </row>
    <row r="103" spans="1:11" ht="31.2" x14ac:dyDescent="0.3">
      <c r="A103" s="51" t="s">
        <v>5176</v>
      </c>
      <c r="B103" s="62">
        <v>0.01</v>
      </c>
      <c r="C103" s="62">
        <v>0.01</v>
      </c>
      <c r="D103" s="62">
        <v>0.11</v>
      </c>
      <c r="E103" s="62">
        <v>0.02</v>
      </c>
      <c r="F103" s="62">
        <v>0.02</v>
      </c>
      <c r="G103" s="62">
        <v>0.02</v>
      </c>
      <c r="H103" s="62">
        <v>0.02</v>
      </c>
      <c r="I103" s="64">
        <v>0.02</v>
      </c>
      <c r="J103" s="64"/>
      <c r="K103" s="64"/>
    </row>
    <row r="104" spans="1:11" ht="15.6" x14ac:dyDescent="0.3">
      <c r="A104" s="51" t="s">
        <v>5177</v>
      </c>
      <c r="B104" s="65" t="s">
        <v>5178</v>
      </c>
      <c r="C104" s="65" t="s">
        <v>5178</v>
      </c>
      <c r="D104" s="65" t="s">
        <v>5178</v>
      </c>
      <c r="E104" s="65" t="s">
        <v>5178</v>
      </c>
      <c r="F104" s="65" t="s">
        <v>5178</v>
      </c>
      <c r="G104" s="62">
        <v>0.01</v>
      </c>
      <c r="H104" s="62">
        <v>0</v>
      </c>
      <c r="I104" s="64">
        <v>0</v>
      </c>
      <c r="J104" s="64"/>
      <c r="K104" s="64"/>
    </row>
    <row r="105" spans="1:11" ht="31.2" x14ac:dyDescent="0.3">
      <c r="A105" s="51" t="s">
        <v>5179</v>
      </c>
      <c r="B105" s="62">
        <v>0.04</v>
      </c>
      <c r="C105" s="62">
        <v>0.02</v>
      </c>
      <c r="D105" s="62">
        <v>0.03</v>
      </c>
      <c r="E105" s="62">
        <v>0.08</v>
      </c>
      <c r="F105" s="62">
        <v>0.15</v>
      </c>
      <c r="G105" s="62">
        <v>0.12</v>
      </c>
      <c r="H105" s="62">
        <v>7.0000000000000007E-2</v>
      </c>
      <c r="I105" s="62">
        <v>0.09</v>
      </c>
      <c r="J105" s="62"/>
      <c r="K105" s="62"/>
    </row>
    <row r="106" spans="1:11" ht="15.6" x14ac:dyDescent="0.3">
      <c r="A106" s="51" t="s">
        <v>5180</v>
      </c>
      <c r="B106" s="65" t="s">
        <v>5178</v>
      </c>
      <c r="C106" s="62">
        <v>0</v>
      </c>
      <c r="D106" s="62">
        <v>0.01</v>
      </c>
      <c r="E106" s="62">
        <v>0.03</v>
      </c>
      <c r="F106" s="62">
        <v>7.0000000000000007E-2</v>
      </c>
      <c r="G106" s="62">
        <v>7.0000000000000007E-2</v>
      </c>
      <c r="H106" s="63">
        <v>0.08</v>
      </c>
      <c r="I106" s="64">
        <v>0.11</v>
      </c>
      <c r="J106" s="64"/>
      <c r="K106" s="64"/>
    </row>
    <row r="107" spans="1:11" ht="15.6" x14ac:dyDescent="0.3">
      <c r="A107" s="51" t="s">
        <v>5181</v>
      </c>
      <c r="B107" s="62">
        <v>0.08</v>
      </c>
      <c r="C107" s="62">
        <v>0.06</v>
      </c>
      <c r="D107" s="62">
        <v>0.06</v>
      </c>
      <c r="E107" s="62">
        <v>0.06</v>
      </c>
      <c r="F107" s="62">
        <v>0.28000000000000003</v>
      </c>
      <c r="G107" s="62">
        <v>7.0000000000000007E-2</v>
      </c>
      <c r="H107" s="62">
        <v>0.05</v>
      </c>
      <c r="I107" s="64">
        <v>0.08</v>
      </c>
      <c r="J107" s="64"/>
      <c r="K107" s="64"/>
    </row>
    <row r="108" spans="1:11" ht="15.6" x14ac:dyDescent="0.3">
      <c r="A108" s="51" t="s">
        <v>5182</v>
      </c>
      <c r="B108" s="62">
        <v>0.02</v>
      </c>
      <c r="C108" s="62">
        <v>0.02</v>
      </c>
      <c r="D108" s="62">
        <v>0.2</v>
      </c>
      <c r="E108" s="62">
        <v>0</v>
      </c>
      <c r="F108" s="62">
        <v>0</v>
      </c>
      <c r="G108" s="62">
        <v>0</v>
      </c>
      <c r="H108" s="62">
        <v>0</v>
      </c>
      <c r="I108" s="64">
        <v>0.01</v>
      </c>
      <c r="J108" s="64"/>
      <c r="K108" s="64"/>
    </row>
    <row r="109" spans="1:11" ht="31.2" x14ac:dyDescent="0.3">
      <c r="A109" s="60" t="s">
        <v>5183</v>
      </c>
      <c r="B109" s="61">
        <v>1.2</v>
      </c>
      <c r="C109" s="61">
        <v>1.1100000000000001</v>
      </c>
      <c r="D109" s="61">
        <v>0.94</v>
      </c>
      <c r="E109" s="61">
        <v>0.82</v>
      </c>
      <c r="F109" s="61">
        <v>0.89</v>
      </c>
      <c r="G109" s="61">
        <v>1.1599999999999999</v>
      </c>
      <c r="H109" s="61">
        <v>1.24</v>
      </c>
      <c r="I109" s="61">
        <v>1.47</v>
      </c>
      <c r="J109" s="66"/>
      <c r="K109" s="66"/>
    </row>
    <row r="110" spans="1:11" ht="15.6" x14ac:dyDescent="0.3">
      <c r="A110" s="67" t="s">
        <v>5127</v>
      </c>
      <c r="B110" s="68">
        <v>3.3099999999999996</v>
      </c>
      <c r="C110" s="68">
        <v>3.17</v>
      </c>
      <c r="D110" s="68">
        <v>3.17</v>
      </c>
      <c r="E110" s="68">
        <v>2.4500000000000002</v>
      </c>
      <c r="F110" s="68">
        <v>3.3</v>
      </c>
      <c r="G110" s="68">
        <v>3.04</v>
      </c>
      <c r="H110" s="68">
        <v>2.94</v>
      </c>
      <c r="I110" s="68">
        <v>4.0200000000000005</v>
      </c>
      <c r="J110" s="68"/>
      <c r="K110" s="68"/>
    </row>
    <row r="111" spans="1:11" ht="15.6" x14ac:dyDescent="0.3">
      <c r="A111" s="69" t="s">
        <v>5184</v>
      </c>
      <c r="B111" s="70"/>
      <c r="C111" s="70"/>
      <c r="D111" s="70"/>
      <c r="E111" s="70"/>
      <c r="F111" s="70"/>
      <c r="G111" s="70"/>
      <c r="H111" s="70"/>
      <c r="I111" s="70"/>
      <c r="J111" s="70"/>
      <c r="K111" s="70"/>
    </row>
    <row r="112" spans="1:11" ht="15.6" x14ac:dyDescent="0.3">
      <c r="A112" s="71" t="s">
        <v>5185</v>
      </c>
      <c r="B112" s="70"/>
      <c r="C112" s="70"/>
      <c r="D112" s="70"/>
      <c r="E112" s="70"/>
      <c r="F112" s="70"/>
      <c r="G112" s="70"/>
      <c r="H112" s="70"/>
      <c r="I112" s="70"/>
      <c r="J112" s="70"/>
      <c r="K112" s="70"/>
    </row>
    <row r="113" spans="1:18" ht="15.6" x14ac:dyDescent="0.3">
      <c r="A113" s="69"/>
      <c r="B113" s="70"/>
      <c r="C113" s="70"/>
      <c r="D113" s="70"/>
      <c r="E113" s="70"/>
      <c r="F113" s="70"/>
      <c r="G113" s="70"/>
      <c r="H113" s="70"/>
      <c r="I113" s="70"/>
      <c r="J113" s="70"/>
      <c r="K113" s="70"/>
    </row>
    <row r="114" spans="1:18" ht="15.6" x14ac:dyDescent="0.3">
      <c r="A114" s="123" t="s">
        <v>5102</v>
      </c>
      <c r="B114" s="7">
        <v>2010</v>
      </c>
      <c r="C114" s="7">
        <v>2011</v>
      </c>
      <c r="D114" s="7">
        <v>2012</v>
      </c>
      <c r="E114" s="7">
        <v>2013</v>
      </c>
      <c r="F114" s="7">
        <v>2014</v>
      </c>
      <c r="G114" s="7">
        <v>2015</v>
      </c>
      <c r="H114" s="7">
        <v>2016</v>
      </c>
      <c r="I114" s="7">
        <v>2017</v>
      </c>
      <c r="J114" s="7">
        <v>2018</v>
      </c>
      <c r="K114" s="7">
        <v>2019</v>
      </c>
      <c r="L114" s="7">
        <v>2020</v>
      </c>
      <c r="M114" s="7">
        <v>2021</v>
      </c>
      <c r="N114" s="7">
        <v>2022</v>
      </c>
      <c r="O114" s="7" t="s">
        <v>5283</v>
      </c>
      <c r="P114" s="7" t="s">
        <v>5284</v>
      </c>
      <c r="Q114" s="7">
        <v>2025</v>
      </c>
      <c r="R114" s="7" t="s">
        <v>5285</v>
      </c>
    </row>
    <row r="115" spans="1:18" ht="15.6" x14ac:dyDescent="0.3">
      <c r="A115" s="67" t="s">
        <v>5286</v>
      </c>
      <c r="B115" s="148">
        <v>4.6258803396605153</v>
      </c>
      <c r="C115" s="148">
        <v>-6.6351707269523663</v>
      </c>
      <c r="D115" s="148">
        <v>10.456884001978995</v>
      </c>
      <c r="E115" s="148">
        <v>10.20705081362745</v>
      </c>
      <c r="F115" s="148">
        <v>9.425817912363744</v>
      </c>
      <c r="G115" s="148">
        <v>8.800004440143482</v>
      </c>
      <c r="H115" s="149">
        <v>7.2</v>
      </c>
      <c r="I115" s="150">
        <v>7.4</v>
      </c>
      <c r="J115" s="150">
        <v>4.8</v>
      </c>
      <c r="K115" s="150">
        <v>6.7</v>
      </c>
      <c r="L115" s="149">
        <v>0.7</v>
      </c>
      <c r="M115" s="150">
        <v>7.1</v>
      </c>
      <c r="N115" s="150">
        <v>6.4</v>
      </c>
      <c r="O115" s="150">
        <v>6.5</v>
      </c>
      <c r="P115" s="150"/>
      <c r="Q115" s="149"/>
      <c r="R115" s="149"/>
    </row>
    <row r="116" spans="1:18" ht="15.6" x14ac:dyDescent="0.3">
      <c r="A116" s="67" t="s">
        <v>5287</v>
      </c>
      <c r="B116" s="151">
        <v>18650658</v>
      </c>
      <c r="C116" s="151">
        <v>18112059</v>
      </c>
      <c r="D116" s="151">
        <v>20505208</v>
      </c>
      <c r="E116" s="151">
        <v>23198390</v>
      </c>
      <c r="F116" s="151">
        <v>26370647</v>
      </c>
      <c r="G116" s="152">
        <v>27086149.999999996</v>
      </c>
      <c r="H116" s="152">
        <v>28686211.000000004</v>
      </c>
      <c r="I116" s="152">
        <v>30491898</v>
      </c>
      <c r="J116" s="152">
        <v>32506591.000000004</v>
      </c>
      <c r="K116" s="152">
        <v>35379058.999999993</v>
      </c>
      <c r="L116" s="152">
        <v>36277950</v>
      </c>
      <c r="M116" s="152">
        <v>40366859.000000007</v>
      </c>
      <c r="N116" s="152">
        <v>44238799.999999993</v>
      </c>
      <c r="O116" s="152">
        <v>48293904.533000037</v>
      </c>
      <c r="P116" s="153"/>
      <c r="Q116" s="154"/>
      <c r="R116" s="154"/>
    </row>
    <row r="117" spans="1:18" ht="21.6" customHeight="1" x14ac:dyDescent="0.3">
      <c r="A117" s="67" t="s">
        <v>5292</v>
      </c>
      <c r="B117" s="151">
        <v>3014490</v>
      </c>
      <c r="C117" s="151">
        <v>2552982</v>
      </c>
      <c r="D117" s="151">
        <v>3476906</v>
      </c>
      <c r="E117" s="151">
        <v>4641893</v>
      </c>
      <c r="F117" s="151">
        <v>5784989</v>
      </c>
      <c r="G117" s="152">
        <v>6382171</v>
      </c>
      <c r="H117" s="152">
        <v>6682860</v>
      </c>
      <c r="I117" s="152">
        <v>6680750</v>
      </c>
      <c r="J117" s="152">
        <v>7303299</v>
      </c>
      <c r="K117" s="152">
        <v>7845877</v>
      </c>
      <c r="L117" s="152">
        <v>7380663</v>
      </c>
      <c r="M117" s="152">
        <v>8500122</v>
      </c>
      <c r="N117" s="152">
        <v>9860617</v>
      </c>
      <c r="O117" s="152">
        <v>11175939</v>
      </c>
      <c r="P117" s="153"/>
      <c r="Q117" s="154"/>
      <c r="R117" s="154"/>
    </row>
    <row r="118" spans="1:18" ht="15.6" x14ac:dyDescent="0.3">
      <c r="A118" s="67" t="s">
        <v>5288</v>
      </c>
      <c r="B118" s="155">
        <v>0.16162915002784353</v>
      </c>
      <c r="C118" s="155">
        <v>0.14095481910698282</v>
      </c>
      <c r="D118" s="155">
        <v>0.16956209368858877</v>
      </c>
      <c r="E118" s="155">
        <v>0.2000954807639668</v>
      </c>
      <c r="F118" s="155">
        <v>0.21937228161296157</v>
      </c>
      <c r="G118" s="156">
        <v>0.23562488578110957</v>
      </c>
      <c r="H118" s="156">
        <v>0.23296419314492245</v>
      </c>
      <c r="I118" s="156">
        <v>0.21909918497038131</v>
      </c>
      <c r="J118" s="156">
        <v>0.22467132896217876</v>
      </c>
      <c r="K118" s="156">
        <v>0.22176613007146406</v>
      </c>
      <c r="L118" s="156">
        <v>0.20344763141246955</v>
      </c>
      <c r="M118" s="156">
        <v>0.21057179603694204</v>
      </c>
      <c r="N118" s="156">
        <v>0.22289521867681766</v>
      </c>
      <c r="O118" s="156">
        <v>0.23141510524093767</v>
      </c>
      <c r="P118" s="156"/>
      <c r="Q118" s="154"/>
      <c r="R118" s="154"/>
    </row>
    <row r="119" spans="1:18" ht="15.6" x14ac:dyDescent="0.3">
      <c r="A119" s="132" t="s">
        <v>5289</v>
      </c>
      <c r="B119" s="157"/>
      <c r="C119" s="157"/>
      <c r="D119" s="157"/>
      <c r="E119" s="157"/>
      <c r="F119" s="157"/>
      <c r="G119" s="158"/>
      <c r="H119" s="158"/>
      <c r="I119" s="158"/>
      <c r="J119" s="158"/>
      <c r="K119" s="158"/>
      <c r="L119" s="159">
        <v>8.6</v>
      </c>
      <c r="M119" s="159">
        <v>5.7</v>
      </c>
      <c r="N119" s="159">
        <v>8.1999999999999993</v>
      </c>
      <c r="O119" s="159">
        <v>8.3000000000000007</v>
      </c>
      <c r="P119" s="159">
        <v>7.8</v>
      </c>
      <c r="Q119" s="159">
        <v>8.1</v>
      </c>
      <c r="R119" s="159">
        <v>9.1999999999999993</v>
      </c>
    </row>
    <row r="120" spans="1:18" ht="15.6" x14ac:dyDescent="0.3">
      <c r="A120" s="132" t="s">
        <v>5290</v>
      </c>
      <c r="B120" s="160"/>
      <c r="C120" s="160"/>
      <c r="D120" s="160"/>
      <c r="E120" s="160"/>
      <c r="F120" s="160"/>
      <c r="G120" s="161"/>
      <c r="H120" s="161"/>
      <c r="I120" s="161"/>
      <c r="J120" s="161"/>
      <c r="K120" s="161"/>
      <c r="L120" s="159">
        <v>15.4</v>
      </c>
      <c r="M120" s="159">
        <v>15.4</v>
      </c>
      <c r="N120" s="159">
        <v>14.1</v>
      </c>
      <c r="O120" s="159">
        <v>14.9</v>
      </c>
      <c r="P120" s="159">
        <v>15.3</v>
      </c>
      <c r="Q120" s="159">
        <v>15.7</v>
      </c>
      <c r="R120" s="159">
        <v>23.4</v>
      </c>
    </row>
    <row r="121" spans="1:18" ht="15.6" x14ac:dyDescent="0.3">
      <c r="A121" s="67" t="s">
        <v>5291</v>
      </c>
      <c r="B121" s="163"/>
      <c r="C121" s="163"/>
      <c r="D121" s="163"/>
      <c r="E121" s="163"/>
      <c r="F121" s="163"/>
      <c r="G121" s="163"/>
      <c r="H121" s="163"/>
      <c r="I121" s="163"/>
      <c r="J121" s="163"/>
      <c r="K121" s="163"/>
      <c r="L121" s="162">
        <v>1.1000000000000001</v>
      </c>
      <c r="M121" s="162">
        <v>1.5</v>
      </c>
      <c r="N121" s="162">
        <v>2</v>
      </c>
      <c r="O121" s="162">
        <v>2.5</v>
      </c>
      <c r="P121" s="162">
        <v>3.8</v>
      </c>
      <c r="Q121" s="162">
        <v>3.9</v>
      </c>
      <c r="R121" s="162">
        <v>3.3</v>
      </c>
    </row>
    <row r="123" spans="1:18" ht="18" x14ac:dyDescent="0.3">
      <c r="A123" s="164"/>
      <c r="B123" s="165">
        <v>2015</v>
      </c>
      <c r="C123" s="165">
        <v>2016</v>
      </c>
      <c r="D123" s="165">
        <v>2017</v>
      </c>
      <c r="E123" s="165">
        <v>2018</v>
      </c>
      <c r="F123" s="165">
        <v>2019</v>
      </c>
      <c r="G123" s="165">
        <v>2020</v>
      </c>
      <c r="H123" s="165">
        <v>2021</v>
      </c>
      <c r="I123" s="165">
        <v>2022</v>
      </c>
      <c r="J123" s="165">
        <v>2023</v>
      </c>
      <c r="K123" s="165">
        <v>2024</v>
      </c>
    </row>
    <row r="124" spans="1:18" ht="17.399999999999999" x14ac:dyDescent="0.3">
      <c r="A124" s="166" t="s">
        <v>5293</v>
      </c>
      <c r="B124" s="167">
        <v>292.3</v>
      </c>
      <c r="C124" s="167">
        <v>342.4</v>
      </c>
      <c r="D124" s="167">
        <v>566.1</v>
      </c>
      <c r="E124" s="167">
        <v>344.6</v>
      </c>
      <c r="F124" s="167">
        <v>497.4</v>
      </c>
      <c r="G124" s="167">
        <v>410.3</v>
      </c>
      <c r="H124" s="167">
        <v>772.1</v>
      </c>
      <c r="I124" s="167">
        <v>997.5</v>
      </c>
      <c r="J124" s="167">
        <v>1507.4</v>
      </c>
      <c r="K124" s="167"/>
    </row>
    <row r="125" spans="1:18" ht="18" x14ac:dyDescent="0.3">
      <c r="A125" s="168" t="s">
        <v>5294</v>
      </c>
      <c r="B125" s="169">
        <v>94.997500000000002</v>
      </c>
      <c r="C125" s="169">
        <v>110.25279999999999</v>
      </c>
      <c r="D125" s="169">
        <v>186.24689999999998</v>
      </c>
      <c r="E125" s="169">
        <v>79.947200000000009</v>
      </c>
      <c r="F125" s="169">
        <v>165.63419999999996</v>
      </c>
      <c r="G125" s="169">
        <v>94.2</v>
      </c>
      <c r="H125" s="169">
        <v>375.24060000000003</v>
      </c>
      <c r="I125" s="169">
        <v>501.74250000000001</v>
      </c>
      <c r="J125" s="169">
        <v>1028.0468000000001</v>
      </c>
      <c r="K125" s="169"/>
    </row>
    <row r="126" spans="1:18" ht="18" x14ac:dyDescent="0.3">
      <c r="A126" s="168" t="s">
        <v>5295</v>
      </c>
      <c r="B126" s="169">
        <v>197.30250000000001</v>
      </c>
      <c r="C126" s="169">
        <v>232.1472</v>
      </c>
      <c r="D126" s="169">
        <v>379.85310000000004</v>
      </c>
      <c r="E126" s="169">
        <v>264.65280000000001</v>
      </c>
      <c r="F126" s="169">
        <v>331.76580000000001</v>
      </c>
      <c r="G126" s="169">
        <v>316.10000000000002</v>
      </c>
      <c r="H126" s="169">
        <v>396.85939999999999</v>
      </c>
      <c r="I126" s="169">
        <v>495.75749999999999</v>
      </c>
      <c r="J126" s="169">
        <v>479.35320000000002</v>
      </c>
      <c r="K126" s="169"/>
    </row>
    <row r="127" spans="1:18" ht="18" x14ac:dyDescent="0.3">
      <c r="A127" s="168"/>
      <c r="B127" s="169"/>
      <c r="C127" s="169"/>
      <c r="D127" s="169"/>
      <c r="E127" s="169"/>
      <c r="F127" s="169"/>
      <c r="G127" s="169"/>
      <c r="H127" s="169"/>
      <c r="I127" s="169"/>
      <c r="J127" s="169"/>
      <c r="K127" s="169"/>
    </row>
    <row r="128" spans="1:18" ht="18" x14ac:dyDescent="0.3">
      <c r="A128" s="166" t="s">
        <v>5296</v>
      </c>
      <c r="B128" s="170"/>
      <c r="C128" s="171"/>
      <c r="D128" s="171"/>
      <c r="E128" s="171"/>
      <c r="F128" s="171"/>
      <c r="G128" s="171"/>
      <c r="H128" s="171"/>
      <c r="I128" s="171"/>
      <c r="J128" s="171"/>
      <c r="K128" s="171"/>
    </row>
    <row r="129" spans="1:11" ht="18" x14ac:dyDescent="0.3">
      <c r="A129" s="168" t="s">
        <v>5294</v>
      </c>
      <c r="B129" s="172">
        <v>0.32500000000000001</v>
      </c>
      <c r="C129" s="172">
        <v>0.32200000000000001</v>
      </c>
      <c r="D129" s="172">
        <v>0.32899999999999996</v>
      </c>
      <c r="E129" s="172">
        <v>0.23200000000000001</v>
      </c>
      <c r="F129" s="172">
        <v>0.33299999999999996</v>
      </c>
      <c r="G129" s="172">
        <v>0.22958810626370948</v>
      </c>
      <c r="H129" s="172">
        <v>0.48600000000000004</v>
      </c>
      <c r="I129" s="172">
        <v>0.503</v>
      </c>
      <c r="J129" s="172">
        <v>0.68200000000000005</v>
      </c>
      <c r="K129" s="172"/>
    </row>
    <row r="130" spans="1:11" ht="18" x14ac:dyDescent="0.3">
      <c r="A130" s="168" t="s">
        <v>5297</v>
      </c>
      <c r="B130" s="173">
        <v>0.67500000000000004</v>
      </c>
      <c r="C130" s="173">
        <v>0.67800000000000005</v>
      </c>
      <c r="D130" s="173">
        <v>0.67100000000000004</v>
      </c>
      <c r="E130" s="173">
        <v>0.76800000000000002</v>
      </c>
      <c r="F130" s="173">
        <v>0.66700000000000004</v>
      </c>
      <c r="G130" s="173">
        <v>0.7704118937362906</v>
      </c>
      <c r="H130" s="173">
        <v>0.51400000000000001</v>
      </c>
      <c r="I130" s="173">
        <v>0.497</v>
      </c>
      <c r="J130" s="173">
        <v>0.318</v>
      </c>
      <c r="K130" s="173"/>
    </row>
    <row r="131" spans="1:11" ht="18" x14ac:dyDescent="0.3">
      <c r="A131" s="168"/>
      <c r="B131" s="169"/>
      <c r="C131" s="169"/>
      <c r="D131" s="169"/>
      <c r="E131" s="169"/>
      <c r="F131" s="169"/>
      <c r="G131" s="169"/>
      <c r="H131" s="169"/>
      <c r="I131" s="169"/>
      <c r="J131" s="169"/>
      <c r="K131" s="169"/>
    </row>
    <row r="132" spans="1:11" ht="17.399999999999999" x14ac:dyDescent="0.3">
      <c r="A132" s="166" t="s">
        <v>5298</v>
      </c>
      <c r="B132" s="167">
        <v>1.0791406614257277</v>
      </c>
      <c r="C132" s="167">
        <v>1.193584025718389</v>
      </c>
      <c r="D132" s="167">
        <v>1.8565740315700234</v>
      </c>
      <c r="E132" s="167">
        <v>1.0601086202181789</v>
      </c>
      <c r="F132" s="167">
        <v>1.4059186461529174</v>
      </c>
      <c r="G132" s="167">
        <v>1.1309900366476056</v>
      </c>
      <c r="H132" s="167">
        <v>1.9127076496092996</v>
      </c>
      <c r="I132" s="167">
        <v>2.2548079966002699</v>
      </c>
      <c r="J132" s="167">
        <v>3.1213048822133822</v>
      </c>
      <c r="K132" s="167"/>
    </row>
    <row r="133" spans="1:11" ht="18" x14ac:dyDescent="0.3">
      <c r="A133" s="168" t="s">
        <v>5294</v>
      </c>
      <c r="B133" s="174">
        <v>0.35072071496336149</v>
      </c>
      <c r="C133" s="174">
        <v>0.38433405628132128</v>
      </c>
      <c r="D133" s="174">
        <v>0.61081285638653759</v>
      </c>
      <c r="E133" s="174">
        <v>0.2459451998906175</v>
      </c>
      <c r="F133" s="174">
        <v>0.46817090916892146</v>
      </c>
      <c r="G133" s="174">
        <v>0.25966186071704717</v>
      </c>
      <c r="H133" s="174">
        <v>0.92957591771011971</v>
      </c>
      <c r="I133" s="174">
        <v>1.1341684222899358</v>
      </c>
      <c r="J133" s="174">
        <v>2.128729929669527</v>
      </c>
      <c r="K133" s="174"/>
    </row>
    <row r="134" spans="1:11" ht="18" x14ac:dyDescent="0.3">
      <c r="A134" s="168" t="s">
        <v>5297</v>
      </c>
      <c r="B134" s="174">
        <v>0.72841994646236619</v>
      </c>
      <c r="C134" s="174">
        <v>0.80924996943706784</v>
      </c>
      <c r="D134" s="174">
        <v>1.2457611751834856</v>
      </c>
      <c r="E134" s="174">
        <v>0.81416342032756117</v>
      </c>
      <c r="F134" s="174">
        <v>0.93774773698399594</v>
      </c>
      <c r="G134" s="174">
        <v>0.87132817593055856</v>
      </c>
      <c r="H134" s="174">
        <v>0.98313173189918013</v>
      </c>
      <c r="I134" s="174">
        <v>1.1206395743103341</v>
      </c>
      <c r="J134" s="174">
        <v>0.99257495254385553</v>
      </c>
      <c r="K134" s="174"/>
    </row>
    <row r="135" spans="1:11" ht="17.399999999999999" x14ac:dyDescent="0.3">
      <c r="A135" s="175" t="s">
        <v>5265</v>
      </c>
      <c r="B135" s="176">
        <v>27086.366999999998</v>
      </c>
      <c r="C135" s="176">
        <v>28686.711000000003</v>
      </c>
      <c r="D135" s="176">
        <v>30491.646999999997</v>
      </c>
      <c r="E135" s="176">
        <v>32506.103000000003</v>
      </c>
      <c r="F135" s="176">
        <v>35379.002999999997</v>
      </c>
      <c r="G135" s="176">
        <v>36277.949999999997</v>
      </c>
      <c r="H135" s="176">
        <v>40366.858999999997</v>
      </c>
      <c r="I135" s="176">
        <v>44238.799999999996</v>
      </c>
      <c r="J135" s="176">
        <v>48293.904533000037</v>
      </c>
      <c r="K135" s="176"/>
    </row>
    <row r="136" spans="1:11" ht="18" x14ac:dyDescent="0.3">
      <c r="A136" s="177" t="s">
        <v>5299</v>
      </c>
      <c r="B136" s="178"/>
      <c r="C136" s="178"/>
      <c r="D136" s="178"/>
      <c r="E136" s="178"/>
      <c r="F136" s="178"/>
      <c r="G136" s="178"/>
      <c r="H136" s="178"/>
      <c r="I136" s="178"/>
      <c r="J136" s="178"/>
      <c r="K136" s="178"/>
    </row>
  </sheetData>
  <mergeCells count="1">
    <mergeCell ref="B49:E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AB91-032D-428A-9B37-FEEFE4CFD1AB}">
  <dimension ref="A1:N53"/>
  <sheetViews>
    <sheetView topLeftCell="A21" workbookViewId="0">
      <selection activeCell="A26" sqref="A1:XFD1048576"/>
    </sheetView>
  </sheetViews>
  <sheetFormatPr baseColWidth="10" defaultRowHeight="14.4" x14ac:dyDescent="0.3"/>
  <cols>
    <col min="1" max="1" width="53.5546875" customWidth="1"/>
    <col min="2" max="13" width="12.6640625" bestFit="1" customWidth="1"/>
  </cols>
  <sheetData>
    <row r="1" spans="1:14" ht="16.2" thickBot="1" x14ac:dyDescent="0.35">
      <c r="A1" s="74" t="s">
        <v>5186</v>
      </c>
      <c r="B1" s="75"/>
      <c r="C1" s="75"/>
      <c r="D1" s="75"/>
      <c r="E1" s="75"/>
      <c r="F1" s="75"/>
      <c r="G1" s="76"/>
      <c r="H1" s="76"/>
      <c r="I1" s="76"/>
      <c r="J1" s="76"/>
      <c r="K1" s="76"/>
      <c r="L1" s="76"/>
      <c r="M1" s="76"/>
      <c r="N1" s="76"/>
    </row>
    <row r="2" spans="1:14" ht="16.2" thickBot="1" x14ac:dyDescent="0.35">
      <c r="A2" s="77" t="s">
        <v>5102</v>
      </c>
      <c r="B2" s="78">
        <v>2013</v>
      </c>
      <c r="C2" s="78">
        <v>2014</v>
      </c>
      <c r="D2" s="78">
        <v>2015</v>
      </c>
      <c r="E2" s="78">
        <v>2016</v>
      </c>
      <c r="F2" s="78">
        <v>2017</v>
      </c>
      <c r="G2" s="78">
        <v>2018</v>
      </c>
      <c r="H2" s="78">
        <v>2019</v>
      </c>
      <c r="I2" s="78">
        <v>2020</v>
      </c>
      <c r="J2" s="78">
        <v>2021</v>
      </c>
      <c r="K2" s="78">
        <v>2022</v>
      </c>
      <c r="L2" s="78">
        <v>2023</v>
      </c>
      <c r="M2" s="78">
        <v>2024</v>
      </c>
      <c r="N2" s="79"/>
    </row>
    <row r="3" spans="1:14" ht="16.2" thickBot="1" x14ac:dyDescent="0.35">
      <c r="A3" s="80" t="s">
        <v>5187</v>
      </c>
      <c r="B3" s="81">
        <v>1671088.52</v>
      </c>
      <c r="C3" s="82">
        <v>1678718</v>
      </c>
      <c r="D3" s="82">
        <v>1826073</v>
      </c>
      <c r="E3" s="82">
        <v>1634326</v>
      </c>
      <c r="F3" s="82">
        <v>2033434</v>
      </c>
      <c r="G3" s="82">
        <v>2113188.71</v>
      </c>
      <c r="H3" s="82">
        <v>2235626</v>
      </c>
      <c r="I3" s="82">
        <v>2172712.04</v>
      </c>
      <c r="J3" s="82">
        <v>2228540.4500000002</v>
      </c>
      <c r="K3" s="82">
        <v>2358991.14</v>
      </c>
      <c r="L3" s="82">
        <v>1822440.7</v>
      </c>
      <c r="M3" s="82">
        <v>1890441.65</v>
      </c>
      <c r="N3" s="79"/>
    </row>
    <row r="4" spans="1:14" ht="16.2" thickBot="1" x14ac:dyDescent="0.35">
      <c r="A4" s="83" t="s">
        <v>5188</v>
      </c>
      <c r="B4" s="81">
        <v>468570</v>
      </c>
      <c r="C4" s="82">
        <v>527865</v>
      </c>
      <c r="D4" s="82">
        <v>558275</v>
      </c>
      <c r="E4" s="82">
        <v>491495</v>
      </c>
      <c r="F4" s="82">
        <v>574576</v>
      </c>
      <c r="G4" s="82">
        <v>569849</v>
      </c>
      <c r="H4" s="82">
        <v>597670</v>
      </c>
      <c r="I4" s="82">
        <v>624321</v>
      </c>
      <c r="J4" s="82">
        <v>634182.14199999999</v>
      </c>
      <c r="K4" s="82">
        <v>734484.70900000003</v>
      </c>
      <c r="L4" s="82">
        <v>790350</v>
      </c>
      <c r="M4" s="82">
        <v>754218</v>
      </c>
      <c r="N4" s="79"/>
    </row>
    <row r="5" spans="1:14" ht="16.2" thickBot="1" x14ac:dyDescent="0.35">
      <c r="A5" s="84" t="s">
        <v>5189</v>
      </c>
      <c r="B5" s="85"/>
      <c r="C5" s="86"/>
      <c r="D5" s="86"/>
      <c r="E5" s="86"/>
      <c r="F5" s="87" t="s">
        <v>5190</v>
      </c>
      <c r="G5" s="87" t="s">
        <v>5190</v>
      </c>
      <c r="H5" s="87" t="s">
        <v>5191</v>
      </c>
      <c r="I5" s="87" t="s">
        <v>5192</v>
      </c>
      <c r="J5" s="87" t="s">
        <v>5193</v>
      </c>
      <c r="K5" s="87" t="s">
        <v>5194</v>
      </c>
      <c r="L5" s="87" t="s">
        <v>5195</v>
      </c>
      <c r="M5" s="82"/>
      <c r="N5" s="79"/>
    </row>
    <row r="6" spans="1:14" ht="16.2" thickBot="1" x14ac:dyDescent="0.35">
      <c r="A6" s="88" t="s">
        <v>5196</v>
      </c>
      <c r="B6" s="89">
        <v>0.28000000000000003</v>
      </c>
      <c r="C6" s="90">
        <v>0.314</v>
      </c>
      <c r="D6" s="90">
        <v>0.30599999999999999</v>
      </c>
      <c r="E6" s="90">
        <v>0.30099999999999999</v>
      </c>
      <c r="F6" s="90">
        <v>0.28299999999999997</v>
      </c>
      <c r="G6" s="90">
        <v>0.27</v>
      </c>
      <c r="H6" s="90">
        <v>0.26700000000000002</v>
      </c>
      <c r="I6" s="90">
        <v>0.28699999999999998</v>
      </c>
      <c r="J6" s="90">
        <v>0.28499999999999998</v>
      </c>
      <c r="K6" s="90">
        <v>0.311</v>
      </c>
      <c r="L6" s="90">
        <v>0.434</v>
      </c>
      <c r="M6" s="90">
        <v>0.39900000000000002</v>
      </c>
      <c r="N6" s="79"/>
    </row>
    <row r="7" spans="1:14" ht="15.6" x14ac:dyDescent="0.3">
      <c r="A7" s="16" t="s">
        <v>5197</v>
      </c>
      <c r="B7" s="79"/>
      <c r="C7" s="79"/>
      <c r="D7" s="79"/>
      <c r="E7" s="79"/>
      <c r="F7" s="79"/>
      <c r="G7" s="79"/>
      <c r="H7" s="79"/>
      <c r="I7" s="79"/>
      <c r="J7" s="79"/>
      <c r="K7" s="79"/>
      <c r="L7" s="79"/>
      <c r="M7" s="79"/>
      <c r="N7" s="79"/>
    </row>
    <row r="8" spans="1:14" ht="15.6" x14ac:dyDescent="0.3">
      <c r="A8" s="28"/>
      <c r="B8" s="79"/>
      <c r="C8" s="79"/>
      <c r="D8" s="79"/>
      <c r="E8" s="79"/>
      <c r="F8" s="79"/>
      <c r="G8" s="79"/>
      <c r="H8" s="79"/>
      <c r="I8" s="79"/>
      <c r="J8" s="79"/>
      <c r="K8" s="79"/>
      <c r="L8" s="79"/>
      <c r="M8" s="79"/>
      <c r="N8" s="79"/>
    </row>
    <row r="9" spans="1:14" ht="15.6" x14ac:dyDescent="0.3">
      <c r="A9" s="110" t="s">
        <v>5198</v>
      </c>
      <c r="B9" s="111"/>
      <c r="C9" s="110"/>
      <c r="D9" s="110"/>
      <c r="E9" s="110"/>
      <c r="F9" s="110"/>
      <c r="G9" s="110"/>
      <c r="H9" s="110"/>
      <c r="I9" s="110"/>
      <c r="J9" s="111"/>
      <c r="K9" s="111"/>
      <c r="L9" s="111"/>
      <c r="M9" s="111"/>
      <c r="N9" s="111"/>
    </row>
    <row r="10" spans="1:14" ht="15.6" x14ac:dyDescent="0.3">
      <c r="A10" s="112" t="s">
        <v>5102</v>
      </c>
      <c r="B10" s="112">
        <v>2015</v>
      </c>
      <c r="C10" s="112">
        <v>2016</v>
      </c>
      <c r="D10" s="112">
        <v>2017</v>
      </c>
      <c r="E10" s="112">
        <v>2018</v>
      </c>
      <c r="F10" s="112">
        <v>2019</v>
      </c>
      <c r="G10" s="112">
        <v>2020</v>
      </c>
      <c r="H10" s="112">
        <v>2021</v>
      </c>
      <c r="I10" s="112">
        <v>2022</v>
      </c>
      <c r="J10" s="112">
        <v>2023</v>
      </c>
      <c r="K10" s="111"/>
      <c r="L10" s="111"/>
      <c r="M10" s="111"/>
      <c r="N10" s="111"/>
    </row>
    <row r="11" spans="1:14" ht="15.6" x14ac:dyDescent="0.3">
      <c r="A11" s="113" t="s">
        <v>5199</v>
      </c>
      <c r="B11" s="114">
        <v>1826.1</v>
      </c>
      <c r="C11" s="114">
        <v>1634.3</v>
      </c>
      <c r="D11" s="114">
        <v>2033.5</v>
      </c>
      <c r="E11" s="114">
        <v>2112.5</v>
      </c>
      <c r="F11" s="114">
        <v>2235.6999999999998</v>
      </c>
      <c r="G11" s="114">
        <v>2172.6999999999998</v>
      </c>
      <c r="H11" s="114" t="s">
        <v>5200</v>
      </c>
      <c r="I11" s="114">
        <v>2358.9</v>
      </c>
      <c r="J11" s="114">
        <v>1822.4</v>
      </c>
      <c r="K11" s="111"/>
      <c r="L11" s="111"/>
      <c r="M11" s="111"/>
      <c r="N11" s="111"/>
    </row>
    <row r="12" spans="1:14" ht="15.6" x14ac:dyDescent="0.3">
      <c r="A12" s="113" t="s">
        <v>5201</v>
      </c>
      <c r="B12" s="114">
        <v>527.9</v>
      </c>
      <c r="C12" s="114">
        <v>491.5</v>
      </c>
      <c r="D12" s="114">
        <v>577</v>
      </c>
      <c r="E12" s="114" t="s">
        <v>5202</v>
      </c>
      <c r="F12" s="114">
        <v>604.79999999999995</v>
      </c>
      <c r="G12" s="114">
        <v>596.4</v>
      </c>
      <c r="H12" s="114">
        <v>619.5</v>
      </c>
      <c r="I12" s="114">
        <v>636.9</v>
      </c>
      <c r="J12" s="114">
        <v>790.8</v>
      </c>
      <c r="K12" s="111"/>
      <c r="L12" s="111"/>
      <c r="M12" s="111"/>
      <c r="N12" s="111"/>
    </row>
    <row r="13" spans="1:14" ht="15.6" x14ac:dyDescent="0.3">
      <c r="A13" s="113" t="s">
        <v>5196</v>
      </c>
      <c r="B13" s="115">
        <v>0.28908603033787855</v>
      </c>
      <c r="C13" s="115">
        <v>0.3007403781435477</v>
      </c>
      <c r="D13" s="115">
        <v>0.28374723383329237</v>
      </c>
      <c r="E13" s="115" t="s">
        <v>5203</v>
      </c>
      <c r="F13" s="115">
        <v>0.27051930044281436</v>
      </c>
      <c r="G13" s="115">
        <v>0.27449716942053665</v>
      </c>
      <c r="H13" s="115" t="s">
        <v>5203</v>
      </c>
      <c r="I13" s="115">
        <v>0.26999872822078086</v>
      </c>
      <c r="J13" s="115">
        <v>0.43393327480245825</v>
      </c>
      <c r="K13" s="111"/>
      <c r="L13" s="111"/>
      <c r="M13" s="111"/>
      <c r="N13" s="111"/>
    </row>
    <row r="14" spans="1:14" ht="15.6" x14ac:dyDescent="0.3">
      <c r="A14" s="116" t="s">
        <v>5204</v>
      </c>
      <c r="B14" s="111"/>
      <c r="C14" s="111"/>
      <c r="D14" s="111"/>
      <c r="E14" s="111"/>
      <c r="F14" s="111"/>
      <c r="G14" s="111"/>
      <c r="H14" s="111"/>
      <c r="I14" s="111"/>
      <c r="J14" s="111"/>
      <c r="K14" s="111"/>
      <c r="L14" s="111"/>
      <c r="M14" s="111"/>
      <c r="N14" s="111"/>
    </row>
    <row r="15" spans="1:14" ht="15.6" x14ac:dyDescent="0.3">
      <c r="A15" s="111"/>
      <c r="B15" s="117"/>
      <c r="C15" s="111"/>
      <c r="D15" s="111"/>
      <c r="E15" s="111"/>
      <c r="F15" s="111"/>
      <c r="G15" s="111"/>
      <c r="H15" s="111"/>
      <c r="I15" s="111"/>
      <c r="J15" s="111"/>
      <c r="K15" s="111"/>
      <c r="L15" s="111"/>
      <c r="M15" s="111"/>
      <c r="N15" s="111"/>
    </row>
    <row r="16" spans="1:14" ht="16.2" thickBot="1" x14ac:dyDescent="0.35">
      <c r="A16" s="116" t="s">
        <v>5205</v>
      </c>
      <c r="B16" s="111"/>
      <c r="C16" s="116"/>
      <c r="D16" s="116"/>
      <c r="E16" s="116"/>
      <c r="F16" s="116"/>
      <c r="G16" s="118"/>
      <c r="H16" s="118"/>
      <c r="I16" s="111"/>
      <c r="J16" s="111"/>
      <c r="K16" s="111"/>
      <c r="L16" s="111"/>
      <c r="M16" s="111"/>
      <c r="N16" s="111"/>
    </row>
    <row r="17" spans="1:14" ht="31.8" thickBot="1" x14ac:dyDescent="0.35">
      <c r="A17" s="112" t="s">
        <v>5206</v>
      </c>
      <c r="B17" s="112">
        <v>2017</v>
      </c>
      <c r="C17" s="112">
        <v>2018</v>
      </c>
      <c r="D17" s="112">
        <v>2019</v>
      </c>
      <c r="E17" s="112">
        <v>2020</v>
      </c>
      <c r="F17" s="112">
        <v>2021</v>
      </c>
      <c r="G17" s="112">
        <v>2022</v>
      </c>
      <c r="H17" s="112">
        <v>2023</v>
      </c>
      <c r="I17" s="111"/>
      <c r="J17" s="111"/>
      <c r="K17" s="111"/>
      <c r="L17" s="111"/>
      <c r="M17" s="111"/>
      <c r="N17" s="111"/>
    </row>
    <row r="18" spans="1:14" ht="16.2" thickBot="1" x14ac:dyDescent="0.35">
      <c r="A18" s="113" t="s">
        <v>5187</v>
      </c>
      <c r="B18" s="119">
        <v>2033434</v>
      </c>
      <c r="C18" s="119">
        <v>2113188.71</v>
      </c>
      <c r="D18" s="119">
        <v>2235626</v>
      </c>
      <c r="E18" s="119">
        <v>2172712.04</v>
      </c>
      <c r="F18" s="119">
        <v>2228540.4500000002</v>
      </c>
      <c r="G18" s="119">
        <v>2358991.14</v>
      </c>
      <c r="H18" s="119">
        <v>1822440.7</v>
      </c>
      <c r="I18" s="111"/>
      <c r="J18" s="111"/>
      <c r="K18" s="111"/>
      <c r="L18" s="111"/>
      <c r="M18" s="111"/>
      <c r="N18" s="111"/>
    </row>
    <row r="19" spans="1:14" ht="15.6" x14ac:dyDescent="0.3">
      <c r="A19" s="113" t="s">
        <v>5189</v>
      </c>
      <c r="B19" s="114" t="s">
        <v>5190</v>
      </c>
      <c r="C19" s="114" t="s">
        <v>5190</v>
      </c>
      <c r="D19" s="114" t="s">
        <v>5191</v>
      </c>
      <c r="E19" s="114" t="s">
        <v>5192</v>
      </c>
      <c r="F19" s="114" t="s">
        <v>5193</v>
      </c>
      <c r="G19" s="114" t="s">
        <v>5194</v>
      </c>
      <c r="H19" s="114" t="s">
        <v>5195</v>
      </c>
      <c r="I19" s="111"/>
      <c r="J19" s="111"/>
      <c r="K19" s="111"/>
      <c r="L19" s="111"/>
      <c r="M19" s="111"/>
      <c r="N19" s="111"/>
    </row>
    <row r="20" spans="1:14" ht="15.6" x14ac:dyDescent="0.3">
      <c r="A20" s="113" t="s">
        <v>5207</v>
      </c>
      <c r="B20" s="114" t="s">
        <v>5208</v>
      </c>
      <c r="C20" s="114" t="s">
        <v>5209</v>
      </c>
      <c r="D20" s="114" t="s">
        <v>5210</v>
      </c>
      <c r="E20" s="114" t="s">
        <v>5211</v>
      </c>
      <c r="F20" s="114" t="s">
        <v>5212</v>
      </c>
      <c r="G20" s="114" t="s">
        <v>5213</v>
      </c>
      <c r="H20" s="114" t="s">
        <v>5214</v>
      </c>
      <c r="I20" s="111"/>
      <c r="J20" s="111"/>
      <c r="K20" s="111"/>
      <c r="L20" s="111"/>
      <c r="M20" s="111"/>
      <c r="N20" s="111"/>
    </row>
    <row r="21" spans="1:14" ht="15.6" x14ac:dyDescent="0.3">
      <c r="A21" s="113" t="s">
        <v>5215</v>
      </c>
      <c r="B21" s="104">
        <v>0.28375349285986168</v>
      </c>
      <c r="C21" s="104">
        <v>0.26464220663651006</v>
      </c>
      <c r="D21" s="104">
        <v>0.27053585886011344</v>
      </c>
      <c r="E21" s="120" t="e">
        <v>#VALUE!</v>
      </c>
      <c r="F21" s="104" t="s">
        <v>5216</v>
      </c>
      <c r="G21" s="104" t="s">
        <v>5217</v>
      </c>
      <c r="H21" s="104" t="s">
        <v>5218</v>
      </c>
      <c r="I21" s="111"/>
      <c r="J21" s="111"/>
      <c r="K21" s="111"/>
      <c r="L21" s="111"/>
      <c r="M21" s="111"/>
      <c r="N21" s="111"/>
    </row>
    <row r="22" spans="1:14" ht="15.6" x14ac:dyDescent="0.3">
      <c r="A22" s="121" t="s">
        <v>5219</v>
      </c>
      <c r="B22" s="111"/>
      <c r="C22" s="111"/>
      <c r="D22" s="111"/>
      <c r="E22" s="111"/>
      <c r="F22" s="111"/>
      <c r="G22" s="111"/>
      <c r="H22" s="111"/>
      <c r="I22" s="111"/>
      <c r="J22" s="111"/>
      <c r="K22" s="111"/>
      <c r="L22" s="111"/>
      <c r="M22" s="111"/>
      <c r="N22" s="111"/>
    </row>
    <row r="23" spans="1:14" ht="15.6" x14ac:dyDescent="0.3">
      <c r="A23" s="76"/>
      <c r="B23" s="76"/>
      <c r="C23" s="76"/>
      <c r="D23" s="76"/>
      <c r="E23" s="76"/>
      <c r="F23" s="76"/>
      <c r="G23" s="76"/>
      <c r="H23" s="76"/>
      <c r="I23" s="76"/>
      <c r="J23" s="76"/>
      <c r="K23" s="76"/>
      <c r="L23" s="76"/>
      <c r="M23" s="76"/>
      <c r="N23" s="76"/>
    </row>
    <row r="24" spans="1:14" ht="15.6" x14ac:dyDescent="0.3">
      <c r="A24" s="16" t="s">
        <v>5220</v>
      </c>
      <c r="B24" s="16"/>
      <c r="C24" s="16"/>
      <c r="D24" s="16"/>
      <c r="E24" s="16"/>
      <c r="F24" s="16"/>
      <c r="G24" s="76"/>
      <c r="H24" s="16"/>
      <c r="I24" s="16"/>
      <c r="J24" s="76"/>
      <c r="K24" s="76"/>
      <c r="L24" s="76"/>
      <c r="M24" s="76"/>
      <c r="N24" s="76"/>
    </row>
    <row r="25" spans="1:14" ht="15.6" x14ac:dyDescent="0.3">
      <c r="A25" s="91" t="s">
        <v>5102</v>
      </c>
      <c r="B25" s="91" t="s">
        <v>5221</v>
      </c>
      <c r="C25" s="91" t="s">
        <v>5222</v>
      </c>
      <c r="D25" s="91" t="s">
        <v>5223</v>
      </c>
      <c r="E25" s="91" t="s">
        <v>5224</v>
      </c>
      <c r="F25" s="91" t="s">
        <v>5225</v>
      </c>
      <c r="G25" s="91" t="s">
        <v>5226</v>
      </c>
      <c r="H25" s="91" t="s">
        <v>5227</v>
      </c>
      <c r="I25" s="91" t="s">
        <v>5228</v>
      </c>
      <c r="J25" s="92" t="s">
        <v>5229</v>
      </c>
      <c r="K25" s="91">
        <v>2024</v>
      </c>
      <c r="L25" s="76"/>
      <c r="M25" s="76"/>
      <c r="N25" s="76"/>
    </row>
    <row r="26" spans="1:14" ht="15.6" x14ac:dyDescent="0.3">
      <c r="A26" s="93" t="s">
        <v>5230</v>
      </c>
      <c r="B26" s="87">
        <v>126.1</v>
      </c>
      <c r="C26" s="87">
        <v>107.6</v>
      </c>
      <c r="D26" s="87">
        <v>32.6</v>
      </c>
      <c r="E26" s="87">
        <v>122.6</v>
      </c>
      <c r="F26" s="87">
        <v>95.2</v>
      </c>
      <c r="G26" s="87">
        <v>82.4</v>
      </c>
      <c r="H26" s="87">
        <v>62.2</v>
      </c>
      <c r="I26" s="87">
        <v>95.5</v>
      </c>
      <c r="J26" s="87">
        <v>46.9</v>
      </c>
      <c r="K26" s="94"/>
      <c r="L26" s="76"/>
      <c r="M26" s="76"/>
      <c r="N26" s="76"/>
    </row>
    <row r="27" spans="1:14" ht="15.6" x14ac:dyDescent="0.3">
      <c r="A27" s="93" t="s">
        <v>5231</v>
      </c>
      <c r="B27" s="87">
        <v>19.2</v>
      </c>
      <c r="C27" s="87">
        <v>12.1</v>
      </c>
      <c r="D27" s="87">
        <v>9.8000000000000007</v>
      </c>
      <c r="E27" s="87" t="s">
        <v>5202</v>
      </c>
      <c r="F27" s="87" t="s">
        <v>5232</v>
      </c>
      <c r="G27" s="87">
        <v>17.7</v>
      </c>
      <c r="H27" s="87" t="s">
        <v>5233</v>
      </c>
      <c r="I27" s="87">
        <v>9.5</v>
      </c>
      <c r="J27" s="87">
        <v>15.8</v>
      </c>
      <c r="K27" s="95"/>
      <c r="L27" s="76"/>
      <c r="M27" s="76"/>
      <c r="N27" s="76"/>
    </row>
    <row r="28" spans="1:14" ht="15.6" x14ac:dyDescent="0.3">
      <c r="A28" s="93" t="s">
        <v>5234</v>
      </c>
      <c r="B28" s="96">
        <v>0.15226011102299764</v>
      </c>
      <c r="C28" s="96">
        <v>0.11245353159851301</v>
      </c>
      <c r="D28" s="96">
        <v>0.30061349693251532</v>
      </c>
      <c r="E28" s="87" t="s">
        <v>5202</v>
      </c>
      <c r="F28" s="96">
        <v>0.15756302521008403</v>
      </c>
      <c r="G28" s="96">
        <v>0.21480582524271843</v>
      </c>
      <c r="H28" s="96">
        <v>0.27331189710610931</v>
      </c>
      <c r="I28" s="96">
        <v>9.947643979057591E-2</v>
      </c>
      <c r="J28" s="96">
        <v>0.33688699360341157</v>
      </c>
      <c r="K28" s="94"/>
      <c r="L28" s="76"/>
      <c r="M28" s="76"/>
      <c r="N28" s="76"/>
    </row>
    <row r="29" spans="1:14" ht="15.6" x14ac:dyDescent="0.3">
      <c r="A29" s="97" t="s">
        <v>5219</v>
      </c>
      <c r="B29" s="76"/>
      <c r="C29" s="76"/>
      <c r="D29" s="76"/>
      <c r="E29" s="76"/>
      <c r="F29" s="76"/>
      <c r="G29" s="76"/>
      <c r="H29" s="76"/>
      <c r="I29" s="76"/>
      <c r="J29" s="76"/>
      <c r="K29" s="98"/>
      <c r="L29" s="76"/>
      <c r="M29" s="76"/>
      <c r="N29" s="76"/>
    </row>
    <row r="30" spans="1:14" ht="15.6" x14ac:dyDescent="0.3">
      <c r="A30" s="76"/>
      <c r="B30" s="76"/>
      <c r="C30" s="76"/>
      <c r="D30" s="76"/>
      <c r="E30" s="76"/>
      <c r="F30" s="76"/>
      <c r="G30" s="76"/>
      <c r="H30" s="76"/>
      <c r="I30" s="16"/>
      <c r="J30" s="76"/>
      <c r="K30" s="76"/>
      <c r="L30" s="76"/>
      <c r="M30" s="76"/>
      <c r="N30" s="76"/>
    </row>
    <row r="31" spans="1:14" ht="15.6" x14ac:dyDescent="0.3">
      <c r="A31" s="99"/>
      <c r="B31" s="76"/>
      <c r="C31" s="76"/>
      <c r="D31" s="76"/>
      <c r="E31" s="76"/>
      <c r="F31" s="76"/>
      <c r="G31" s="76"/>
      <c r="H31" s="76"/>
      <c r="I31" s="76"/>
      <c r="J31" s="76"/>
      <c r="K31" s="76"/>
      <c r="L31" s="76"/>
      <c r="M31" s="76"/>
      <c r="N31" s="76"/>
    </row>
    <row r="32" spans="1:14" ht="17.399999999999999" x14ac:dyDescent="0.3">
      <c r="A32" s="15" t="s">
        <v>5235</v>
      </c>
      <c r="B32" s="76"/>
      <c r="C32" s="16"/>
      <c r="D32" s="16"/>
      <c r="E32" s="16"/>
      <c r="F32" s="16"/>
      <c r="G32" s="76"/>
      <c r="H32" s="76"/>
      <c r="I32" s="76"/>
      <c r="J32" s="76"/>
      <c r="K32" s="76"/>
      <c r="L32" s="76"/>
      <c r="M32" s="76"/>
      <c r="N32" s="76"/>
    </row>
    <row r="33" spans="1:14" ht="15.6" x14ac:dyDescent="0.3">
      <c r="A33" s="19" t="s">
        <v>5102</v>
      </c>
      <c r="B33" s="19">
        <v>2012</v>
      </c>
      <c r="C33" s="19">
        <v>2013</v>
      </c>
      <c r="D33" s="19">
        <v>2014</v>
      </c>
      <c r="E33" s="19">
        <v>2015</v>
      </c>
      <c r="F33" s="19">
        <v>2016</v>
      </c>
      <c r="G33" s="19">
        <v>2017</v>
      </c>
      <c r="H33" s="19">
        <v>2018</v>
      </c>
      <c r="I33" s="19">
        <v>2019</v>
      </c>
      <c r="J33" s="19">
        <v>202</v>
      </c>
      <c r="K33" s="19">
        <v>2021</v>
      </c>
      <c r="L33" s="19">
        <v>2022</v>
      </c>
      <c r="M33" s="19">
        <v>2023</v>
      </c>
      <c r="N33" s="19">
        <v>2024</v>
      </c>
    </row>
    <row r="34" spans="1:14" ht="15.6" x14ac:dyDescent="0.3">
      <c r="A34" s="93" t="s">
        <v>5236</v>
      </c>
      <c r="B34" s="94">
        <v>450000</v>
      </c>
      <c r="C34" s="94">
        <v>487761</v>
      </c>
      <c r="D34" s="94">
        <v>564780</v>
      </c>
      <c r="E34" s="94">
        <v>702510</v>
      </c>
      <c r="F34" s="94">
        <v>649587</v>
      </c>
      <c r="G34" s="94">
        <v>711236</v>
      </c>
      <c r="H34" s="94">
        <v>761317</v>
      </c>
      <c r="I34" s="94">
        <v>634631</v>
      </c>
      <c r="J34" s="94">
        <v>848700</v>
      </c>
      <c r="K34" s="94">
        <v>968676</v>
      </c>
      <c r="L34" s="94">
        <v>1028172</v>
      </c>
      <c r="M34" s="94">
        <v>1225935</v>
      </c>
      <c r="N34" s="94">
        <v>944673</v>
      </c>
    </row>
    <row r="35" spans="1:14" ht="15.6" x14ac:dyDescent="0.3">
      <c r="A35" s="93" t="s">
        <v>5237</v>
      </c>
      <c r="B35" s="87"/>
      <c r="C35" s="95"/>
      <c r="D35" s="100">
        <v>77384</v>
      </c>
      <c r="E35" s="100">
        <v>95949</v>
      </c>
      <c r="F35" s="100">
        <v>104500</v>
      </c>
      <c r="G35" s="100">
        <v>109500</v>
      </c>
      <c r="H35" s="100">
        <v>167300</v>
      </c>
      <c r="I35" s="100">
        <v>199300</v>
      </c>
      <c r="J35" s="100">
        <v>214500</v>
      </c>
      <c r="K35" s="100">
        <v>214500</v>
      </c>
      <c r="L35" s="100">
        <v>214500</v>
      </c>
      <c r="M35" s="100">
        <v>350000</v>
      </c>
      <c r="N35" s="95"/>
    </row>
    <row r="36" spans="1:14" ht="15.6" x14ac:dyDescent="0.3">
      <c r="A36" s="93" t="s">
        <v>5238</v>
      </c>
      <c r="B36" s="87"/>
      <c r="C36" s="101">
        <v>31220</v>
      </c>
      <c r="D36" s="100">
        <v>37696</v>
      </c>
      <c r="E36" s="100">
        <v>41012</v>
      </c>
      <c r="F36" s="100">
        <v>40383</v>
      </c>
      <c r="G36" s="100">
        <v>44628</v>
      </c>
      <c r="H36" s="100">
        <v>68515</v>
      </c>
      <c r="I36" s="100">
        <v>57466</v>
      </c>
      <c r="J36" s="100">
        <v>103101</v>
      </c>
      <c r="K36" s="100">
        <v>136854</v>
      </c>
      <c r="L36" s="100">
        <v>224036</v>
      </c>
      <c r="M36" s="100">
        <v>265863</v>
      </c>
      <c r="N36" s="94">
        <v>344028</v>
      </c>
    </row>
    <row r="37" spans="1:14" ht="15.6" x14ac:dyDescent="0.3">
      <c r="A37" s="93" t="s">
        <v>5215</v>
      </c>
      <c r="B37" s="96"/>
      <c r="C37" s="102">
        <v>6.4000000000000001E-2</v>
      </c>
      <c r="D37" s="96">
        <v>6.7000000000000004E-2</v>
      </c>
      <c r="E37" s="96">
        <v>5.8000000000000003E-2</v>
      </c>
      <c r="F37" s="96">
        <v>6.2E-2</v>
      </c>
      <c r="G37" s="103">
        <v>6.3E-2</v>
      </c>
      <c r="H37" s="96">
        <v>9.1999999999999998E-2</v>
      </c>
      <c r="I37" s="96">
        <v>9.2999999999999999E-2</v>
      </c>
      <c r="J37" s="96">
        <v>0.122</v>
      </c>
      <c r="K37" s="96">
        <v>0.14099999999999999</v>
      </c>
      <c r="L37" s="96">
        <v>0.218</v>
      </c>
      <c r="M37" s="96">
        <v>0.217</v>
      </c>
      <c r="N37" s="104">
        <v>0.36399999999999999</v>
      </c>
    </row>
    <row r="38" spans="1:14" ht="31.2" x14ac:dyDescent="0.3">
      <c r="A38" s="99" t="s">
        <v>5239</v>
      </c>
      <c r="B38" s="76"/>
      <c r="C38" s="76"/>
      <c r="D38" s="76"/>
      <c r="E38" s="76"/>
      <c r="F38" s="79"/>
      <c r="G38" s="76"/>
      <c r="H38" s="76"/>
      <c r="I38" s="76"/>
      <c r="J38" s="76"/>
      <c r="K38" s="76"/>
      <c r="L38" s="76"/>
      <c r="M38" s="76"/>
      <c r="N38" s="76"/>
    </row>
    <row r="39" spans="1:14" ht="15.6" x14ac:dyDescent="0.3">
      <c r="A39" s="99" t="s">
        <v>5240</v>
      </c>
      <c r="B39" s="76"/>
      <c r="C39" s="76"/>
      <c r="D39" s="76"/>
      <c r="E39" s="76"/>
      <c r="F39" s="76"/>
      <c r="G39" s="76"/>
      <c r="H39" s="76"/>
      <c r="I39" s="76"/>
      <c r="J39" s="76"/>
      <c r="K39" s="76"/>
      <c r="L39" s="76"/>
      <c r="M39" s="76"/>
      <c r="N39" s="76"/>
    </row>
    <row r="40" spans="1:14" ht="15.6" x14ac:dyDescent="0.3">
      <c r="A40" s="99"/>
      <c r="B40" s="76"/>
      <c r="C40" s="76"/>
      <c r="D40" s="76"/>
      <c r="E40" s="76"/>
      <c r="F40" s="76"/>
      <c r="G40" s="76"/>
      <c r="H40" s="76"/>
      <c r="I40" s="76"/>
      <c r="J40" s="76"/>
      <c r="K40" s="76"/>
      <c r="L40" s="76"/>
      <c r="M40" s="76"/>
      <c r="N40" s="76"/>
    </row>
    <row r="41" spans="1:14" ht="17.399999999999999" x14ac:dyDescent="0.3">
      <c r="A41" s="15" t="s">
        <v>5241</v>
      </c>
      <c r="B41" s="76"/>
      <c r="C41" s="15"/>
      <c r="D41" s="15"/>
      <c r="E41" s="15"/>
      <c r="F41" s="15"/>
      <c r="G41" s="76"/>
      <c r="H41" s="76"/>
      <c r="I41" s="76"/>
      <c r="J41" s="76"/>
      <c r="K41" s="76"/>
      <c r="L41" s="76"/>
      <c r="M41" s="76"/>
      <c r="N41" s="76"/>
    </row>
    <row r="42" spans="1:14" ht="15.6" x14ac:dyDescent="0.3">
      <c r="A42" s="19" t="s">
        <v>5102</v>
      </c>
      <c r="B42" s="19">
        <v>2016</v>
      </c>
      <c r="C42" s="19">
        <v>2017</v>
      </c>
      <c r="D42" s="19">
        <v>2018</v>
      </c>
      <c r="E42" s="19">
        <v>2019</v>
      </c>
      <c r="F42" s="19">
        <v>2020</v>
      </c>
      <c r="G42" s="19">
        <v>2021</v>
      </c>
      <c r="H42" s="19">
        <v>2022</v>
      </c>
      <c r="I42" s="19">
        <v>2023</v>
      </c>
      <c r="J42" s="19">
        <v>2024</v>
      </c>
      <c r="K42" s="76"/>
      <c r="L42" s="76"/>
      <c r="M42" s="76"/>
      <c r="N42" s="76"/>
    </row>
    <row r="43" spans="1:14" ht="15.6" x14ac:dyDescent="0.3">
      <c r="A43" s="93" t="s">
        <v>5242</v>
      </c>
      <c r="B43" s="105">
        <v>453040</v>
      </c>
      <c r="C43" s="105">
        <v>606420</v>
      </c>
      <c r="D43" s="105">
        <v>624139</v>
      </c>
      <c r="E43" s="105">
        <v>780051</v>
      </c>
      <c r="F43" s="106" t="s">
        <v>5243</v>
      </c>
      <c r="G43" s="105">
        <v>1100386</v>
      </c>
      <c r="H43" s="105">
        <v>1320076</v>
      </c>
      <c r="I43" s="105">
        <v>1624824</v>
      </c>
      <c r="J43" s="94"/>
      <c r="K43" s="76"/>
      <c r="L43" s="76"/>
      <c r="M43" s="76"/>
      <c r="N43" s="76"/>
    </row>
    <row r="44" spans="1:14" ht="15.6" x14ac:dyDescent="0.3">
      <c r="A44" s="93" t="s">
        <v>5244</v>
      </c>
      <c r="B44" s="100">
        <v>595120</v>
      </c>
      <c r="C44" s="100">
        <v>678700</v>
      </c>
      <c r="D44" s="100">
        <v>704000</v>
      </c>
      <c r="E44" s="100">
        <v>739200</v>
      </c>
      <c r="F44" s="100">
        <v>1160740</v>
      </c>
      <c r="G44" s="87" t="s">
        <v>5245</v>
      </c>
      <c r="H44" s="100">
        <v>1372800</v>
      </c>
      <c r="I44" s="100">
        <v>1372800</v>
      </c>
      <c r="J44" s="95"/>
      <c r="K44" s="76"/>
      <c r="L44" s="76"/>
      <c r="M44" s="76"/>
      <c r="N44" s="76"/>
    </row>
    <row r="45" spans="1:14" ht="15.6" x14ac:dyDescent="0.3">
      <c r="A45" s="93" t="s">
        <v>5246</v>
      </c>
      <c r="B45" s="100">
        <v>453040</v>
      </c>
      <c r="C45" s="100">
        <v>471002</v>
      </c>
      <c r="D45" s="100">
        <v>504852</v>
      </c>
      <c r="E45" s="100">
        <v>573222</v>
      </c>
      <c r="F45" s="100">
        <v>659741</v>
      </c>
      <c r="G45" s="100">
        <v>861206</v>
      </c>
      <c r="H45" s="100">
        <v>1053284</v>
      </c>
      <c r="I45" s="100">
        <v>1288386</v>
      </c>
      <c r="J45" s="94"/>
      <c r="K45" s="76"/>
      <c r="L45" s="76"/>
      <c r="M45" s="76"/>
      <c r="N45" s="76"/>
    </row>
    <row r="46" spans="1:14" ht="15.6" x14ac:dyDescent="0.3">
      <c r="A46" s="93" t="s">
        <v>5215</v>
      </c>
      <c r="B46" s="107">
        <v>1</v>
      </c>
      <c r="C46" s="96">
        <v>0.77669999999999995</v>
      </c>
      <c r="D46" s="96">
        <v>0.80889999999999995</v>
      </c>
      <c r="E46" s="103">
        <v>0.7349</v>
      </c>
      <c r="F46" s="96">
        <v>0.69040000000000001</v>
      </c>
      <c r="G46" s="96">
        <v>0.78259999999999996</v>
      </c>
      <c r="H46" s="96">
        <v>0.79790000000000005</v>
      </c>
      <c r="I46" s="96">
        <v>0.79290000000000005</v>
      </c>
      <c r="J46" s="104"/>
      <c r="K46" s="76"/>
      <c r="L46" s="76"/>
      <c r="M46" s="76"/>
      <c r="N46" s="76"/>
    </row>
    <row r="47" spans="1:14" ht="31.2" x14ac:dyDescent="0.3">
      <c r="A47" s="99" t="s">
        <v>5247</v>
      </c>
      <c r="B47" s="76"/>
      <c r="C47" s="76"/>
      <c r="D47" s="76"/>
      <c r="E47" s="76"/>
      <c r="F47" s="76"/>
      <c r="G47" s="76"/>
      <c r="H47" s="76"/>
      <c r="I47" s="76"/>
      <c r="J47" s="76"/>
      <c r="K47" s="76"/>
      <c r="L47" s="76"/>
      <c r="M47" s="76"/>
      <c r="N47" s="76"/>
    </row>
    <row r="48" spans="1:14" ht="15.6" x14ac:dyDescent="0.3">
      <c r="A48" s="76"/>
      <c r="B48" s="76"/>
      <c r="C48" s="76"/>
      <c r="D48" s="76"/>
      <c r="E48" s="76"/>
      <c r="F48" s="76"/>
      <c r="G48" s="76"/>
      <c r="H48" s="76"/>
      <c r="I48" s="76"/>
      <c r="J48" s="76"/>
      <c r="K48" s="76"/>
      <c r="L48" s="76"/>
      <c r="M48" s="76"/>
      <c r="N48" s="76"/>
    </row>
    <row r="49" spans="1:14" ht="17.399999999999999" x14ac:dyDescent="0.3">
      <c r="A49" s="15" t="s">
        <v>5248</v>
      </c>
      <c r="B49" s="76"/>
      <c r="C49" s="76"/>
      <c r="D49" s="76"/>
      <c r="E49" s="76"/>
      <c r="F49" s="76"/>
      <c r="G49" s="76"/>
      <c r="H49" s="76"/>
      <c r="I49" s="76"/>
      <c r="J49" s="76"/>
      <c r="K49" s="76"/>
      <c r="L49" s="76"/>
      <c r="M49" s="76"/>
      <c r="N49" s="76"/>
    </row>
    <row r="50" spans="1:14" ht="15.6" x14ac:dyDescent="0.3">
      <c r="A50" s="108" t="s">
        <v>5249</v>
      </c>
      <c r="B50" s="19" t="s">
        <v>5250</v>
      </c>
      <c r="C50" s="19" t="s">
        <v>5251</v>
      </c>
      <c r="D50" s="19" t="s">
        <v>5252</v>
      </c>
      <c r="E50" s="19" t="s">
        <v>5253</v>
      </c>
      <c r="F50" s="19" t="s">
        <v>5254</v>
      </c>
      <c r="G50" s="108" t="s">
        <v>5255</v>
      </c>
      <c r="H50" s="76"/>
      <c r="I50" s="76"/>
      <c r="J50" s="76"/>
      <c r="K50" s="76"/>
      <c r="L50" s="76"/>
      <c r="M50" s="76"/>
      <c r="N50" s="76"/>
    </row>
    <row r="51" spans="1:14" ht="15.6" x14ac:dyDescent="0.3">
      <c r="A51" s="109" t="s">
        <v>5256</v>
      </c>
      <c r="B51" s="106">
        <v>153614</v>
      </c>
      <c r="C51" s="106">
        <v>164000</v>
      </c>
      <c r="D51" s="106">
        <v>206323</v>
      </c>
      <c r="E51" s="106">
        <v>231663</v>
      </c>
      <c r="F51" s="106">
        <v>229131</v>
      </c>
      <c r="G51" s="106">
        <v>280903</v>
      </c>
      <c r="H51" s="76"/>
      <c r="I51" s="76"/>
      <c r="J51" s="76"/>
      <c r="K51" s="76"/>
      <c r="L51" s="76"/>
      <c r="M51" s="76"/>
      <c r="N51" s="76"/>
    </row>
    <row r="52" spans="1:14" ht="31.2" x14ac:dyDescent="0.3">
      <c r="A52" s="93" t="s">
        <v>5257</v>
      </c>
      <c r="B52" s="106">
        <v>46585</v>
      </c>
      <c r="C52" s="106">
        <v>44100</v>
      </c>
      <c r="D52" s="106">
        <v>60500</v>
      </c>
      <c r="E52" s="106">
        <v>34708</v>
      </c>
      <c r="F52" s="106">
        <v>61511</v>
      </c>
      <c r="G52" s="106">
        <v>99936</v>
      </c>
      <c r="H52" s="76"/>
      <c r="I52" s="76"/>
      <c r="J52" s="76"/>
      <c r="K52" s="76"/>
      <c r="L52" s="76"/>
      <c r="M52" s="76"/>
      <c r="N52" s="76"/>
    </row>
    <row r="53" spans="1:14" ht="31.2" x14ac:dyDescent="0.3">
      <c r="A53" s="99" t="s">
        <v>5239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3978-560D-4E38-BFB6-226459C5D73D}">
  <dimension ref="A1:O34"/>
  <sheetViews>
    <sheetView topLeftCell="A16" workbookViewId="0">
      <selection activeCell="D22" sqref="A1:XFD1048576"/>
    </sheetView>
  </sheetViews>
  <sheetFormatPr baseColWidth="10" defaultRowHeight="14.4" x14ac:dyDescent="0.3"/>
  <cols>
    <col min="1" max="1" width="45.109375" customWidth="1"/>
  </cols>
  <sheetData>
    <row r="1" spans="1:15" ht="20.399999999999999" x14ac:dyDescent="0.35">
      <c r="A1" s="122" t="s">
        <v>5258</v>
      </c>
      <c r="B1" s="72"/>
      <c r="C1" s="72"/>
      <c r="D1" s="72"/>
      <c r="E1" s="72"/>
      <c r="F1" s="72"/>
      <c r="G1" s="72"/>
      <c r="H1" s="72"/>
      <c r="I1" s="72"/>
      <c r="J1" s="72"/>
      <c r="K1" s="72"/>
      <c r="L1" s="72"/>
      <c r="M1" s="72"/>
      <c r="N1" s="72"/>
      <c r="O1" s="72"/>
    </row>
    <row r="2" spans="1:15" ht="15.6" x14ac:dyDescent="0.3">
      <c r="A2" s="72"/>
      <c r="B2" s="72"/>
      <c r="C2" s="72"/>
      <c r="D2" s="72"/>
      <c r="E2" s="72"/>
      <c r="F2" s="72"/>
      <c r="G2" s="72"/>
      <c r="H2" s="72"/>
      <c r="I2" s="72"/>
      <c r="J2" s="72"/>
      <c r="K2" s="72"/>
      <c r="L2" s="72"/>
      <c r="M2" s="72"/>
      <c r="N2" s="72"/>
      <c r="O2" s="72"/>
    </row>
    <row r="3" spans="1:15" ht="17.399999999999999" x14ac:dyDescent="0.3">
      <c r="A3" s="10" t="s">
        <v>5259</v>
      </c>
      <c r="B3" s="72"/>
      <c r="C3" s="72"/>
      <c r="D3" s="72"/>
      <c r="E3" s="72"/>
      <c r="F3" s="72"/>
      <c r="G3" s="72"/>
      <c r="H3" s="72"/>
      <c r="I3" s="72"/>
      <c r="J3" s="72"/>
      <c r="K3" s="72"/>
      <c r="L3" s="72"/>
      <c r="M3" s="72"/>
      <c r="N3" s="72"/>
      <c r="O3" s="72"/>
    </row>
    <row r="4" spans="1:15" ht="15.6" x14ac:dyDescent="0.3">
      <c r="A4" s="123"/>
      <c r="B4" s="8">
        <v>2015</v>
      </c>
      <c r="C4" s="8">
        <v>2016</v>
      </c>
      <c r="D4" s="8">
        <v>2017</v>
      </c>
      <c r="E4" s="8">
        <v>2018</v>
      </c>
      <c r="F4" s="8">
        <v>2019</v>
      </c>
      <c r="G4" s="8">
        <v>2020</v>
      </c>
      <c r="H4" s="8">
        <v>2021</v>
      </c>
      <c r="I4" s="8">
        <v>2022</v>
      </c>
      <c r="J4" s="8">
        <v>2023</v>
      </c>
      <c r="K4" s="72"/>
      <c r="L4" s="72"/>
      <c r="M4" s="72"/>
      <c r="N4" s="72"/>
      <c r="O4" s="72"/>
    </row>
    <row r="5" spans="1:15" ht="15.6" x14ac:dyDescent="0.3">
      <c r="A5" s="124" t="s">
        <v>5260</v>
      </c>
      <c r="B5" s="125"/>
      <c r="C5" s="125"/>
      <c r="D5" s="125"/>
      <c r="E5" s="125"/>
      <c r="F5" s="125"/>
      <c r="G5" s="125"/>
      <c r="H5" s="125"/>
      <c r="I5" s="125"/>
      <c r="J5" s="126"/>
      <c r="K5" s="72"/>
      <c r="L5" s="72"/>
      <c r="M5" s="72"/>
      <c r="N5" s="72"/>
      <c r="O5" s="72"/>
    </row>
    <row r="6" spans="1:15" ht="15.6" x14ac:dyDescent="0.3">
      <c r="A6" s="67" t="s">
        <v>5261</v>
      </c>
      <c r="B6" s="127">
        <v>0.29199999999999998</v>
      </c>
      <c r="C6" s="127">
        <v>0.315</v>
      </c>
      <c r="D6" s="127">
        <v>0.32900000000000001</v>
      </c>
      <c r="E6" s="127">
        <v>0.35699999999999998</v>
      </c>
      <c r="F6" s="127">
        <v>0.376</v>
      </c>
      <c r="G6" s="127">
        <v>0.46300000000000002</v>
      </c>
      <c r="H6" s="127">
        <v>0.502</v>
      </c>
      <c r="I6" s="127">
        <v>0.56000000000000005</v>
      </c>
      <c r="J6" s="127">
        <v>0.57499999999999996</v>
      </c>
      <c r="K6" s="72"/>
      <c r="L6" s="72"/>
      <c r="M6" s="72"/>
      <c r="N6" s="72"/>
      <c r="O6" s="72"/>
    </row>
    <row r="7" spans="1:15" ht="15.6" x14ac:dyDescent="0.3">
      <c r="A7" s="128" t="s">
        <v>5262</v>
      </c>
      <c r="B7" s="127">
        <v>0.16600000000000001</v>
      </c>
      <c r="C7" s="127">
        <v>0.17299999999999999</v>
      </c>
      <c r="D7" s="127">
        <v>0.189</v>
      </c>
      <c r="E7" s="127">
        <v>0.23400000000000001</v>
      </c>
      <c r="F7" s="127">
        <v>0.251</v>
      </c>
      <c r="G7" s="127">
        <v>0.29699999999999999</v>
      </c>
      <c r="H7" s="127">
        <v>0.30499999999999999</v>
      </c>
      <c r="I7" s="127">
        <v>0.34100000000000003</v>
      </c>
      <c r="J7" s="127">
        <v>0.35499999999999998</v>
      </c>
      <c r="K7" s="72"/>
      <c r="L7" s="72"/>
      <c r="M7" s="72"/>
      <c r="N7" s="72"/>
      <c r="O7" s="72"/>
    </row>
    <row r="8" spans="1:15" ht="15.6" x14ac:dyDescent="0.3">
      <c r="A8" s="128" t="s">
        <v>5263</v>
      </c>
      <c r="B8" s="127">
        <v>0.126</v>
      </c>
      <c r="C8" s="127">
        <v>0.14099999999999999</v>
      </c>
      <c r="D8" s="127">
        <v>0.14000000000000001</v>
      </c>
      <c r="E8" s="127">
        <v>0.123</v>
      </c>
      <c r="F8" s="127">
        <v>0.125</v>
      </c>
      <c r="G8" s="127">
        <v>0.16700000000000001</v>
      </c>
      <c r="H8" s="127">
        <v>0.19700000000000001</v>
      </c>
      <c r="I8" s="127">
        <v>0.219</v>
      </c>
      <c r="J8" s="127">
        <v>0.22</v>
      </c>
      <c r="K8" s="72"/>
      <c r="L8" s="72"/>
      <c r="M8" s="72"/>
      <c r="N8" s="72"/>
      <c r="O8" s="72"/>
    </row>
    <row r="9" spans="1:15" ht="15.6" x14ac:dyDescent="0.3">
      <c r="A9" s="124" t="s">
        <v>5264</v>
      </c>
      <c r="B9" s="125"/>
      <c r="C9" s="125"/>
      <c r="D9" s="125"/>
      <c r="E9" s="125"/>
      <c r="F9" s="125"/>
      <c r="G9" s="125"/>
      <c r="H9" s="125"/>
      <c r="I9" s="125"/>
      <c r="J9" s="126"/>
      <c r="K9" s="72"/>
      <c r="L9" s="72"/>
      <c r="M9" s="72"/>
      <c r="N9" s="72"/>
      <c r="O9" s="72"/>
    </row>
    <row r="10" spans="1:15" ht="15.6" x14ac:dyDescent="0.3">
      <c r="A10" s="67" t="s">
        <v>5261</v>
      </c>
      <c r="B10" s="129">
        <v>7914.8</v>
      </c>
      <c r="C10" s="129">
        <v>9023.2000000000007</v>
      </c>
      <c r="D10" s="129">
        <v>10045.1</v>
      </c>
      <c r="E10" s="129">
        <v>11607.8</v>
      </c>
      <c r="F10" s="129">
        <v>13300.2</v>
      </c>
      <c r="G10" s="129">
        <v>16802.3</v>
      </c>
      <c r="H10" s="129">
        <v>20269.8</v>
      </c>
      <c r="I10" s="129">
        <v>24774.400000000001</v>
      </c>
      <c r="J10" s="129">
        <v>27782.6</v>
      </c>
      <c r="K10" s="72"/>
      <c r="L10" s="72"/>
      <c r="M10" s="72"/>
      <c r="N10" s="72"/>
      <c r="O10" s="72"/>
    </row>
    <row r="11" spans="1:15" ht="15.6" x14ac:dyDescent="0.3">
      <c r="A11" s="128" t="s">
        <v>5262</v>
      </c>
      <c r="B11" s="129">
        <v>4489.1000000000004</v>
      </c>
      <c r="C11" s="129">
        <v>4974.2</v>
      </c>
      <c r="D11" s="129">
        <v>5770</v>
      </c>
      <c r="E11" s="129">
        <v>7613.4</v>
      </c>
      <c r="F11" s="129">
        <v>8867.5</v>
      </c>
      <c r="G11" s="129">
        <v>10756.7</v>
      </c>
      <c r="H11" s="130">
        <v>12310.6</v>
      </c>
      <c r="I11" s="129">
        <v>15069.1</v>
      </c>
      <c r="J11" s="129">
        <v>17156.3</v>
      </c>
      <c r="K11" s="72"/>
      <c r="L11" s="72"/>
      <c r="M11" s="72"/>
      <c r="N11" s="72"/>
      <c r="O11" s="72"/>
    </row>
    <row r="12" spans="1:15" ht="15.6" x14ac:dyDescent="0.3">
      <c r="A12" s="128" t="s">
        <v>5263</v>
      </c>
      <c r="B12" s="129">
        <v>3425.7</v>
      </c>
      <c r="C12" s="129">
        <v>4049.1</v>
      </c>
      <c r="D12" s="129">
        <v>4275.1000000000004</v>
      </c>
      <c r="E12" s="129">
        <v>3994.4</v>
      </c>
      <c r="F12" s="129">
        <v>4432.7</v>
      </c>
      <c r="G12" s="129">
        <v>6045.6</v>
      </c>
      <c r="H12" s="130">
        <v>7959.2</v>
      </c>
      <c r="I12" s="129">
        <v>9705.2999999999993</v>
      </c>
      <c r="J12" s="129">
        <v>10626.3</v>
      </c>
      <c r="K12" s="72"/>
      <c r="L12" s="72"/>
      <c r="M12" s="72"/>
      <c r="N12" s="72"/>
      <c r="O12" s="72"/>
    </row>
    <row r="13" spans="1:15" ht="15.6" x14ac:dyDescent="0.3">
      <c r="A13" s="67" t="s">
        <v>5265</v>
      </c>
      <c r="B13" s="129">
        <v>27086.2</v>
      </c>
      <c r="C13" s="129">
        <v>28686.2</v>
      </c>
      <c r="D13" s="129">
        <v>30491.9</v>
      </c>
      <c r="E13" s="129">
        <v>32506.6</v>
      </c>
      <c r="F13" s="129">
        <v>35379.1</v>
      </c>
      <c r="G13" s="129">
        <v>36278</v>
      </c>
      <c r="H13" s="129">
        <v>40366.9</v>
      </c>
      <c r="I13" s="129">
        <v>44238.8</v>
      </c>
      <c r="J13" s="129">
        <v>48293.9</v>
      </c>
      <c r="K13" s="72"/>
      <c r="L13" s="72"/>
      <c r="M13" s="72"/>
      <c r="N13" s="72"/>
      <c r="O13" s="72"/>
    </row>
    <row r="14" spans="1:15" ht="15.6" x14ac:dyDescent="0.3">
      <c r="A14" s="72"/>
      <c r="B14" s="72"/>
      <c r="C14" s="72"/>
      <c r="D14" s="72"/>
      <c r="E14" s="72"/>
      <c r="F14" s="72"/>
      <c r="G14" s="72"/>
      <c r="H14" s="72"/>
      <c r="I14" s="72"/>
      <c r="J14" s="72"/>
      <c r="K14" s="72"/>
      <c r="L14" s="72"/>
      <c r="M14" s="72"/>
      <c r="N14" s="72"/>
      <c r="O14" s="72"/>
    </row>
    <row r="15" spans="1:15" ht="17.399999999999999" x14ac:dyDescent="0.3">
      <c r="A15" s="131" t="s">
        <v>5266</v>
      </c>
      <c r="B15" s="72"/>
      <c r="C15" s="72"/>
      <c r="D15" s="72"/>
      <c r="E15" s="72"/>
      <c r="F15" s="57"/>
      <c r="G15" s="57"/>
      <c r="H15" s="57"/>
      <c r="I15" s="57"/>
      <c r="J15" s="57"/>
      <c r="K15" s="57"/>
      <c r="L15" s="72"/>
      <c r="M15" s="72"/>
      <c r="N15" s="72"/>
      <c r="O15" s="72"/>
    </row>
    <row r="16" spans="1:15" ht="15.6" x14ac:dyDescent="0.3">
      <c r="A16" s="123" t="s">
        <v>5102</v>
      </c>
      <c r="B16" s="8">
        <v>2011</v>
      </c>
      <c r="C16" s="8">
        <v>2012</v>
      </c>
      <c r="D16" s="8">
        <v>2013</v>
      </c>
      <c r="E16" s="8">
        <v>2014</v>
      </c>
      <c r="F16" s="8">
        <v>2015</v>
      </c>
      <c r="G16" s="8">
        <v>2016</v>
      </c>
      <c r="H16" s="8">
        <v>2017</v>
      </c>
      <c r="I16" s="8">
        <v>2018</v>
      </c>
      <c r="J16" s="8">
        <v>2019</v>
      </c>
      <c r="K16" s="8">
        <v>2020</v>
      </c>
      <c r="L16" s="8">
        <v>2021</v>
      </c>
      <c r="M16" s="8">
        <v>2022</v>
      </c>
      <c r="N16" s="8">
        <v>2023</v>
      </c>
      <c r="O16" s="8">
        <v>2024</v>
      </c>
    </row>
    <row r="17" spans="1:15" ht="15.6" x14ac:dyDescent="0.3">
      <c r="A17" s="67" t="s">
        <v>5267</v>
      </c>
      <c r="B17" s="129">
        <v>8377.1</v>
      </c>
      <c r="C17" s="129">
        <v>4679.6000000000004</v>
      </c>
      <c r="D17" s="129">
        <v>5257.2</v>
      </c>
      <c r="E17" s="129">
        <v>6438.6</v>
      </c>
      <c r="F17" s="129">
        <v>7914.8</v>
      </c>
      <c r="G17" s="129">
        <v>9023.2000000000007</v>
      </c>
      <c r="H17" s="130">
        <v>10045.1</v>
      </c>
      <c r="I17" s="129">
        <v>11607.8</v>
      </c>
      <c r="J17" s="129">
        <v>13300.2</v>
      </c>
      <c r="K17" s="129">
        <v>16802.3</v>
      </c>
      <c r="L17" s="130">
        <v>20269.8</v>
      </c>
      <c r="M17" s="129">
        <v>24774.400000000001</v>
      </c>
      <c r="N17" s="129">
        <v>27782.6</v>
      </c>
      <c r="O17" s="129">
        <v>31406.9</v>
      </c>
    </row>
    <row r="18" spans="1:15" ht="15.6" x14ac:dyDescent="0.3">
      <c r="A18" s="132" t="s">
        <v>5268</v>
      </c>
      <c r="B18" s="133">
        <v>0.69899999999999995</v>
      </c>
      <c r="C18" s="133">
        <v>0.34200000000000003</v>
      </c>
      <c r="D18" s="133">
        <v>0.34</v>
      </c>
      <c r="E18" s="133">
        <v>0.36899999999999999</v>
      </c>
      <c r="F18" s="133">
        <v>0.29199999999999998</v>
      </c>
      <c r="G18" s="133">
        <v>0.315</v>
      </c>
      <c r="H18" s="133">
        <v>0.32900000000000001</v>
      </c>
      <c r="I18" s="133">
        <v>0.35699999999999998</v>
      </c>
      <c r="J18" s="133">
        <v>0.379</v>
      </c>
      <c r="K18" s="133">
        <v>0.46300000000000002</v>
      </c>
      <c r="L18" s="133">
        <v>0.502</v>
      </c>
      <c r="M18" s="133">
        <v>0.56000000000000005</v>
      </c>
      <c r="N18" s="133">
        <v>0.57499999999999996</v>
      </c>
      <c r="O18" s="73">
        <v>0.59499999999999997</v>
      </c>
    </row>
    <row r="19" spans="1:15" ht="15.6" x14ac:dyDescent="0.3">
      <c r="A19" s="134" t="s">
        <v>5269</v>
      </c>
      <c r="B19" s="135">
        <v>6264.2</v>
      </c>
      <c r="C19" s="135">
        <v>2393</v>
      </c>
      <c r="D19" s="135">
        <v>2605.4</v>
      </c>
      <c r="E19" s="135">
        <v>3308.7</v>
      </c>
      <c r="F19" s="135" t="s">
        <v>5270</v>
      </c>
      <c r="G19" s="135">
        <v>4974.2</v>
      </c>
      <c r="H19" s="136">
        <v>5770</v>
      </c>
      <c r="I19" s="135">
        <v>7613.4</v>
      </c>
      <c r="J19" s="135">
        <v>8867.5</v>
      </c>
      <c r="K19" s="135">
        <v>10756.7</v>
      </c>
      <c r="L19" s="136">
        <v>12310.6</v>
      </c>
      <c r="M19" s="135">
        <v>15069.1</v>
      </c>
      <c r="N19" s="135">
        <v>17156.3</v>
      </c>
      <c r="O19" s="135">
        <v>19949.2</v>
      </c>
    </row>
    <row r="20" spans="1:15" ht="15.6" x14ac:dyDescent="0.3">
      <c r="A20" s="132" t="s">
        <v>5271</v>
      </c>
      <c r="B20" s="133">
        <v>0.52300000000000002</v>
      </c>
      <c r="C20" s="133">
        <v>0.17499999999999999</v>
      </c>
      <c r="D20" s="133">
        <v>0.16900000000000001</v>
      </c>
      <c r="E20" s="133">
        <v>0.189</v>
      </c>
      <c r="F20" s="133">
        <v>0.16600000000000001</v>
      </c>
      <c r="G20" s="133">
        <v>0.17299999999999999</v>
      </c>
      <c r="H20" s="133">
        <v>0.189</v>
      </c>
      <c r="I20" s="133">
        <v>0.23400000000000001</v>
      </c>
      <c r="J20" s="133">
        <v>0.253</v>
      </c>
      <c r="K20" s="133">
        <v>0.29699999999999999</v>
      </c>
      <c r="L20" s="133">
        <v>0.30499999999999999</v>
      </c>
      <c r="M20" s="133">
        <v>0.34100000000000003</v>
      </c>
      <c r="N20" s="133">
        <v>0.35499999999999998</v>
      </c>
      <c r="O20" s="133">
        <v>0.378</v>
      </c>
    </row>
    <row r="21" spans="1:15" ht="15.6" x14ac:dyDescent="0.3">
      <c r="A21" s="134" t="s">
        <v>5272</v>
      </c>
      <c r="B21" s="135">
        <v>2112.9</v>
      </c>
      <c r="C21" s="135">
        <v>2286.6</v>
      </c>
      <c r="D21" s="135">
        <v>2651.8</v>
      </c>
      <c r="E21" s="135">
        <v>3129.9</v>
      </c>
      <c r="F21" s="135">
        <v>3425.7</v>
      </c>
      <c r="G21" s="135">
        <v>4049.1</v>
      </c>
      <c r="H21" s="136">
        <v>4275.1000000000004</v>
      </c>
      <c r="I21" s="135">
        <v>3994.4</v>
      </c>
      <c r="J21" s="135">
        <v>4432.7</v>
      </c>
      <c r="K21" s="135">
        <v>6045.6</v>
      </c>
      <c r="L21" s="136">
        <v>7959.2</v>
      </c>
      <c r="M21" s="135">
        <v>9705.2999999999993</v>
      </c>
      <c r="N21" s="135">
        <v>10626.3</v>
      </c>
      <c r="O21" s="135">
        <v>11457.7</v>
      </c>
    </row>
    <row r="22" spans="1:15" ht="15.6" x14ac:dyDescent="0.3">
      <c r="A22" s="132" t="s">
        <v>5271</v>
      </c>
      <c r="B22" s="133">
        <v>0.17599999999999999</v>
      </c>
      <c r="C22" s="133">
        <v>0.16700000000000001</v>
      </c>
      <c r="D22" s="133">
        <v>0.17199999999999999</v>
      </c>
      <c r="E22" s="133">
        <v>0.17899999999999999</v>
      </c>
      <c r="F22" s="133">
        <v>0.126</v>
      </c>
      <c r="G22" s="133">
        <v>0.14099999999999999</v>
      </c>
      <c r="H22" s="133">
        <v>0.14000000000000001</v>
      </c>
      <c r="I22" s="133">
        <v>0.123</v>
      </c>
      <c r="J22" s="133">
        <v>0.126</v>
      </c>
      <c r="K22" s="133">
        <v>0.16700000000000001</v>
      </c>
      <c r="L22" s="133">
        <v>0.19700000000000001</v>
      </c>
      <c r="M22" s="133">
        <v>0.219</v>
      </c>
      <c r="N22" s="133">
        <v>0.22</v>
      </c>
      <c r="O22" s="133">
        <v>0.217</v>
      </c>
    </row>
    <row r="23" spans="1:15" ht="15.6" x14ac:dyDescent="0.3">
      <c r="A23" s="67" t="s">
        <v>5273</v>
      </c>
      <c r="B23" s="129">
        <v>18112.059000000001</v>
      </c>
      <c r="C23" s="129">
        <v>20505.207999999999</v>
      </c>
      <c r="D23" s="129">
        <v>23198.39</v>
      </c>
      <c r="E23" s="129">
        <v>26370.647000000001</v>
      </c>
      <c r="F23" s="129">
        <v>27086.400000000001</v>
      </c>
      <c r="G23" s="129">
        <v>28686.7</v>
      </c>
      <c r="H23" s="130">
        <v>30491.599999999999</v>
      </c>
      <c r="I23" s="129">
        <v>32506</v>
      </c>
      <c r="J23" s="129">
        <v>35095.199999999997</v>
      </c>
      <c r="K23" s="129">
        <v>36252</v>
      </c>
      <c r="L23" s="130">
        <v>40366.9</v>
      </c>
      <c r="M23" s="129">
        <v>44238.8</v>
      </c>
      <c r="N23" s="129" t="s">
        <v>5274</v>
      </c>
      <c r="O23" s="129">
        <v>52742.400000000001</v>
      </c>
    </row>
    <row r="24" spans="1:15" ht="15.6" x14ac:dyDescent="0.3">
      <c r="A24" s="137" t="s">
        <v>5275</v>
      </c>
      <c r="B24" s="72"/>
      <c r="C24" s="72"/>
      <c r="D24" s="72"/>
      <c r="E24" s="72"/>
      <c r="F24" s="72"/>
      <c r="G24" s="72"/>
      <c r="H24" s="72"/>
      <c r="I24" s="72"/>
      <c r="J24" s="72"/>
      <c r="K24" s="72"/>
      <c r="L24" s="72"/>
      <c r="M24" s="72"/>
      <c r="N24" s="72"/>
      <c r="O24" s="72"/>
    </row>
    <row r="25" spans="1:15" ht="15.6" x14ac:dyDescent="0.3">
      <c r="A25" s="72"/>
      <c r="B25" s="72"/>
      <c r="C25" s="72"/>
      <c r="D25" s="72"/>
      <c r="E25" s="72"/>
      <c r="F25" s="72"/>
      <c r="G25" s="72"/>
      <c r="H25" s="72"/>
      <c r="I25" s="72"/>
      <c r="J25" s="72"/>
      <c r="K25" s="72"/>
      <c r="L25" s="72"/>
      <c r="M25" s="72"/>
      <c r="N25" s="72"/>
      <c r="O25" s="72"/>
    </row>
    <row r="26" spans="1:15" ht="17.399999999999999" x14ac:dyDescent="0.3">
      <c r="A26" s="10" t="s">
        <v>5276</v>
      </c>
      <c r="B26" s="72"/>
      <c r="C26" s="72"/>
      <c r="D26" s="72"/>
      <c r="E26" s="72"/>
      <c r="F26" s="72"/>
      <c r="G26" s="11"/>
      <c r="H26" s="11"/>
      <c r="I26" s="72"/>
      <c r="J26" s="72"/>
      <c r="K26" s="72"/>
      <c r="L26" s="72"/>
      <c r="M26" s="72"/>
      <c r="N26" s="72"/>
      <c r="O26" s="72"/>
    </row>
    <row r="27" spans="1:15" ht="16.8" x14ac:dyDescent="0.3">
      <c r="A27" s="138" t="s">
        <v>5102</v>
      </c>
      <c r="B27" s="139">
        <v>2011</v>
      </c>
      <c r="C27" s="139">
        <v>2012</v>
      </c>
      <c r="D27" s="139">
        <v>2013</v>
      </c>
      <c r="E27" s="139">
        <v>2014</v>
      </c>
      <c r="F27" s="139">
        <v>2015</v>
      </c>
      <c r="G27" s="139">
        <v>2016</v>
      </c>
      <c r="H27" s="139">
        <v>2017</v>
      </c>
      <c r="I27" s="139">
        <v>2018</v>
      </c>
      <c r="J27" s="139">
        <v>2019</v>
      </c>
      <c r="K27" s="139">
        <v>2020</v>
      </c>
      <c r="L27" s="139">
        <v>2021</v>
      </c>
      <c r="M27" s="139">
        <v>2022</v>
      </c>
      <c r="N27" s="139">
        <v>2023</v>
      </c>
      <c r="O27" s="139">
        <v>2024</v>
      </c>
    </row>
    <row r="28" spans="1:15" ht="15.6" x14ac:dyDescent="0.3">
      <c r="A28" s="140" t="s">
        <v>5277</v>
      </c>
      <c r="B28" s="141">
        <v>3272.8</v>
      </c>
      <c r="C28" s="141">
        <v>3818</v>
      </c>
      <c r="D28" s="141">
        <v>4526.7</v>
      </c>
      <c r="E28" s="141">
        <v>5323</v>
      </c>
      <c r="F28" s="141">
        <v>6317.8</v>
      </c>
      <c r="G28" s="141">
        <v>7220.8</v>
      </c>
      <c r="H28" s="141">
        <v>8290.7000000000007</v>
      </c>
      <c r="I28" s="141">
        <v>9336.6</v>
      </c>
      <c r="J28" s="141">
        <v>10236.1</v>
      </c>
      <c r="K28" s="141">
        <v>12040.4</v>
      </c>
      <c r="L28" s="141">
        <v>13761.8</v>
      </c>
      <c r="M28" s="141">
        <v>15705.9</v>
      </c>
      <c r="N28" s="141">
        <v>17667.599999999999</v>
      </c>
      <c r="O28" s="141">
        <v>19846</v>
      </c>
    </row>
    <row r="29" spans="1:15" ht="17.399999999999999" x14ac:dyDescent="0.3">
      <c r="A29" s="142" t="s">
        <v>5278</v>
      </c>
      <c r="B29" s="143">
        <v>846.33</v>
      </c>
      <c r="C29" s="141">
        <v>1140.8</v>
      </c>
      <c r="D29" s="141">
        <v>1365.2</v>
      </c>
      <c r="E29" s="141">
        <v>1550.7</v>
      </c>
      <c r="F29" s="141">
        <v>1467.7</v>
      </c>
      <c r="G29" s="141">
        <v>1724.5</v>
      </c>
      <c r="H29" s="141">
        <v>1981.1</v>
      </c>
      <c r="I29" s="141">
        <v>2318.3000000000002</v>
      </c>
      <c r="J29" s="141">
        <v>2791.7</v>
      </c>
      <c r="K29" s="141">
        <v>3908.8</v>
      </c>
      <c r="L29" s="141">
        <v>4614.6000000000004</v>
      </c>
      <c r="M29" s="141">
        <v>5894.6</v>
      </c>
      <c r="N29" s="141">
        <v>6261.9</v>
      </c>
      <c r="O29" s="141">
        <v>7129.1</v>
      </c>
    </row>
    <row r="30" spans="1:15" ht="15.6" x14ac:dyDescent="0.3">
      <c r="A30" s="144" t="s">
        <v>5279</v>
      </c>
      <c r="B30" s="145">
        <v>25.9</v>
      </c>
      <c r="C30" s="145">
        <v>29.9</v>
      </c>
      <c r="D30" s="145">
        <v>30.2</v>
      </c>
      <c r="E30" s="145">
        <v>29.1</v>
      </c>
      <c r="F30" s="145">
        <v>23.2</v>
      </c>
      <c r="G30" s="145">
        <v>23.9</v>
      </c>
      <c r="H30" s="145">
        <v>23.9</v>
      </c>
      <c r="I30" s="145">
        <v>24.8</v>
      </c>
      <c r="J30" s="145">
        <v>27.3</v>
      </c>
      <c r="K30" s="145">
        <v>32.5</v>
      </c>
      <c r="L30" s="145">
        <v>33.5</v>
      </c>
      <c r="M30" s="145">
        <v>37.5</v>
      </c>
      <c r="N30" s="145">
        <v>35.4</v>
      </c>
      <c r="O30" s="145">
        <v>35.9</v>
      </c>
    </row>
    <row r="31" spans="1:15" ht="17.399999999999999" x14ac:dyDescent="0.3">
      <c r="A31" s="142" t="s">
        <v>5280</v>
      </c>
      <c r="B31" s="141">
        <v>2426.4</v>
      </c>
      <c r="C31" s="141">
        <v>2677.2</v>
      </c>
      <c r="D31" s="141">
        <v>3161.5</v>
      </c>
      <c r="E31" s="141">
        <v>3772.3</v>
      </c>
      <c r="F31" s="141">
        <v>4850.1000000000004</v>
      </c>
      <c r="G31" s="141">
        <v>5496.2</v>
      </c>
      <c r="H31" s="141">
        <v>6309.6</v>
      </c>
      <c r="I31" s="141">
        <v>7018.3</v>
      </c>
      <c r="J31" s="141">
        <v>7444.3</v>
      </c>
      <c r="K31" s="141">
        <v>8131.7</v>
      </c>
      <c r="L31" s="141">
        <v>9147.2000000000007</v>
      </c>
      <c r="M31" s="141">
        <v>9814.5</v>
      </c>
      <c r="N31" s="141">
        <v>11405.7</v>
      </c>
      <c r="O31" s="141">
        <v>12716.9</v>
      </c>
    </row>
    <row r="32" spans="1:15" ht="15.6" x14ac:dyDescent="0.3">
      <c r="A32" s="144" t="s">
        <v>5279</v>
      </c>
      <c r="B32" s="146">
        <v>74.099999999999994</v>
      </c>
      <c r="C32" s="146">
        <v>70.099999999999994</v>
      </c>
      <c r="D32" s="146">
        <v>69.8</v>
      </c>
      <c r="E32" s="146">
        <v>70.900000000000006</v>
      </c>
      <c r="F32" s="146">
        <v>76.8</v>
      </c>
      <c r="G32" s="146">
        <v>76.099999999999994</v>
      </c>
      <c r="H32" s="146">
        <v>76.099999999999994</v>
      </c>
      <c r="I32" s="146">
        <v>75.2</v>
      </c>
      <c r="J32" s="146">
        <v>72.7</v>
      </c>
      <c r="K32" s="146">
        <v>67.5</v>
      </c>
      <c r="L32" s="146">
        <v>66.5</v>
      </c>
      <c r="M32" s="146">
        <v>62.5</v>
      </c>
      <c r="N32" s="146">
        <v>64.599999999999994</v>
      </c>
      <c r="O32" s="146">
        <v>64.099999999999994</v>
      </c>
    </row>
    <row r="33" spans="1:15" ht="15.6" x14ac:dyDescent="0.3">
      <c r="A33" s="147" t="s">
        <v>5281</v>
      </c>
      <c r="B33" s="72"/>
      <c r="C33" s="72"/>
      <c r="D33" s="72"/>
      <c r="E33" s="72"/>
      <c r="F33" s="72"/>
      <c r="G33" s="72"/>
      <c r="H33" s="72"/>
      <c r="I33" s="72"/>
      <c r="J33" s="72"/>
      <c r="K33" s="72"/>
      <c r="L33" s="72"/>
      <c r="M33" s="72"/>
      <c r="N33" s="72"/>
      <c r="O33" s="72"/>
    </row>
    <row r="34" spans="1:15" ht="15.6" x14ac:dyDescent="0.3">
      <c r="A34" s="137" t="s">
        <v>5282</v>
      </c>
      <c r="B34" s="72"/>
      <c r="C34" s="72"/>
      <c r="D34" s="72"/>
      <c r="E34" s="72"/>
      <c r="F34" s="72"/>
      <c r="G34" s="72"/>
      <c r="H34" s="72"/>
      <c r="I34" s="72"/>
      <c r="J34" s="72"/>
      <c r="K34" s="72"/>
      <c r="L34" s="72"/>
      <c r="M34" s="72"/>
      <c r="N34" s="72"/>
      <c r="O34" s="72"/>
    </row>
  </sheetData>
  <mergeCells count="2">
    <mergeCell ref="A5:J5"/>
    <mergeCell ref="A9: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Data</vt:lpstr>
      <vt:lpstr>Structure de l'économie</vt:lpstr>
      <vt:lpstr>Agro-Industries</vt:lpstr>
      <vt:lpstr>Dette publique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MIVS-DECIDEUR</dc:creator>
  <cp:lastModifiedBy>MIVS</cp:lastModifiedBy>
  <dcterms:created xsi:type="dcterms:W3CDTF">2025-08-21T19:10:50Z</dcterms:created>
  <dcterms:modified xsi:type="dcterms:W3CDTF">2026-02-15T02:15:54Z</dcterms:modified>
</cp:coreProperties>
</file>