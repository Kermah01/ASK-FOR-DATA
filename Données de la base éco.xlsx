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VS\Documents\Cabinet MEPD\"/>
    </mc:Choice>
  </mc:AlternateContent>
  <xr:revisionPtr revIDLastSave="0" documentId="8_{9008185B-0FB9-494A-BF30-779508E03594}" xr6:coauthVersionLast="47" xr6:coauthVersionMax="47" xr10:uidLastSave="{00000000-0000-0000-0000-000000000000}"/>
  <bookViews>
    <workbookView xWindow="-108" yWindow="-108" windowWidth="23256" windowHeight="12456" activeTab="2" xr2:uid="{F02990BF-6DBF-4A0B-96D0-2698011208F8}"/>
  </bookViews>
  <sheets>
    <sheet name="Structure de l'Economie" sheetId="1" r:id="rId1"/>
    <sheet name="Agro-industrie" sheetId="2" r:id="rId2"/>
    <sheet name="Dette publiqu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1" l="1"/>
  <c r="J37" i="1"/>
  <c r="I37" i="1"/>
  <c r="H37" i="1"/>
  <c r="G37" i="1"/>
  <c r="F37" i="1"/>
  <c r="E37" i="1"/>
  <c r="D37" i="1"/>
  <c r="C37" i="1"/>
  <c r="B37" i="1"/>
</calcChain>
</file>

<file path=xl/sharedStrings.xml><?xml version="1.0" encoding="utf-8"?>
<sst xmlns="http://schemas.openxmlformats.org/spreadsheetml/2006/main" count="271" uniqueCount="198">
  <si>
    <t>STRUCTURE DE L'ECONOMIE (2011-2024)</t>
  </si>
  <si>
    <t>Répartition sectorielle du PIB (en % du PIB), période 2011-2024</t>
  </si>
  <si>
    <t>Années</t>
  </si>
  <si>
    <t>2023prov.</t>
  </si>
  <si>
    <t>Secteur Primaire</t>
  </si>
  <si>
    <t>Agriculture vivrière, élevage</t>
  </si>
  <si>
    <t>Agriculture vivrière</t>
  </si>
  <si>
    <t>élevage</t>
  </si>
  <si>
    <t>Agriculture d'exportation</t>
  </si>
  <si>
    <t>Sylviculture</t>
  </si>
  <si>
    <t>Pêche</t>
  </si>
  <si>
    <t>Secteur Secondaire</t>
  </si>
  <si>
    <t>Industries extractives</t>
  </si>
  <si>
    <t>Industries pétrolières</t>
  </si>
  <si>
    <t>Energie (gazeaulec)</t>
  </si>
  <si>
    <t>BTP</t>
  </si>
  <si>
    <t>Industries manufacturières</t>
  </si>
  <si>
    <t>Secteur Tertiaire</t>
  </si>
  <si>
    <t>Transports</t>
  </si>
  <si>
    <t>Télecommunication</t>
  </si>
  <si>
    <t>Commerce</t>
  </si>
  <si>
    <t>Autres services</t>
  </si>
  <si>
    <t>PIB Marchand</t>
  </si>
  <si>
    <t>Services d'administration publique</t>
  </si>
  <si>
    <t>Institutions sans but lucratif (ISBL)</t>
  </si>
  <si>
    <t>PIB non marchand</t>
  </si>
  <si>
    <t>Droits et taxes nets de subventions</t>
  </si>
  <si>
    <t>Total</t>
  </si>
  <si>
    <t>Source : MEPD / ANStat, DGE</t>
  </si>
  <si>
    <t>DESAGREGATION DU SECTEUR SECONDAIRE DANS LE PIB (EN % DU PIB) DE 2019 A 2024</t>
  </si>
  <si>
    <t>Type de données</t>
  </si>
  <si>
    <t>réal</t>
  </si>
  <si>
    <t>réal.</t>
  </si>
  <si>
    <t>prov</t>
  </si>
  <si>
    <t>est</t>
  </si>
  <si>
    <t>Secondaire</t>
  </si>
  <si>
    <t>or, incluant le diamant et autres extractions</t>
  </si>
  <si>
    <t>Industries manufacturières, autres que pétrolières</t>
  </si>
  <si>
    <t>Agroalimentaire</t>
  </si>
  <si>
    <t>Boissons et tabac</t>
  </si>
  <si>
    <t>Textiles et vêtements</t>
  </si>
  <si>
    <t>Bois, papier et impression</t>
  </si>
  <si>
    <t>produits chimiques, caoutchouc, plastiques</t>
  </si>
  <si>
    <t>Minéraux non métalliques</t>
  </si>
  <si>
    <t>Meubles et autres</t>
  </si>
  <si>
    <t>Energie</t>
  </si>
  <si>
    <t>Source : ANStat/SPDE</t>
  </si>
  <si>
    <t>Evolution des effectifs d'employés (en milliers) des secteurs d'activités de 2015 à 2023</t>
  </si>
  <si>
    <t>2023 (*)</t>
  </si>
  <si>
    <t>Primaire</t>
  </si>
  <si>
    <t>dont agriculture vivrière</t>
  </si>
  <si>
    <t>dont agriculture d'exportation</t>
  </si>
  <si>
    <t>autres</t>
  </si>
  <si>
    <t>dont industries extractives</t>
  </si>
  <si>
    <t>dont industries pétrolières</t>
  </si>
  <si>
    <t>dont énergie (gazeaulec)</t>
  </si>
  <si>
    <t>dont BTP</t>
  </si>
  <si>
    <t>dont industries manufacturières</t>
  </si>
  <si>
    <t>Tertiaire</t>
  </si>
  <si>
    <t>dont transports</t>
  </si>
  <si>
    <t>dont télecommunication</t>
  </si>
  <si>
    <t>dont commerce</t>
  </si>
  <si>
    <t>dont autres services</t>
  </si>
  <si>
    <t>Emploi total</t>
  </si>
  <si>
    <t xml:space="preserve">Source : ANStat/DCN/CNA </t>
  </si>
  <si>
    <t>(*) : Données provisoires</t>
  </si>
  <si>
    <t>Evolution des poids des effectifs employés (en milliers) des secteurs d'activités de 2015 à 2023</t>
  </si>
  <si>
    <t>CONTRIBUTION AU PIB</t>
  </si>
  <si>
    <t>Part des valeurs ajoutées des industries extractives dans le PIB (%) de 2015 à 2022</t>
  </si>
  <si>
    <t>Hydrocarbures</t>
  </si>
  <si>
    <t>Extraction de pétrole brut</t>
  </si>
  <si>
    <t>Extraction de gaz naturel</t>
  </si>
  <si>
    <t>Mines</t>
  </si>
  <si>
    <t>Extraction de minerais d'or et autres métaux précieux</t>
  </si>
  <si>
    <t>Extraction de diamants et autres pierres précieuses</t>
  </si>
  <si>
    <t>Extraction de minerais de bauxite</t>
  </si>
  <si>
    <t>NP*</t>
  </si>
  <si>
    <t>Extraction de minerais de Manganèse</t>
  </si>
  <si>
    <t>Extraction de minerais de Nickel</t>
  </si>
  <si>
    <t>Extraction de sables et graviers</t>
  </si>
  <si>
    <t>Extraction d'autres produits</t>
  </si>
  <si>
    <t>Activités de soutien aux industries extractives</t>
  </si>
  <si>
    <t>Source : ANStat/DCN/CNA</t>
  </si>
  <si>
    <t>NP* : Non Produit</t>
  </si>
  <si>
    <t>2023 Prov</t>
  </si>
  <si>
    <t>2024</t>
  </si>
  <si>
    <t>Cible 2030</t>
  </si>
  <si>
    <t>Taux de croissance PIB réel  (%)</t>
  </si>
  <si>
    <t>PIB en Millions XOF</t>
  </si>
  <si>
    <t>Formation Brute de Capital Fixe (FBCF) (en millions XOF)</t>
  </si>
  <si>
    <t>Taux d'investissement (FBCF / PIB)</t>
  </si>
  <si>
    <t xml:space="preserve">  Public</t>
  </si>
  <si>
    <t>Privé</t>
  </si>
  <si>
    <t>IDE net (% PIB)</t>
  </si>
  <si>
    <t>Total IDE reçus (en milliards FCFA)</t>
  </si>
  <si>
    <t>Secteur extractif</t>
  </si>
  <si>
    <t>Non-extractif</t>
  </si>
  <si>
    <t>Poids secteur dans Total IDE</t>
  </si>
  <si>
    <t>Secteur Non-extractif</t>
  </si>
  <si>
    <t>Total reçus (en % du PIB)</t>
  </si>
  <si>
    <t>PIB nominal (en milliards FCFA)</t>
  </si>
  <si>
    <t>Source : DGE / MEPD</t>
  </si>
  <si>
    <t>PRODUCTION ET TAUX DE TRANSFORMATION DU CACAO</t>
  </si>
  <si>
    <t>Production de cacao (en tonnes)</t>
  </si>
  <si>
    <t>Quantité Cacao transformée (en tonnes)</t>
  </si>
  <si>
    <t>Capacités installées (Tonnes de fèves /An)</t>
  </si>
  <si>
    <t>730 000</t>
  </si>
  <si>
    <t>800 000</t>
  </si>
  <si>
    <t>850 000</t>
  </si>
  <si>
    <t>880 000</t>
  </si>
  <si>
    <t>930 000</t>
  </si>
  <si>
    <t>972 040</t>
  </si>
  <si>
    <t>Taux de transformation de cacaco</t>
  </si>
  <si>
    <t>Source : DGP / Conseil Café Cacao/Site Economie ivoirienne de la DGE</t>
  </si>
  <si>
    <t>PRODUCTION ET TAUX DE TRANSFORMATION DU CACAO FEVES</t>
  </si>
  <si>
    <t>Production de cacao (en milliers de tonnes)</t>
  </si>
  <si>
    <t>2228,4 </t>
  </si>
  <si>
    <t>Quantité Cacao fèves transformée (en milliers de tonnes)</t>
  </si>
  <si>
    <t>ND</t>
  </si>
  <si>
    <t>-</t>
  </si>
  <si>
    <t>Source : Site Economie ivoirienne de la DGE/ MEMINADERPV / Conseil Café Cacao</t>
  </si>
  <si>
    <t>Capacité installée et transformation du cacao</t>
  </si>
  <si>
    <t>Campagnes</t>
  </si>
  <si>
    <t>Quantité broyée (Tonnes de Fèves)</t>
  </si>
  <si>
    <t>576 994</t>
  </si>
  <si>
    <t>559 239</t>
  </si>
  <si>
    <t>604 817</t>
  </si>
  <si>
    <t>596 388</t>
  </si>
  <si>
    <t>619 529</t>
  </si>
  <si>
    <t>750 247</t>
  </si>
  <si>
    <t>790 800</t>
  </si>
  <si>
    <t>Taux de transformation</t>
  </si>
  <si>
    <t>26,37%</t>
  </si>
  <si>
    <t>31,26%</t>
  </si>
  <si>
    <t>38,51%</t>
  </si>
  <si>
    <t>Source : Site Economie ivoirienne de la DGE/ Conseil Café Cacao</t>
  </si>
  <si>
    <t>PRODUCTION ET TAUX DE TRANSFORMATION DE CAFE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</si>
  <si>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</si>
  <si>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</si>
  <si>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</si>
  <si>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</si>
  <si>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</si>
  <si>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</si>
  <si>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</si>
  <si>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</si>
  <si>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</si>
  <si>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Production (en milliers de tonnes)</t>
  </si>
  <si>
    <t>Quantité de café transformé (en milliers de tonnes)</t>
  </si>
  <si>
    <t>15</t>
  </si>
  <si>
    <t>17</t>
  </si>
  <si>
    <t>Taux de transformation (%)</t>
  </si>
  <si>
    <t>Production, Capacité installée et taux de transformation de noix de cajou</t>
  </si>
  <si>
    <t>Production de noix de cajou (en tonnes)</t>
  </si>
  <si>
    <t>Capacités installées (Tonnes de NBC/An)</t>
  </si>
  <si>
    <t>Quantité transformée (Tonnes de NBC)</t>
  </si>
  <si>
    <t>Source : Site Economie ivoirienne de la DGE/ Conseil Coton Anacarde / DGP</t>
  </si>
  <si>
    <t xml:space="preserve"> NBC*: Noix Brute de Cajou</t>
  </si>
  <si>
    <t>Capacité installée et taux de transformation d'hévéa</t>
  </si>
  <si>
    <t>Production de Caoutchouc sec (Tonnes)</t>
  </si>
  <si>
    <t>955 571</t>
  </si>
  <si>
    <t>Capacités installées (Tonnes de latex sec /An)</t>
  </si>
  <si>
    <t>1 372 800</t>
  </si>
  <si>
    <t>Quantité transformée (Tonnes Caoutchouc granulé)</t>
  </si>
  <si>
    <t>Source : Site Economie ivoirienne de la DGE / Conseil Hévéa - Palmier à Huile</t>
  </si>
  <si>
    <t>Production de graines de coton et livraison à l'industrie locale</t>
  </si>
  <si>
    <t>CAMPAGNES</t>
  </si>
  <si>
    <t>2015-2016</t>
  </si>
  <si>
    <t>2016-2017</t>
  </si>
  <si>
    <t>2017-2018</t>
  </si>
  <si>
    <t>2018-2019</t>
  </si>
  <si>
    <t>2019-2020</t>
  </si>
  <si>
    <t>2020-2021</t>
  </si>
  <si>
    <t>Production de grainesde coton (Tonnes)</t>
  </si>
  <si>
    <t>Livraison de graine de coton à l’industrie locale de trituration (tonnes)</t>
  </si>
  <si>
    <t>DETTE PUBLIQUE</t>
  </si>
  <si>
    <t>Evolution de la dette publique de Côte d’Ivoire</t>
  </si>
  <si>
    <t>Dette, en %PIB</t>
  </si>
  <si>
    <t>Stock total</t>
  </si>
  <si>
    <t>Dette extérieure</t>
  </si>
  <si>
    <t>Dette intérieure</t>
  </si>
  <si>
    <t>Dette, en milliards FCFA</t>
  </si>
  <si>
    <t>SITUATION DE LA DETTE ET DU PIB NOMINAL, 2011-2024</t>
  </si>
  <si>
    <t>Stock total dette (en milliards de FCFA)</t>
  </si>
  <si>
    <t>% du PIB</t>
  </si>
  <si>
    <t>Extérieure (en milliards de FCFA)</t>
  </si>
  <si>
    <t>4 489.</t>
  </si>
  <si>
    <t>en % du PIB</t>
  </si>
  <si>
    <t>Intérieure (en milliards de FCFA)</t>
  </si>
  <si>
    <t>PIB Nominal (en milliards de FCFA)</t>
  </si>
  <si>
    <t>48 293.9</t>
  </si>
  <si>
    <t>Source : MFB ; MEPD</t>
  </si>
  <si>
    <t>Créances intérieures (en milliards de FCFA)</t>
  </si>
  <si>
    <t>TOTAL</t>
  </si>
  <si>
    <t>Admin. Centrale</t>
  </si>
  <si>
    <t>en % de C.I*</t>
  </si>
  <si>
    <t>Autres secteurs</t>
  </si>
  <si>
    <t>Source : MEPD/DGE, BCEAO</t>
  </si>
  <si>
    <t>*C.I : Créances Intérieures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</si>
</sst>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_ * #,##0.00_)_ ;_ * \(#,##0.00\)_ ;_ * &quot;-&quot;??_)_ ;_ @_ "/>
    <numFmt numFmtId="166" formatCode="_-* #,##0.0_-;\-* #,##0.0_-;_-* &quot;-&quot;??_-;_-@_-"/>
    <numFmt numFmtId="167" formatCode="0.0%"/>
    <numFmt numFmtId="168" formatCode="_-* #,##0_-;\-* #,##0_-;_-* &quot;-&quot;??_-;_-@_-"/>
    <numFmt numFmtId="169" formatCode="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rgb="FF002060"/>
      <name val="Times New Roman"/>
      <family val="1"/>
    </font>
    <font>
      <sz val="11"/>
      <color theme="1"/>
      <name val="Calibri"/>
      <family val="2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u/>
      <sz val="16"/>
      <color theme="1"/>
      <name val="Times New Roman"/>
      <family val="1"/>
    </font>
    <font>
      <b/>
      <sz val="13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2" fillId="0" borderId="0" applyFont="0" applyFill="0" applyBorder="0" applyAlignment="0" applyProtection="0"/>
  </cellStyleXfs>
  <cellXfs count="1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2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3"/>
    </xf>
    <xf numFmtId="2" fontId="7" fillId="0" borderId="1" xfId="0" applyNumberFormat="1" applyFont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2" fontId="5" fillId="4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  <xf numFmtId="164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 indent="2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 indent="3"/>
    </xf>
    <xf numFmtId="0" fontId="10" fillId="0" borderId="0" xfId="0" applyFont="1"/>
    <xf numFmtId="0" fontId="0" fillId="0" borderId="3" xfId="0" applyBorder="1" applyAlignment="1">
      <alignment horizontal="center"/>
    </xf>
    <xf numFmtId="0" fontId="6" fillId="0" borderId="0" xfId="0" applyFont="1"/>
    <xf numFmtId="0" fontId="11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horizontal="left" vertical="center" wrapText="1" indent="1"/>
    </xf>
    <xf numFmtId="166" fontId="5" fillId="0" borderId="1" xfId="3" applyNumberFormat="1" applyFont="1" applyFill="1" applyBorder="1" applyAlignment="1">
      <alignment horizontal="center" vertical="center" wrapText="1"/>
    </xf>
    <xf numFmtId="166" fontId="7" fillId="0" borderId="1" xfId="3" applyNumberFormat="1" applyFont="1" applyFill="1" applyBorder="1" applyAlignment="1">
      <alignment horizontal="center" vertical="center" wrapText="1"/>
    </xf>
    <xf numFmtId="10" fontId="3" fillId="0" borderId="0" xfId="0" applyNumberFormat="1" applyFont="1"/>
    <xf numFmtId="166" fontId="6" fillId="0" borderId="1" xfId="3" applyNumberFormat="1" applyFont="1" applyFill="1" applyBorder="1" applyAlignment="1">
      <alignment horizontal="center" vertical="center" wrapText="1"/>
    </xf>
    <xf numFmtId="166" fontId="5" fillId="0" borderId="0" xfId="3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167" fontId="5" fillId="0" borderId="1" xfId="2" applyNumberFormat="1" applyFont="1" applyFill="1" applyBorder="1" applyAlignment="1">
      <alignment horizontal="center" vertical="center" wrapText="1"/>
    </xf>
    <xf numFmtId="167" fontId="7" fillId="0" borderId="1" xfId="2" applyNumberFormat="1" applyFont="1" applyFill="1" applyBorder="1" applyAlignment="1">
      <alignment horizontal="center" vertical="center" wrapText="1"/>
    </xf>
    <xf numFmtId="167" fontId="7" fillId="0" borderId="1" xfId="3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2" fillId="0" borderId="0" xfId="0" applyFont="1" applyAlignment="1">
      <alignment horizontal="left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5" borderId="1" xfId="0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horizontal="left" vertical="center" wrapText="1"/>
    </xf>
    <xf numFmtId="164" fontId="9" fillId="6" borderId="1" xfId="0" applyNumberFormat="1" applyFont="1" applyFill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left" wrapText="1"/>
    </xf>
    <xf numFmtId="164" fontId="10" fillId="6" borderId="1" xfId="0" applyNumberFormat="1" applyFont="1" applyFill="1" applyBorder="1" applyAlignment="1">
      <alignment horizontal="left" vertical="center" wrapText="1"/>
    </xf>
    <xf numFmtId="164" fontId="9" fillId="6" borderId="1" xfId="0" applyNumberFormat="1" applyFont="1" applyFill="1" applyBorder="1" applyAlignment="1">
      <alignment horizontal="left" wrapText="1"/>
    </xf>
    <xf numFmtId="0" fontId="9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2" fontId="10" fillId="0" borderId="0" xfId="0" applyNumberFormat="1" applyFont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164" fontId="10" fillId="9" borderId="1" xfId="0" applyNumberFormat="1" applyFont="1" applyFill="1" applyBorder="1" applyAlignment="1">
      <alignment horizontal="right" vertical="center" wrapText="1"/>
    </xf>
    <xf numFmtId="164" fontId="10" fillId="10" borderId="1" xfId="0" applyNumberFormat="1" applyFont="1" applyFill="1" applyBorder="1" applyAlignment="1">
      <alignment horizontal="right" vertical="center"/>
    </xf>
    <xf numFmtId="164" fontId="10" fillId="10" borderId="1" xfId="0" applyNumberFormat="1" applyFont="1" applyFill="1" applyBorder="1" applyAlignment="1">
      <alignment horizontal="right" vertical="center" wrapText="1"/>
    </xf>
    <xf numFmtId="168" fontId="10" fillId="9" borderId="1" xfId="1" applyNumberFormat="1" applyFont="1" applyFill="1" applyBorder="1" applyAlignment="1">
      <alignment horizontal="left" vertical="center" wrapText="1"/>
    </xf>
    <xf numFmtId="168" fontId="10" fillId="10" borderId="1" xfId="1" applyNumberFormat="1" applyFont="1" applyFill="1" applyBorder="1" applyAlignment="1">
      <alignment horizontal="left" vertical="center" wrapText="1"/>
    </xf>
    <xf numFmtId="43" fontId="10" fillId="10" borderId="1" xfId="1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/>
    </xf>
    <xf numFmtId="167" fontId="10" fillId="9" borderId="1" xfId="2" applyNumberFormat="1" applyFont="1" applyFill="1" applyBorder="1" applyAlignment="1">
      <alignment horizontal="right" vertical="center" wrapText="1"/>
    </xf>
    <xf numFmtId="167" fontId="10" fillId="10" borderId="1" xfId="2" applyNumberFormat="1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2" fontId="10" fillId="9" borderId="1" xfId="0" applyNumberFormat="1" applyFont="1" applyFill="1" applyBorder="1" applyAlignment="1">
      <alignment horizontal="left" vertical="center" wrapText="1"/>
    </xf>
    <xf numFmtId="2" fontId="10" fillId="10" borderId="1" xfId="0" applyNumberFormat="1" applyFont="1" applyFill="1" applyBorder="1" applyAlignment="1">
      <alignment horizontal="left" vertical="center" wrapText="1"/>
    </xf>
    <xf numFmtId="2" fontId="10" fillId="10" borderId="1" xfId="0" applyNumberFormat="1" applyFont="1" applyFill="1" applyBorder="1" applyAlignment="1">
      <alignment horizontal="right" vertical="center" wrapText="1"/>
    </xf>
    <xf numFmtId="10" fontId="10" fillId="9" borderId="1" xfId="2" applyNumberFormat="1" applyFont="1" applyFill="1" applyBorder="1" applyAlignment="1">
      <alignment horizontal="left" vertical="center" wrapText="1"/>
    </xf>
    <xf numFmtId="10" fontId="10" fillId="10" borderId="1" xfId="2" applyNumberFormat="1" applyFont="1" applyFill="1" applyBorder="1" applyAlignment="1">
      <alignment horizontal="left" vertical="center" wrapText="1"/>
    </xf>
    <xf numFmtId="0" fontId="0" fillId="0" borderId="1" xfId="0" applyBorder="1"/>
    <xf numFmtId="2" fontId="10" fillId="0" borderId="1" xfId="0" applyNumberFormat="1" applyFont="1" applyBorder="1" applyAlignment="1">
      <alignment horizontal="right" vertical="center" wrapText="1"/>
    </xf>
    <xf numFmtId="0" fontId="1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4" fillId="11" borderId="6" xfId="0" applyFont="1" applyFill="1" applyBorder="1" applyAlignment="1">
      <alignment vertical="center" wrapText="1"/>
    </xf>
    <xf numFmtId="169" fontId="4" fillId="11" borderId="2" xfId="0" applyNumberFormat="1" applyFont="1" applyFill="1" applyBorder="1" applyAlignment="1">
      <alignment horizontal="right" vertical="center"/>
    </xf>
    <xf numFmtId="0" fontId="14" fillId="0" borderId="7" xfId="0" applyFont="1" applyBorder="1" applyAlignment="1">
      <alignment vertical="center"/>
    </xf>
    <xf numFmtId="169" fontId="14" fillId="0" borderId="0" xfId="0" applyNumberFormat="1" applyFont="1" applyAlignment="1">
      <alignment horizontal="right" vertical="center"/>
    </xf>
    <xf numFmtId="167" fontId="14" fillId="11" borderId="2" xfId="2" applyNumberFormat="1" applyFont="1" applyFill="1" applyBorder="1" applyAlignment="1">
      <alignment horizontal="right" vertical="center"/>
    </xf>
    <xf numFmtId="169" fontId="14" fillId="11" borderId="2" xfId="0" applyNumberFormat="1" applyFont="1" applyFill="1" applyBorder="1" applyAlignment="1">
      <alignment horizontal="right" vertical="center"/>
    </xf>
    <xf numFmtId="167" fontId="14" fillId="0" borderId="0" xfId="2" applyNumberFormat="1" applyFont="1" applyFill="1" applyBorder="1" applyAlignment="1">
      <alignment horizontal="right" vertical="center"/>
    </xf>
    <xf numFmtId="167" fontId="14" fillId="0" borderId="0" xfId="0" applyNumberFormat="1" applyFont="1" applyAlignment="1">
      <alignment vertical="center"/>
    </xf>
    <xf numFmtId="166" fontId="14" fillId="0" borderId="0" xfId="1" applyNumberFormat="1" applyFont="1" applyFill="1" applyBorder="1" applyAlignment="1">
      <alignment horizontal="right" vertical="center"/>
    </xf>
    <xf numFmtId="0" fontId="4" fillId="12" borderId="6" xfId="0" applyFont="1" applyFill="1" applyBorder="1" applyAlignment="1">
      <alignment vertical="center" wrapText="1"/>
    </xf>
    <xf numFmtId="169" fontId="4" fillId="12" borderId="2" xfId="0" applyNumberFormat="1" applyFont="1" applyFill="1" applyBorder="1" applyAlignment="1">
      <alignment vertical="center"/>
    </xf>
    <xf numFmtId="0" fontId="14" fillId="13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166" fontId="6" fillId="0" borderId="12" xfId="1" applyNumberFormat="1" applyFont="1" applyFill="1" applyBorder="1" applyAlignment="1">
      <alignment horizontal="center" vertical="center" wrapText="1"/>
    </xf>
    <xf numFmtId="166" fontId="6" fillId="0" borderId="10" xfId="1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166" fontId="6" fillId="11" borderId="12" xfId="1" applyNumberFormat="1" applyFont="1" applyFill="1" applyBorder="1" applyAlignment="1">
      <alignment horizontal="center" vertical="center" wrapText="1"/>
    </xf>
    <xf numFmtId="166" fontId="6" fillId="11" borderId="10" xfId="1" applyNumberFormat="1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166" fontId="6" fillId="0" borderId="12" xfId="0" applyNumberFormat="1" applyFont="1" applyBorder="1" applyAlignment="1">
      <alignment horizontal="center" vertical="center" wrapText="1"/>
    </xf>
    <xf numFmtId="166" fontId="6" fillId="0" borderId="10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67" fontId="6" fillId="0" borderId="1" xfId="2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vertical="center"/>
    </xf>
    <xf numFmtId="168" fontId="6" fillId="0" borderId="10" xfId="1" applyNumberFormat="1" applyFont="1" applyFill="1" applyBorder="1" applyAlignment="1">
      <alignment horizontal="center" vertical="center" wrapText="1"/>
    </xf>
    <xf numFmtId="10" fontId="6" fillId="0" borderId="1" xfId="2" applyNumberFormat="1" applyFont="1" applyFill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168" fontId="6" fillId="0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10" fontId="6" fillId="14" borderId="1" xfId="2" applyNumberFormat="1" applyFont="1" applyFill="1" applyBorder="1" applyAlignment="1">
      <alignment horizontal="center" vertical="center" wrapText="1"/>
    </xf>
    <xf numFmtId="10" fontId="6" fillId="0" borderId="0" xfId="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6" fillId="14" borderId="1" xfId="0" applyNumberFormat="1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167" fontId="6" fillId="14" borderId="1" xfId="2" applyNumberFormat="1" applyFont="1" applyFill="1" applyBorder="1" applyAlignment="1">
      <alignment horizontal="center" vertical="center" wrapText="1"/>
    </xf>
    <xf numFmtId="10" fontId="6" fillId="14" borderId="1" xfId="0" applyNumberFormat="1" applyFont="1" applyFill="1" applyBorder="1" applyAlignment="1">
      <alignment horizontal="center" vertical="center" wrapText="1"/>
    </xf>
    <xf numFmtId="3" fontId="6" fillId="0" borderId="1" xfId="1" applyNumberFormat="1" applyFont="1" applyFill="1" applyBorder="1" applyAlignment="1">
      <alignment horizontal="center" vertical="center" wrapText="1"/>
    </xf>
    <xf numFmtId="43" fontId="6" fillId="0" borderId="1" xfId="1" applyFont="1" applyFill="1" applyBorder="1" applyAlignment="1">
      <alignment horizontal="center" vertical="center" wrapText="1"/>
    </xf>
    <xf numFmtId="9" fontId="6" fillId="14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5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6" borderId="16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10" fontId="10" fillId="0" borderId="1" xfId="2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 indent="4"/>
    </xf>
    <xf numFmtId="166" fontId="10" fillId="0" borderId="1" xfId="1" applyNumberFormat="1" applyFont="1" applyBorder="1" applyAlignment="1">
      <alignment horizontal="center" vertical="center" wrapText="1"/>
    </xf>
    <xf numFmtId="166" fontId="10" fillId="0" borderId="1" xfId="1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167" fontId="10" fillId="0" borderId="1" xfId="2" applyNumberFormat="1" applyFont="1" applyBorder="1" applyAlignment="1">
      <alignment horizontal="center" vertical="center" wrapText="1"/>
    </xf>
    <xf numFmtId="10" fontId="10" fillId="0" borderId="1" xfId="2" applyNumberFormat="1" applyFont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 indent="3"/>
    </xf>
    <xf numFmtId="166" fontId="10" fillId="10" borderId="1" xfId="1" applyNumberFormat="1" applyFont="1" applyFill="1" applyBorder="1" applyAlignment="1">
      <alignment horizontal="center" vertical="center" wrapText="1"/>
    </xf>
    <xf numFmtId="166" fontId="10" fillId="10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6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4" fontId="6" fillId="0" borderId="1" xfId="0" applyNumberFormat="1" applyFont="1" applyBorder="1" applyAlignment="1">
      <alignment horizontal="left" vertical="center"/>
    </xf>
    <xf numFmtId="0" fontId="13" fillId="6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left" vertical="center" wrapText="1" indent="2"/>
    </xf>
    <xf numFmtId="0" fontId="6" fillId="0" borderId="1" xfId="0" applyFont="1" applyBorder="1" applyAlignment="1">
      <alignment horizontal="left" vertical="center" wrapText="1" indent="2"/>
    </xf>
    <xf numFmtId="0" fontId="10" fillId="0" borderId="0" xfId="0" applyFont="1" applyAlignment="1">
      <alignment horizontal="left" vertical="center"/>
    </xf>
  </cellXfs>
  <cellStyles count="4">
    <cellStyle name="Milliers" xfId="1" builtinId="3"/>
    <cellStyle name="Milliers 2" xfId="3" xr:uid="{FD4F28D0-1104-4506-B8E1-621B8CAB146A}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201C-3B9E-4F7B-97EE-3A299E3988CA}">
  <dimension ref="A1:R136"/>
  <sheetViews>
    <sheetView workbookViewId="0">
      <selection sqref="A1:XFD1048576"/>
    </sheetView>
  </sheetViews>
  <sheetFormatPr baseColWidth="10" defaultRowHeight="14.4" x14ac:dyDescent="0.3"/>
  <cols>
    <col min="1" max="1" width="56" customWidth="1"/>
    <col min="2" max="15" width="12.109375" bestFit="1" customWidth="1"/>
  </cols>
  <sheetData>
    <row r="1" spans="1:14" ht="20.399999999999999" x14ac:dyDescent="0.3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  <c r="M1" s="2"/>
      <c r="N1" s="2"/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7.399999999999999" x14ac:dyDescent="0.3">
      <c r="A3" s="3" t="s">
        <v>1</v>
      </c>
      <c r="B3" s="4"/>
      <c r="C3" s="4"/>
      <c r="D3" s="4"/>
      <c r="E3" s="4"/>
      <c r="F3" s="4"/>
      <c r="G3" s="4"/>
      <c r="H3" s="2"/>
      <c r="I3" s="2"/>
      <c r="J3" s="2"/>
      <c r="K3" s="5"/>
      <c r="L3" s="5"/>
      <c r="M3" s="5"/>
      <c r="N3" s="2"/>
    </row>
    <row r="4" spans="1:14" ht="15.6" x14ac:dyDescent="0.3">
      <c r="A4" s="6" t="s">
        <v>2</v>
      </c>
      <c r="B4" s="7">
        <v>2011</v>
      </c>
      <c r="C4" s="7">
        <v>2012</v>
      </c>
      <c r="D4" s="7">
        <v>2013</v>
      </c>
      <c r="E4" s="7">
        <v>2014</v>
      </c>
      <c r="F4" s="7">
        <v>2015</v>
      </c>
      <c r="G4" s="7">
        <v>2016</v>
      </c>
      <c r="H4" s="7">
        <v>2017</v>
      </c>
      <c r="I4" s="7">
        <v>2018</v>
      </c>
      <c r="J4" s="7">
        <v>2019</v>
      </c>
      <c r="K4" s="7">
        <v>2020</v>
      </c>
      <c r="L4" s="7">
        <v>2021</v>
      </c>
      <c r="M4" s="7">
        <v>2022</v>
      </c>
      <c r="N4" s="7" t="s">
        <v>3</v>
      </c>
    </row>
    <row r="5" spans="1:14" ht="15.6" x14ac:dyDescent="0.3">
      <c r="A5" s="8" t="s">
        <v>4</v>
      </c>
      <c r="B5" s="9">
        <v>20.2</v>
      </c>
      <c r="C5" s="9">
        <v>17.5</v>
      </c>
      <c r="D5" s="9">
        <v>16</v>
      </c>
      <c r="E5" s="9">
        <v>16.2</v>
      </c>
      <c r="F5" s="9">
        <v>18.399999999999999</v>
      </c>
      <c r="G5" s="9">
        <v>17.399999999999999</v>
      </c>
      <c r="H5" s="9">
        <v>16.899999999999999</v>
      </c>
      <c r="I5" s="9">
        <v>17.899999999999999</v>
      </c>
      <c r="J5" s="9">
        <v>15.7</v>
      </c>
      <c r="K5" s="9">
        <v>16.899999999999999</v>
      </c>
      <c r="L5" s="9">
        <v>16.200000000000003</v>
      </c>
      <c r="M5" s="9">
        <v>16.600000000000001</v>
      </c>
      <c r="N5" s="9">
        <v>15.2</v>
      </c>
    </row>
    <row r="6" spans="1:14" ht="15.6" x14ac:dyDescent="0.3">
      <c r="A6" s="10" t="s">
        <v>5</v>
      </c>
      <c r="B6" s="11">
        <v>8.6</v>
      </c>
      <c r="C6" s="11">
        <v>7.8</v>
      </c>
      <c r="D6" s="11">
        <v>6.5</v>
      </c>
      <c r="E6" s="11">
        <v>6.9</v>
      </c>
      <c r="F6" s="11">
        <v>5.0999999999999996</v>
      </c>
      <c r="G6" s="11">
        <v>5.2</v>
      </c>
      <c r="H6" s="11">
        <v>4.7</v>
      </c>
      <c r="I6" s="11">
        <v>5.3</v>
      </c>
      <c r="J6" s="11">
        <v>5.0999999999999996</v>
      </c>
      <c r="K6" s="11">
        <v>5.7</v>
      </c>
      <c r="L6" s="11">
        <v>5.4</v>
      </c>
      <c r="M6" s="11">
        <v>5.9</v>
      </c>
      <c r="N6" s="11">
        <v>5.8</v>
      </c>
    </row>
    <row r="7" spans="1:14" ht="15.6" x14ac:dyDescent="0.3">
      <c r="A7" s="12" t="s">
        <v>6</v>
      </c>
      <c r="B7" s="13">
        <v>7.8</v>
      </c>
      <c r="C7" s="13">
        <v>7</v>
      </c>
      <c r="D7" s="13">
        <v>5.9</v>
      </c>
      <c r="E7" s="13">
        <v>6.2</v>
      </c>
      <c r="F7" s="13">
        <v>4.5999999999999996</v>
      </c>
      <c r="G7" s="13">
        <v>4.5999999999999996</v>
      </c>
      <c r="H7" s="13">
        <v>4.3</v>
      </c>
      <c r="I7" s="13">
        <v>4.8</v>
      </c>
      <c r="J7" s="13">
        <v>4.7</v>
      </c>
      <c r="K7" s="13">
        <v>5.2</v>
      </c>
      <c r="L7" s="13">
        <v>5</v>
      </c>
      <c r="M7" s="13">
        <v>5.4</v>
      </c>
      <c r="N7" s="13">
        <v>5.2</v>
      </c>
    </row>
    <row r="8" spans="1:14" ht="15.6" x14ac:dyDescent="0.3">
      <c r="A8" s="12" t="s">
        <v>7</v>
      </c>
      <c r="B8" s="13">
        <v>0.8</v>
      </c>
      <c r="C8" s="13">
        <v>0.8</v>
      </c>
      <c r="D8" s="13">
        <v>0.6</v>
      </c>
      <c r="E8" s="13">
        <v>0.7</v>
      </c>
      <c r="F8" s="13">
        <v>0.5</v>
      </c>
      <c r="G8" s="13">
        <v>0.60000000000000053</v>
      </c>
      <c r="H8" s="13">
        <v>0.40000000000000036</v>
      </c>
      <c r="I8" s="13">
        <v>0.5</v>
      </c>
      <c r="J8" s="13">
        <v>0.39999999999999947</v>
      </c>
      <c r="K8" s="13">
        <v>0.5</v>
      </c>
      <c r="L8" s="13">
        <v>0.40000000000000036</v>
      </c>
      <c r="M8" s="13">
        <v>0.5</v>
      </c>
      <c r="N8" s="13">
        <v>0.59999999999999964</v>
      </c>
    </row>
    <row r="9" spans="1:14" ht="15.6" x14ac:dyDescent="0.3">
      <c r="A9" s="10" t="s">
        <v>8</v>
      </c>
      <c r="B9" s="11">
        <v>10.5</v>
      </c>
      <c r="C9" s="11">
        <v>8.9</v>
      </c>
      <c r="D9" s="11">
        <v>8.6999999999999993</v>
      </c>
      <c r="E9" s="11">
        <v>8.6</v>
      </c>
      <c r="F9" s="11">
        <v>12.1</v>
      </c>
      <c r="G9" s="11">
        <v>11.4</v>
      </c>
      <c r="H9" s="11">
        <v>11.4</v>
      </c>
      <c r="I9" s="11">
        <v>11.8</v>
      </c>
      <c r="J9" s="11">
        <v>9.8000000000000007</v>
      </c>
      <c r="K9" s="11">
        <v>10.199999999999999</v>
      </c>
      <c r="L9" s="11">
        <v>9.9</v>
      </c>
      <c r="M9" s="11">
        <v>9.6999999999999993</v>
      </c>
      <c r="N9" s="11">
        <v>8.5</v>
      </c>
    </row>
    <row r="10" spans="1:14" ht="15.6" x14ac:dyDescent="0.3">
      <c r="A10" s="10" t="s">
        <v>9</v>
      </c>
      <c r="B10" s="11">
        <v>0.2</v>
      </c>
      <c r="C10" s="11">
        <v>0.1</v>
      </c>
      <c r="D10" s="11">
        <v>0.2</v>
      </c>
      <c r="E10" s="11">
        <v>0.1</v>
      </c>
      <c r="F10" s="11">
        <v>0.6</v>
      </c>
      <c r="G10" s="11">
        <v>0.4</v>
      </c>
      <c r="H10" s="11">
        <v>0.5</v>
      </c>
      <c r="I10" s="11">
        <v>0.5</v>
      </c>
      <c r="J10" s="11">
        <v>0.4</v>
      </c>
      <c r="K10" s="11">
        <v>0.4</v>
      </c>
      <c r="L10" s="11">
        <v>0.4</v>
      </c>
      <c r="M10" s="11">
        <v>0.4</v>
      </c>
      <c r="N10" s="11">
        <v>0.4</v>
      </c>
    </row>
    <row r="11" spans="1:14" ht="15.6" x14ac:dyDescent="0.3">
      <c r="A11" s="10" t="s">
        <v>10</v>
      </c>
      <c r="B11" s="11">
        <v>1</v>
      </c>
      <c r="C11" s="11">
        <v>0.7</v>
      </c>
      <c r="D11" s="11">
        <v>0.7</v>
      </c>
      <c r="E11" s="11">
        <v>0.7</v>
      </c>
      <c r="F11" s="11">
        <v>0.5</v>
      </c>
      <c r="G11" s="11">
        <v>0.4</v>
      </c>
      <c r="H11" s="11">
        <v>0.4</v>
      </c>
      <c r="I11" s="11">
        <v>0.4</v>
      </c>
      <c r="J11" s="11">
        <v>0.4</v>
      </c>
      <c r="K11" s="11">
        <v>0.6</v>
      </c>
      <c r="L11" s="11">
        <v>0.5</v>
      </c>
      <c r="M11" s="11">
        <v>0.6</v>
      </c>
      <c r="N11" s="11">
        <v>0.6</v>
      </c>
    </row>
    <row r="12" spans="1:14" ht="15.6" x14ac:dyDescent="0.3">
      <c r="A12" s="8" t="s">
        <v>11</v>
      </c>
      <c r="B12" s="9">
        <v>19.3</v>
      </c>
      <c r="C12" s="9">
        <v>20.100000000000001</v>
      </c>
      <c r="D12" s="9">
        <v>22.2</v>
      </c>
      <c r="E12" s="9">
        <v>23.9</v>
      </c>
      <c r="F12" s="9">
        <v>20.100000000000001</v>
      </c>
      <c r="G12" s="9">
        <v>20.8</v>
      </c>
      <c r="H12" s="9">
        <v>19.8</v>
      </c>
      <c r="I12" s="9">
        <v>19.100000000000001</v>
      </c>
      <c r="J12" s="9">
        <v>21.6</v>
      </c>
      <c r="K12" s="9">
        <v>20.7</v>
      </c>
      <c r="L12" s="9">
        <v>22.1</v>
      </c>
      <c r="M12" s="9">
        <v>23</v>
      </c>
      <c r="N12" s="9">
        <v>22.9</v>
      </c>
    </row>
    <row r="13" spans="1:14" ht="15.6" x14ac:dyDescent="0.3">
      <c r="A13" s="10" t="s">
        <v>12</v>
      </c>
      <c r="B13" s="11">
        <v>5.9</v>
      </c>
      <c r="C13" s="11">
        <v>4.3</v>
      </c>
      <c r="D13" s="11">
        <v>3.8</v>
      </c>
      <c r="E13" s="11">
        <v>2.9</v>
      </c>
      <c r="F13" s="11">
        <v>3.3</v>
      </c>
      <c r="G13" s="11">
        <v>3.2</v>
      </c>
      <c r="H13" s="11">
        <v>3.2</v>
      </c>
      <c r="I13" s="11">
        <v>2.5</v>
      </c>
      <c r="J13" s="11">
        <v>3.3</v>
      </c>
      <c r="K13" s="11">
        <v>3</v>
      </c>
      <c r="L13" s="11">
        <v>2.9</v>
      </c>
      <c r="M13" s="11">
        <v>4</v>
      </c>
      <c r="N13" s="11">
        <v>4</v>
      </c>
    </row>
    <row r="14" spans="1:14" ht="15.6" x14ac:dyDescent="0.3">
      <c r="A14" s="10" t="s">
        <v>13</v>
      </c>
      <c r="B14" s="11">
        <v>0.7</v>
      </c>
      <c r="C14" s="11">
        <v>0.8</v>
      </c>
      <c r="D14" s="11">
        <v>0.9</v>
      </c>
      <c r="E14" s="11">
        <v>1.8</v>
      </c>
      <c r="F14" s="11">
        <v>0.5</v>
      </c>
      <c r="G14" s="11">
        <v>1</v>
      </c>
      <c r="H14" s="11">
        <v>0.6</v>
      </c>
      <c r="I14" s="11">
        <v>1.1000000000000001</v>
      </c>
      <c r="J14" s="11">
        <v>1.7</v>
      </c>
      <c r="K14" s="11">
        <v>1.4</v>
      </c>
      <c r="L14" s="11">
        <v>2.2999999999999998</v>
      </c>
      <c r="M14" s="11">
        <v>1.7</v>
      </c>
      <c r="N14" s="11">
        <v>1.6</v>
      </c>
    </row>
    <row r="15" spans="1:14" ht="15.6" x14ac:dyDescent="0.3">
      <c r="A15" s="10" t="s">
        <v>14</v>
      </c>
      <c r="B15" s="11">
        <v>0.4</v>
      </c>
      <c r="C15" s="11">
        <v>0.5</v>
      </c>
      <c r="D15" s="11">
        <v>0.8</v>
      </c>
      <c r="E15" s="11">
        <v>1.7</v>
      </c>
      <c r="F15" s="11">
        <v>0.9</v>
      </c>
      <c r="G15" s="11">
        <v>1.1000000000000001</v>
      </c>
      <c r="H15" s="11">
        <v>0.9</v>
      </c>
      <c r="I15" s="11">
        <v>1.3</v>
      </c>
      <c r="J15" s="11">
        <v>1.5</v>
      </c>
      <c r="K15" s="11">
        <v>1.3</v>
      </c>
      <c r="L15" s="11">
        <v>1.4</v>
      </c>
      <c r="M15" s="11">
        <v>1.3</v>
      </c>
      <c r="N15" s="11">
        <v>1.3</v>
      </c>
    </row>
    <row r="16" spans="1:14" ht="15.6" x14ac:dyDescent="0.3">
      <c r="A16" s="10" t="s">
        <v>15</v>
      </c>
      <c r="B16" s="11">
        <v>2.9</v>
      </c>
      <c r="C16" s="11">
        <v>4.5</v>
      </c>
      <c r="D16" s="11">
        <v>4.7</v>
      </c>
      <c r="E16" s="11">
        <v>6.5</v>
      </c>
      <c r="F16" s="11">
        <v>4.5</v>
      </c>
      <c r="G16" s="11">
        <v>4</v>
      </c>
      <c r="H16" s="11">
        <v>4.5</v>
      </c>
      <c r="I16" s="11">
        <v>4</v>
      </c>
      <c r="J16" s="11">
        <v>4.5</v>
      </c>
      <c r="K16" s="11">
        <v>4.3</v>
      </c>
      <c r="L16" s="11">
        <v>4.3</v>
      </c>
      <c r="M16" s="11">
        <v>4.9000000000000004</v>
      </c>
      <c r="N16" s="11">
        <v>4.4000000000000004</v>
      </c>
    </row>
    <row r="17" spans="1:14" ht="15.6" x14ac:dyDescent="0.3">
      <c r="A17" s="10" t="s">
        <v>16</v>
      </c>
      <c r="B17" s="11">
        <v>9.4</v>
      </c>
      <c r="C17" s="11">
        <v>10</v>
      </c>
      <c r="D17" s="11">
        <v>12</v>
      </c>
      <c r="E17" s="11">
        <v>11.1</v>
      </c>
      <c r="F17" s="11">
        <v>11</v>
      </c>
      <c r="G17" s="11">
        <v>11.600000000000001</v>
      </c>
      <c r="H17" s="11">
        <v>10.7</v>
      </c>
      <c r="I17" s="11">
        <v>10.199999999999999</v>
      </c>
      <c r="J17" s="11">
        <v>10.6</v>
      </c>
      <c r="K17" s="11">
        <v>10.7</v>
      </c>
      <c r="L17" s="11">
        <v>11.1</v>
      </c>
      <c r="M17" s="11">
        <v>11.100000000000001</v>
      </c>
      <c r="N17" s="11">
        <v>11.6</v>
      </c>
    </row>
    <row r="18" spans="1:14" ht="15.6" x14ac:dyDescent="0.3">
      <c r="A18" s="8" t="s">
        <v>17</v>
      </c>
      <c r="B18" s="9">
        <v>49.3</v>
      </c>
      <c r="C18" s="9">
        <v>49</v>
      </c>
      <c r="D18" s="9">
        <v>48.4</v>
      </c>
      <c r="E18" s="9">
        <v>46.4</v>
      </c>
      <c r="F18" s="9">
        <v>47.2</v>
      </c>
      <c r="G18" s="9">
        <v>47.1</v>
      </c>
      <c r="H18" s="9">
        <v>48.2</v>
      </c>
      <c r="I18" s="9">
        <v>47.9</v>
      </c>
      <c r="J18" s="9">
        <v>46.9</v>
      </c>
      <c r="K18" s="9">
        <v>47</v>
      </c>
      <c r="L18" s="9">
        <v>45.6</v>
      </c>
      <c r="M18" s="9">
        <v>45.2</v>
      </c>
      <c r="N18" s="9">
        <v>44.9</v>
      </c>
    </row>
    <row r="19" spans="1:14" ht="15.6" x14ac:dyDescent="0.3">
      <c r="A19" s="10" t="s">
        <v>18</v>
      </c>
      <c r="B19" s="11">
        <v>11.2</v>
      </c>
      <c r="C19" s="11">
        <v>11.3</v>
      </c>
      <c r="D19" s="11">
        <v>11.9</v>
      </c>
      <c r="E19" s="11">
        <v>10.9</v>
      </c>
      <c r="F19" s="11">
        <v>10.1</v>
      </c>
      <c r="G19" s="11">
        <v>10</v>
      </c>
      <c r="H19" s="11">
        <v>9.9</v>
      </c>
      <c r="I19" s="11">
        <v>8.9</v>
      </c>
      <c r="J19" s="11">
        <v>8.6</v>
      </c>
      <c r="K19" s="11">
        <v>8.5</v>
      </c>
      <c r="L19" s="11">
        <v>10</v>
      </c>
      <c r="M19" s="11">
        <v>9.6999999999999993</v>
      </c>
      <c r="N19" s="11">
        <v>9.4</v>
      </c>
    </row>
    <row r="20" spans="1:14" ht="15.6" x14ac:dyDescent="0.3">
      <c r="A20" s="10" t="s">
        <v>19</v>
      </c>
      <c r="B20" s="11">
        <v>3.6</v>
      </c>
      <c r="C20" s="11">
        <v>4.4000000000000004</v>
      </c>
      <c r="D20" s="11">
        <v>4.3</v>
      </c>
      <c r="E20" s="11">
        <v>4</v>
      </c>
      <c r="F20" s="11">
        <v>2.7</v>
      </c>
      <c r="G20" s="11">
        <v>2.7</v>
      </c>
      <c r="H20" s="11">
        <v>2</v>
      </c>
      <c r="I20" s="11">
        <v>1.9</v>
      </c>
      <c r="J20" s="11">
        <v>2</v>
      </c>
      <c r="K20" s="11">
        <v>2.1</v>
      </c>
      <c r="L20" s="11">
        <v>2.2000000000000002</v>
      </c>
      <c r="M20" s="11">
        <v>2.1</v>
      </c>
      <c r="N20" s="11">
        <v>2.1</v>
      </c>
    </row>
    <row r="21" spans="1:14" ht="15.6" x14ac:dyDescent="0.3">
      <c r="A21" s="10" t="s">
        <v>20</v>
      </c>
      <c r="B21" s="11">
        <v>16.3</v>
      </c>
      <c r="C21" s="11">
        <v>14.5</v>
      </c>
      <c r="D21" s="11">
        <v>13.9</v>
      </c>
      <c r="E21" s="11">
        <v>13.8</v>
      </c>
      <c r="F21" s="11">
        <v>14</v>
      </c>
      <c r="G21" s="11">
        <v>14.7</v>
      </c>
      <c r="H21" s="11">
        <v>16.2</v>
      </c>
      <c r="I21" s="11">
        <v>17.100000000000001</v>
      </c>
      <c r="J21" s="11">
        <v>15.8</v>
      </c>
      <c r="K21" s="11">
        <v>17</v>
      </c>
      <c r="L21" s="11">
        <v>15</v>
      </c>
      <c r="M21" s="11">
        <v>15.2</v>
      </c>
      <c r="N21" s="11">
        <v>15</v>
      </c>
    </row>
    <row r="22" spans="1:14" ht="15.6" x14ac:dyDescent="0.3">
      <c r="A22" s="10" t="s">
        <v>21</v>
      </c>
      <c r="B22" s="11">
        <v>18.2</v>
      </c>
      <c r="C22" s="11">
        <v>18.7</v>
      </c>
      <c r="D22" s="11">
        <v>18.2</v>
      </c>
      <c r="E22" s="11">
        <v>17.7</v>
      </c>
      <c r="F22" s="11">
        <v>20.3</v>
      </c>
      <c r="G22" s="11">
        <v>19.8</v>
      </c>
      <c r="H22" s="11">
        <v>20.2</v>
      </c>
      <c r="I22" s="11">
        <v>20.100000000000001</v>
      </c>
      <c r="J22" s="11">
        <v>20.5</v>
      </c>
      <c r="K22" s="11">
        <v>19.399999999999999</v>
      </c>
      <c r="L22" s="11">
        <v>18.3</v>
      </c>
      <c r="M22" s="11">
        <v>18.2</v>
      </c>
      <c r="N22" s="11">
        <v>18.399999999999999</v>
      </c>
    </row>
    <row r="23" spans="1:14" ht="15.6" x14ac:dyDescent="0.3">
      <c r="A23" s="8" t="s">
        <v>22</v>
      </c>
      <c r="B23" s="9">
        <v>88.8</v>
      </c>
      <c r="C23" s="9">
        <v>86.6</v>
      </c>
      <c r="D23" s="9">
        <v>86.6</v>
      </c>
      <c r="E23" s="9">
        <v>86.5</v>
      </c>
      <c r="F23" s="9">
        <v>85.700000000000017</v>
      </c>
      <c r="G23" s="9">
        <v>85.300000000000011</v>
      </c>
      <c r="H23" s="9">
        <v>85</v>
      </c>
      <c r="I23" s="9">
        <v>84.9</v>
      </c>
      <c r="J23" s="9">
        <v>84.2</v>
      </c>
      <c r="K23" s="9">
        <v>84.6</v>
      </c>
      <c r="L23" s="9">
        <v>83.9</v>
      </c>
      <c r="M23" s="9">
        <v>84.9</v>
      </c>
      <c r="N23" s="9">
        <v>83</v>
      </c>
    </row>
    <row r="24" spans="1:14" ht="15.6" x14ac:dyDescent="0.3">
      <c r="A24" s="10" t="s">
        <v>23</v>
      </c>
      <c r="B24" s="11">
        <v>5.7</v>
      </c>
      <c r="C24" s="11">
        <v>6.2</v>
      </c>
      <c r="D24" s="11">
        <v>6.1</v>
      </c>
      <c r="E24" s="11">
        <v>6.1</v>
      </c>
      <c r="F24" s="11">
        <v>6.5</v>
      </c>
      <c r="G24" s="11">
        <v>6.9</v>
      </c>
      <c r="H24" s="11">
        <v>7</v>
      </c>
      <c r="I24" s="11">
        <v>7.2</v>
      </c>
      <c r="J24" s="11">
        <v>7.6</v>
      </c>
      <c r="K24" s="11">
        <v>7.7</v>
      </c>
      <c r="L24" s="11">
        <v>7.6</v>
      </c>
      <c r="M24" s="11">
        <v>6.9</v>
      </c>
      <c r="N24" s="11">
        <v>7</v>
      </c>
    </row>
    <row r="25" spans="1:14" ht="15.6" x14ac:dyDescent="0.3">
      <c r="A25" s="10" t="s">
        <v>24</v>
      </c>
      <c r="B25" s="11">
        <v>0.4</v>
      </c>
      <c r="C25" s="11">
        <v>0.4</v>
      </c>
      <c r="D25" s="11">
        <v>0.4</v>
      </c>
      <c r="E25" s="11">
        <v>0.4</v>
      </c>
      <c r="F25" s="11">
        <v>0.4</v>
      </c>
      <c r="G25" s="11">
        <v>0.5</v>
      </c>
      <c r="H25" s="11">
        <v>0.5</v>
      </c>
      <c r="I25" s="11">
        <v>0.5</v>
      </c>
      <c r="J25" s="11">
        <v>0.5</v>
      </c>
      <c r="K25" s="11">
        <v>0.9</v>
      </c>
      <c r="L25" s="11">
        <v>0.9</v>
      </c>
      <c r="M25" s="11">
        <v>0.8</v>
      </c>
      <c r="N25" s="11">
        <v>0.8</v>
      </c>
    </row>
    <row r="26" spans="1:14" ht="15.6" x14ac:dyDescent="0.3">
      <c r="A26" s="8" t="s">
        <v>25</v>
      </c>
      <c r="B26" s="9">
        <v>6.1000000000000005</v>
      </c>
      <c r="C26" s="9">
        <v>6.6000000000000005</v>
      </c>
      <c r="D26" s="9">
        <v>6.5</v>
      </c>
      <c r="E26" s="9">
        <v>6.5</v>
      </c>
      <c r="F26" s="9">
        <v>6.9</v>
      </c>
      <c r="G26" s="9">
        <v>7.4</v>
      </c>
      <c r="H26" s="9">
        <v>7.5</v>
      </c>
      <c r="I26" s="9">
        <v>7.7</v>
      </c>
      <c r="J26" s="9">
        <v>8.1</v>
      </c>
      <c r="K26" s="9">
        <v>8.6</v>
      </c>
      <c r="L26" s="9">
        <v>8.5</v>
      </c>
      <c r="M26" s="9">
        <v>7.7</v>
      </c>
      <c r="N26" s="9">
        <v>7.8</v>
      </c>
    </row>
    <row r="27" spans="1:14" ht="15.6" x14ac:dyDescent="0.3">
      <c r="A27" s="8" t="s">
        <v>26</v>
      </c>
      <c r="B27" s="9">
        <v>5.0999999999999996</v>
      </c>
      <c r="C27" s="9">
        <v>6.8</v>
      </c>
      <c r="D27" s="9">
        <v>6.9</v>
      </c>
      <c r="E27" s="9">
        <v>7</v>
      </c>
      <c r="F27" s="9">
        <v>7.4</v>
      </c>
      <c r="G27" s="9">
        <v>7.3</v>
      </c>
      <c r="H27" s="9">
        <v>7.5</v>
      </c>
      <c r="I27" s="9">
        <v>7.4</v>
      </c>
      <c r="J27" s="9">
        <v>7.7</v>
      </c>
      <c r="K27" s="9">
        <v>6.8</v>
      </c>
      <c r="L27" s="9">
        <v>7.6</v>
      </c>
      <c r="M27" s="9">
        <v>7.4</v>
      </c>
      <c r="N27" s="9">
        <v>9.1999999999999993</v>
      </c>
    </row>
    <row r="28" spans="1:14" ht="15.6" x14ac:dyDescent="0.3">
      <c r="A28" s="14" t="s">
        <v>27</v>
      </c>
      <c r="B28" s="15">
        <v>100</v>
      </c>
      <c r="C28" s="15">
        <v>100</v>
      </c>
      <c r="D28" s="15">
        <v>100</v>
      </c>
      <c r="E28" s="15">
        <v>100</v>
      </c>
      <c r="F28" s="15">
        <v>100.00000000000001</v>
      </c>
      <c r="G28" s="15">
        <v>100.00000000000001</v>
      </c>
      <c r="H28" s="15">
        <v>100</v>
      </c>
      <c r="I28" s="15">
        <v>100</v>
      </c>
      <c r="J28" s="15">
        <v>100</v>
      </c>
      <c r="K28" s="15">
        <v>100</v>
      </c>
      <c r="L28" s="15">
        <v>100</v>
      </c>
      <c r="M28" s="15">
        <v>100</v>
      </c>
      <c r="N28" s="15">
        <v>100</v>
      </c>
    </row>
    <row r="29" spans="1:14" ht="15.6" x14ac:dyDescent="0.3">
      <c r="A29" s="16" t="s">
        <v>28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">
      <c r="A31" s="18" t="s">
        <v>29</v>
      </c>
      <c r="B31" s="18"/>
      <c r="C31" s="18"/>
      <c r="D31" s="18"/>
      <c r="E31" s="18"/>
      <c r="F31" s="18"/>
      <c r="G31" s="18"/>
      <c r="L31" s="2"/>
      <c r="M31" s="2"/>
      <c r="N31" s="2"/>
    </row>
    <row r="32" spans="1:14" ht="15.6" x14ac:dyDescent="0.3">
      <c r="A32" s="19" t="s">
        <v>2</v>
      </c>
      <c r="B32" s="20">
        <v>2015</v>
      </c>
      <c r="C32" s="20">
        <v>2016</v>
      </c>
      <c r="D32" s="20">
        <v>2017</v>
      </c>
      <c r="E32" s="20">
        <v>2018</v>
      </c>
      <c r="F32" s="20">
        <v>2019</v>
      </c>
      <c r="G32" s="20">
        <v>2020</v>
      </c>
      <c r="H32" s="20">
        <v>2021</v>
      </c>
      <c r="I32" s="20">
        <v>2022</v>
      </c>
      <c r="J32" s="20">
        <v>2023</v>
      </c>
      <c r="K32" s="20">
        <v>2024</v>
      </c>
      <c r="L32" s="2"/>
      <c r="M32" s="2"/>
      <c r="N32" s="2"/>
    </row>
    <row r="33" spans="1:14" ht="15.6" x14ac:dyDescent="0.3">
      <c r="A33" s="21" t="s">
        <v>30</v>
      </c>
      <c r="B33" s="22" t="s">
        <v>31</v>
      </c>
      <c r="C33" s="22" t="s">
        <v>31</v>
      </c>
      <c r="D33" s="22" t="s">
        <v>31</v>
      </c>
      <c r="E33" s="22" t="s">
        <v>31</v>
      </c>
      <c r="F33" s="22" t="s">
        <v>31</v>
      </c>
      <c r="G33" s="22" t="s">
        <v>32</v>
      </c>
      <c r="H33" s="22" t="s">
        <v>31</v>
      </c>
      <c r="I33" s="22" t="s">
        <v>31</v>
      </c>
      <c r="J33" s="22" t="s">
        <v>33</v>
      </c>
      <c r="K33" s="22" t="s">
        <v>34</v>
      </c>
      <c r="L33" s="2"/>
      <c r="M33" s="2"/>
      <c r="N33" s="2"/>
    </row>
    <row r="34" spans="1:14" ht="15.6" x14ac:dyDescent="0.3">
      <c r="A34" s="23" t="s">
        <v>35</v>
      </c>
      <c r="B34" s="24">
        <v>20.12155783018077</v>
      </c>
      <c r="C34" s="24">
        <v>20.820713814142024</v>
      </c>
      <c r="D34" s="24">
        <v>19.808562653240742</v>
      </c>
      <c r="E34" s="24">
        <v>19.111681889397815</v>
      </c>
      <c r="F34" s="24">
        <v>21.6</v>
      </c>
      <c r="G34" s="24">
        <v>20.7</v>
      </c>
      <c r="H34" s="24">
        <v>22.1</v>
      </c>
      <c r="I34" s="24">
        <v>23</v>
      </c>
      <c r="J34" s="24">
        <v>22.9</v>
      </c>
      <c r="K34" s="24">
        <v>22.7</v>
      </c>
      <c r="L34" s="2"/>
      <c r="M34" s="2"/>
      <c r="N34" s="2"/>
    </row>
    <row r="35" spans="1:14" ht="15.6" x14ac:dyDescent="0.3">
      <c r="A35" s="25" t="s">
        <v>12</v>
      </c>
      <c r="B35" s="26">
        <v>3.304810128283354</v>
      </c>
      <c r="C35" s="26">
        <v>3.1788307833547038</v>
      </c>
      <c r="D35" s="26">
        <v>3.1734068021973365</v>
      </c>
      <c r="E35" s="26">
        <v>2.4589813180620266</v>
      </c>
      <c r="F35" s="26">
        <v>3.3</v>
      </c>
      <c r="G35" s="26">
        <v>3</v>
      </c>
      <c r="H35" s="26">
        <v>2.9</v>
      </c>
      <c r="I35" s="26">
        <v>4</v>
      </c>
      <c r="J35" s="26">
        <v>4</v>
      </c>
      <c r="K35" s="26">
        <v>3.9</v>
      </c>
      <c r="L35" s="2"/>
      <c r="M35" s="2"/>
      <c r="N35" s="2"/>
    </row>
    <row r="36" spans="1:14" ht="15.6" x14ac:dyDescent="0.3">
      <c r="A36" s="27" t="s">
        <v>36</v>
      </c>
      <c r="B36" s="28">
        <v>1.0925791561489218</v>
      </c>
      <c r="C36" s="28">
        <v>0.8422877059694992</v>
      </c>
      <c r="D36" s="28">
        <v>1.7815021208923216</v>
      </c>
      <c r="E36" s="28">
        <v>2.5500943407457979</v>
      </c>
      <c r="F36" s="28">
        <v>0.9</v>
      </c>
      <c r="G36" s="28">
        <v>1.4</v>
      </c>
      <c r="H36" s="28">
        <v>1</v>
      </c>
      <c r="I36" s="28">
        <v>1.3</v>
      </c>
      <c r="J36" s="28">
        <v>1.2</v>
      </c>
      <c r="K36" s="28">
        <v>1.2</v>
      </c>
      <c r="L36" s="2"/>
      <c r="M36" s="2"/>
      <c r="N36" s="2"/>
    </row>
    <row r="37" spans="1:14" ht="15.6" x14ac:dyDescent="0.3">
      <c r="A37" s="25" t="s">
        <v>16</v>
      </c>
      <c r="B37" s="26">
        <f t="shared" ref="B37:E37" si="0">B38+B39</f>
        <v>11.430599016841203</v>
      </c>
      <c r="C37" s="26">
        <f t="shared" si="0"/>
        <v>12.543034299052266</v>
      </c>
      <c r="D37" s="26">
        <f t="shared" si="0"/>
        <v>11.2836181003932</v>
      </c>
      <c r="E37" s="26">
        <f t="shared" si="0"/>
        <v>11.290984342232594</v>
      </c>
      <c r="F37" s="26">
        <f>F38+F39</f>
        <v>12.299999999999999</v>
      </c>
      <c r="G37" s="26">
        <f t="shared" ref="G37:K37" si="1">G38+G39</f>
        <v>12.1</v>
      </c>
      <c r="H37" s="26">
        <f t="shared" si="1"/>
        <v>13.5</v>
      </c>
      <c r="I37" s="26">
        <f t="shared" si="1"/>
        <v>12.799999999999999</v>
      </c>
      <c r="J37" s="26">
        <f t="shared" si="1"/>
        <v>13.2</v>
      </c>
      <c r="K37" s="26">
        <f t="shared" si="1"/>
        <v>13.299999999999999</v>
      </c>
      <c r="L37" s="2"/>
      <c r="M37" s="2"/>
      <c r="N37" s="2"/>
    </row>
    <row r="38" spans="1:14" ht="15.6" x14ac:dyDescent="0.3">
      <c r="A38" s="27" t="s">
        <v>13</v>
      </c>
      <c r="B38" s="28">
        <v>0.45842618908619231</v>
      </c>
      <c r="C38" s="28">
        <v>0.95456743019441992</v>
      </c>
      <c r="D38" s="28">
        <v>0.57696129041504385</v>
      </c>
      <c r="E38" s="28">
        <v>1.067577986816814</v>
      </c>
      <c r="F38" s="28">
        <v>1.7</v>
      </c>
      <c r="G38" s="28">
        <v>1.4</v>
      </c>
      <c r="H38" s="28">
        <v>2.2999999999999998</v>
      </c>
      <c r="I38" s="28">
        <v>1.7</v>
      </c>
      <c r="J38" s="28">
        <v>1.6</v>
      </c>
      <c r="K38" s="28">
        <v>1.7</v>
      </c>
      <c r="L38" s="2"/>
      <c r="M38" s="2"/>
      <c r="N38" s="2"/>
    </row>
    <row r="39" spans="1:14" ht="15.6" x14ac:dyDescent="0.3">
      <c r="A39" s="27" t="s">
        <v>37</v>
      </c>
      <c r="B39" s="28">
        <v>10.97217282775501</v>
      </c>
      <c r="C39" s="28">
        <v>11.588466868857846</v>
      </c>
      <c r="D39" s="28">
        <v>10.706656809978156</v>
      </c>
      <c r="E39" s="28">
        <v>10.223406355415781</v>
      </c>
      <c r="F39" s="28">
        <v>10.6</v>
      </c>
      <c r="G39" s="28">
        <v>10.7</v>
      </c>
      <c r="H39" s="28">
        <v>11.2</v>
      </c>
      <c r="I39" s="28">
        <v>11.1</v>
      </c>
      <c r="J39" s="28">
        <v>11.6</v>
      </c>
      <c r="K39" s="28">
        <v>11.6</v>
      </c>
      <c r="L39" s="2"/>
      <c r="M39" s="2"/>
      <c r="N39" s="2"/>
    </row>
    <row r="40" spans="1:14" ht="15.6" x14ac:dyDescent="0.3">
      <c r="A40" s="29" t="s">
        <v>38</v>
      </c>
      <c r="B40" s="28">
        <v>5.4225101505860867</v>
      </c>
      <c r="C40" s="28">
        <v>6.102466748453665</v>
      </c>
      <c r="D40" s="28">
        <v>6.1615399128817163</v>
      </c>
      <c r="E40" s="28">
        <v>5.8288192835665349</v>
      </c>
      <c r="F40" s="28">
        <v>5.9</v>
      </c>
      <c r="G40" s="28">
        <v>5.6</v>
      </c>
      <c r="H40" s="28">
        <v>5.8</v>
      </c>
      <c r="I40" s="28">
        <v>5.5</v>
      </c>
      <c r="J40" s="28">
        <v>5.8</v>
      </c>
      <c r="K40" s="28">
        <v>5.8</v>
      </c>
      <c r="L40" s="2"/>
      <c r="M40" s="2"/>
      <c r="N40" s="2"/>
    </row>
    <row r="41" spans="1:14" ht="15.6" x14ac:dyDescent="0.3">
      <c r="A41" s="29" t="s">
        <v>39</v>
      </c>
      <c r="B41" s="28">
        <v>0.38165694203286843</v>
      </c>
      <c r="C41" s="28">
        <v>0.56798076293932742</v>
      </c>
      <c r="D41" s="28">
        <v>0.15735784951203194</v>
      </c>
      <c r="E41" s="28">
        <v>0.15507857093789432</v>
      </c>
      <c r="F41" s="28">
        <v>0.1</v>
      </c>
      <c r="G41" s="28">
        <v>0.2</v>
      </c>
      <c r="H41" s="28">
        <v>0.2</v>
      </c>
      <c r="I41" s="28">
        <v>0.1</v>
      </c>
      <c r="J41" s="28">
        <v>0.2</v>
      </c>
      <c r="K41" s="28">
        <v>0.2</v>
      </c>
      <c r="L41" s="2"/>
      <c r="M41" s="2"/>
      <c r="N41" s="2"/>
    </row>
    <row r="42" spans="1:14" ht="15.6" x14ac:dyDescent="0.3">
      <c r="A42" s="29" t="s">
        <v>40</v>
      </c>
      <c r="B42" s="28">
        <v>0.64053256016209192</v>
      </c>
      <c r="C42" s="28">
        <v>0.58513156143972012</v>
      </c>
      <c r="D42" s="28">
        <v>0.55632941047756457</v>
      </c>
      <c r="E42" s="28">
        <v>0.59893368331479169</v>
      </c>
      <c r="F42" s="28">
        <v>0.6</v>
      </c>
      <c r="G42" s="28">
        <v>0.6</v>
      </c>
      <c r="H42" s="28">
        <v>0.5</v>
      </c>
      <c r="I42" s="28">
        <v>0.4</v>
      </c>
      <c r="J42" s="28">
        <v>0.5</v>
      </c>
      <c r="K42" s="28">
        <v>0.5</v>
      </c>
      <c r="L42" s="2"/>
      <c r="M42" s="2"/>
      <c r="N42" s="2"/>
    </row>
    <row r="43" spans="1:14" ht="15.6" x14ac:dyDescent="0.3">
      <c r="A43" s="29" t="s">
        <v>41</v>
      </c>
      <c r="B43" s="28">
        <v>0.82889299993609333</v>
      </c>
      <c r="C43" s="28">
        <v>0.62803295923328395</v>
      </c>
      <c r="D43" s="28">
        <v>0.57547235805268249</v>
      </c>
      <c r="E43" s="28">
        <v>0.69621387712947314</v>
      </c>
      <c r="F43" s="28">
        <v>0.7</v>
      </c>
      <c r="G43" s="28">
        <v>0.6</v>
      </c>
      <c r="H43" s="28">
        <v>0.7</v>
      </c>
      <c r="I43" s="28">
        <v>0.5</v>
      </c>
      <c r="J43" s="28">
        <v>0.6</v>
      </c>
      <c r="K43" s="28">
        <v>0.6</v>
      </c>
      <c r="L43" s="2"/>
      <c r="M43" s="2"/>
      <c r="N43" s="2"/>
    </row>
    <row r="44" spans="1:14" ht="15.6" x14ac:dyDescent="0.3">
      <c r="A44" s="29" t="s">
        <v>42</v>
      </c>
      <c r="B44" s="28">
        <v>0.17714815722610566</v>
      </c>
      <c r="C44" s="28">
        <v>0.24245372709335691</v>
      </c>
      <c r="D44" s="28">
        <v>0.27957164793361278</v>
      </c>
      <c r="E44" s="28">
        <v>0.3873395712798916</v>
      </c>
      <c r="F44" s="28">
        <v>0.4</v>
      </c>
      <c r="G44" s="28">
        <v>0.3</v>
      </c>
      <c r="H44" s="28">
        <v>0.5</v>
      </c>
      <c r="I44" s="28">
        <v>0.7</v>
      </c>
      <c r="J44" s="28">
        <v>0.8</v>
      </c>
      <c r="K44" s="28">
        <v>0.8</v>
      </c>
      <c r="L44" s="2"/>
      <c r="M44" s="2"/>
      <c r="N44" s="2"/>
    </row>
    <row r="45" spans="1:14" ht="15.6" x14ac:dyDescent="0.3">
      <c r="A45" s="29" t="s">
        <v>43</v>
      </c>
      <c r="B45" s="28">
        <v>0.30113673051834522</v>
      </c>
      <c r="C45" s="28">
        <v>0.4021374217490461</v>
      </c>
      <c r="D45" s="28">
        <v>0.30301085408735057</v>
      </c>
      <c r="E45" s="28">
        <v>0.32879056588235134</v>
      </c>
      <c r="F45" s="28">
        <v>0.4</v>
      </c>
      <c r="G45" s="28">
        <v>0.4</v>
      </c>
      <c r="H45" s="28">
        <v>0.5</v>
      </c>
      <c r="I45" s="28">
        <v>0.5</v>
      </c>
      <c r="J45" s="28">
        <v>0.6</v>
      </c>
      <c r="K45" s="28">
        <v>0.6</v>
      </c>
      <c r="L45" s="2"/>
      <c r="M45" s="2"/>
      <c r="N45" s="2"/>
    </row>
    <row r="46" spans="1:14" ht="15.6" x14ac:dyDescent="0.3">
      <c r="A46" s="29" t="s">
        <v>44</v>
      </c>
      <c r="B46" s="28">
        <v>3.2202952872934199</v>
      </c>
      <c r="C46" s="28">
        <v>3.060263687949448</v>
      </c>
      <c r="D46" s="28">
        <v>2.6733747770331986</v>
      </c>
      <c r="E46" s="28">
        <v>2.2282308033048439</v>
      </c>
      <c r="F46" s="28">
        <v>2.4</v>
      </c>
      <c r="G46" s="28">
        <v>2.9</v>
      </c>
      <c r="H46" s="28">
        <v>2.9</v>
      </c>
      <c r="I46" s="28">
        <v>3.2</v>
      </c>
      <c r="J46" s="28">
        <v>3.3</v>
      </c>
      <c r="K46" s="28">
        <v>3.3</v>
      </c>
      <c r="L46" s="2"/>
      <c r="M46" s="2"/>
      <c r="N46" s="2"/>
    </row>
    <row r="47" spans="1:14" ht="15.6" x14ac:dyDescent="0.3">
      <c r="A47" s="25" t="s">
        <v>45</v>
      </c>
      <c r="B47" s="26">
        <v>0.88379884980514389</v>
      </c>
      <c r="C47" s="26">
        <v>1.1101830391082477</v>
      </c>
      <c r="D47" s="26">
        <v>0.87642363169165638</v>
      </c>
      <c r="E47" s="26">
        <v>1.3431170140573294</v>
      </c>
      <c r="F47" s="26">
        <v>1.5</v>
      </c>
      <c r="G47" s="26">
        <v>1.3</v>
      </c>
      <c r="H47" s="26">
        <v>1.4</v>
      </c>
      <c r="I47" s="26">
        <v>1.3</v>
      </c>
      <c r="J47" s="26">
        <v>1.3</v>
      </c>
      <c r="K47" s="26">
        <v>1.3</v>
      </c>
      <c r="L47" s="2"/>
      <c r="M47" s="2"/>
      <c r="N47" s="2"/>
    </row>
    <row r="48" spans="1:14" ht="15.6" x14ac:dyDescent="0.3">
      <c r="A48" s="25" t="s">
        <v>15</v>
      </c>
      <c r="B48" s="26">
        <v>4.5023498352510689</v>
      </c>
      <c r="C48" s="26">
        <v>3.9886656926268054</v>
      </c>
      <c r="D48" s="26">
        <v>4.4751141189585466</v>
      </c>
      <c r="E48" s="26">
        <v>4.0185992150458638</v>
      </c>
      <c r="F48" s="26">
        <v>4.5</v>
      </c>
      <c r="G48" s="26">
        <v>4.3</v>
      </c>
      <c r="H48" s="26">
        <v>4.3</v>
      </c>
      <c r="I48" s="26">
        <v>4.9000000000000004</v>
      </c>
      <c r="J48" s="26">
        <v>4.4000000000000004</v>
      </c>
      <c r="K48" s="26">
        <v>4.2</v>
      </c>
      <c r="L48" s="2"/>
      <c r="M48" s="2"/>
      <c r="N48" s="2"/>
    </row>
    <row r="49" spans="1:14" ht="15.6" x14ac:dyDescent="0.3">
      <c r="A49" s="30" t="s">
        <v>46</v>
      </c>
      <c r="B49" s="31"/>
      <c r="C49" s="31"/>
      <c r="D49" s="31"/>
      <c r="E49" s="31"/>
      <c r="L49" s="2"/>
      <c r="M49" s="2"/>
      <c r="N49" s="2"/>
    </row>
    <row r="50" spans="1:14" ht="15.6" x14ac:dyDescent="0.3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2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7.399999999999999" x14ac:dyDescent="0.3">
      <c r="A52" s="34" t="s">
        <v>47</v>
      </c>
      <c r="B52" s="2"/>
      <c r="C52" s="35"/>
      <c r="D52" s="35"/>
      <c r="E52" s="35"/>
      <c r="F52" s="35"/>
      <c r="G52" s="35"/>
      <c r="H52" s="35"/>
      <c r="I52" s="2"/>
      <c r="J52" s="2"/>
      <c r="K52" s="2"/>
      <c r="L52" s="2"/>
      <c r="M52" s="2"/>
      <c r="N52" s="2"/>
    </row>
    <row r="53" spans="1:14" ht="15.6" x14ac:dyDescent="0.3">
      <c r="A53" s="7" t="s">
        <v>2</v>
      </c>
      <c r="B53" s="7">
        <v>2015</v>
      </c>
      <c r="C53" s="7">
        <v>2016</v>
      </c>
      <c r="D53" s="7">
        <v>2017</v>
      </c>
      <c r="E53" s="7">
        <v>2018</v>
      </c>
      <c r="F53" s="7">
        <v>2019</v>
      </c>
      <c r="G53" s="7">
        <v>2020</v>
      </c>
      <c r="H53" s="7">
        <v>2021</v>
      </c>
      <c r="I53" s="7">
        <v>2022</v>
      </c>
      <c r="J53" s="7" t="s">
        <v>48</v>
      </c>
      <c r="K53" s="7">
        <v>2024</v>
      </c>
      <c r="L53" s="2"/>
      <c r="M53" s="2"/>
      <c r="N53" s="2"/>
    </row>
    <row r="54" spans="1:14" ht="15.6" x14ac:dyDescent="0.3">
      <c r="A54" s="36" t="s">
        <v>49</v>
      </c>
      <c r="B54" s="37">
        <v>4136.4450000000006</v>
      </c>
      <c r="C54" s="37">
        <v>4255.0510000000004</v>
      </c>
      <c r="D54" s="37">
        <v>4352.5910000000003</v>
      </c>
      <c r="E54" s="37">
        <v>4461.7640000000001</v>
      </c>
      <c r="F54" s="37">
        <v>4592.8460000000005</v>
      </c>
      <c r="G54" s="37">
        <v>4724.3119999999999</v>
      </c>
      <c r="H54" s="37">
        <v>4849.1029999999992</v>
      </c>
      <c r="I54" s="37">
        <v>4992.5010000000002</v>
      </c>
      <c r="J54" s="37">
        <v>5140</v>
      </c>
      <c r="K54" s="37"/>
      <c r="L54" s="2"/>
      <c r="M54" s="2"/>
      <c r="N54" s="2"/>
    </row>
    <row r="55" spans="1:14" ht="15.6" x14ac:dyDescent="0.3">
      <c r="A55" s="12" t="s">
        <v>50</v>
      </c>
      <c r="B55" s="38">
        <v>1814.1110000000001</v>
      </c>
      <c r="C55" s="38">
        <v>1861.3050000000001</v>
      </c>
      <c r="D55" s="38">
        <v>1909.7460000000001</v>
      </c>
      <c r="E55" s="38">
        <v>1959.2829999999999</v>
      </c>
      <c r="F55" s="38">
        <v>2016.18</v>
      </c>
      <c r="G55" s="38">
        <v>2074.2330000000002</v>
      </c>
      <c r="H55" s="38">
        <v>2133.596</v>
      </c>
      <c r="I55" s="38">
        <v>2194.7370000000001</v>
      </c>
      <c r="J55" s="38">
        <v>2258</v>
      </c>
      <c r="K55" s="38"/>
      <c r="L55" s="2"/>
      <c r="M55" s="2"/>
      <c r="N55" s="2"/>
    </row>
    <row r="56" spans="1:14" ht="15.6" x14ac:dyDescent="0.3">
      <c r="A56" s="12" t="s">
        <v>51</v>
      </c>
      <c r="B56" s="38">
        <v>2118.078</v>
      </c>
      <c r="C56" s="38">
        <v>2172</v>
      </c>
      <c r="D56" s="38">
        <v>2227.998</v>
      </c>
      <c r="E56" s="38">
        <v>2285.8519999999999</v>
      </c>
      <c r="F56" s="38">
        <v>2352.8389999999999</v>
      </c>
      <c r="G56" s="38">
        <v>2418.1770000000001</v>
      </c>
      <c r="H56" s="38">
        <v>2478.5619999999999</v>
      </c>
      <c r="I56" s="38">
        <v>2552.8649999999998</v>
      </c>
      <c r="J56" s="38">
        <v>2629</v>
      </c>
      <c r="K56" s="38"/>
      <c r="L56" s="2"/>
      <c r="M56" s="2"/>
      <c r="N56" s="2"/>
    </row>
    <row r="57" spans="1:14" ht="15.6" x14ac:dyDescent="0.3">
      <c r="A57" s="12" t="s">
        <v>52</v>
      </c>
      <c r="B57" s="38">
        <v>204.256</v>
      </c>
      <c r="C57" s="38">
        <v>221.74600000000001</v>
      </c>
      <c r="D57" s="38">
        <v>214.84700000000001</v>
      </c>
      <c r="E57" s="38">
        <v>216.62899999999999</v>
      </c>
      <c r="F57" s="38">
        <v>223.827</v>
      </c>
      <c r="G57" s="38">
        <v>231.90199999999999</v>
      </c>
      <c r="H57" s="38">
        <v>236.94499999999999</v>
      </c>
      <c r="I57" s="38">
        <v>244.899</v>
      </c>
      <c r="J57" s="38">
        <v>253</v>
      </c>
      <c r="K57" s="38"/>
      <c r="L57" s="2"/>
      <c r="M57" s="2"/>
      <c r="N57" s="2"/>
    </row>
    <row r="58" spans="1:14" ht="15.6" x14ac:dyDescent="0.3">
      <c r="A58" s="36" t="s">
        <v>35</v>
      </c>
      <c r="B58" s="37">
        <v>1003</v>
      </c>
      <c r="C58" s="37">
        <v>1054.383</v>
      </c>
      <c r="D58" s="37">
        <v>1082</v>
      </c>
      <c r="E58" s="37">
        <v>1145</v>
      </c>
      <c r="F58" s="37">
        <v>1191</v>
      </c>
      <c r="G58" s="37">
        <v>1238</v>
      </c>
      <c r="H58" s="37">
        <v>1266</v>
      </c>
      <c r="I58" s="37">
        <v>1314.0000000000002</v>
      </c>
      <c r="J58" s="37">
        <v>1364</v>
      </c>
      <c r="K58" s="37"/>
      <c r="L58" s="39"/>
      <c r="M58" s="2"/>
      <c r="N58" s="2"/>
    </row>
    <row r="59" spans="1:14" ht="15.6" x14ac:dyDescent="0.3">
      <c r="A59" s="12" t="s">
        <v>53</v>
      </c>
      <c r="B59" s="38">
        <v>101.294</v>
      </c>
      <c r="C59" s="38">
        <v>106.739</v>
      </c>
      <c r="D59" s="38">
        <v>109.834</v>
      </c>
      <c r="E59" s="38">
        <v>110.968</v>
      </c>
      <c r="F59" s="38">
        <v>116.598</v>
      </c>
      <c r="G59" s="38">
        <v>118.642</v>
      </c>
      <c r="H59" s="38">
        <v>122.21599999999999</v>
      </c>
      <c r="I59" s="38">
        <v>122.282</v>
      </c>
      <c r="J59" s="38"/>
      <c r="K59" s="40"/>
      <c r="L59" s="2"/>
      <c r="M59" s="2"/>
      <c r="N59" s="2"/>
    </row>
    <row r="60" spans="1:14" ht="15.6" x14ac:dyDescent="0.3">
      <c r="A60" s="12" t="s">
        <v>54</v>
      </c>
      <c r="B60" s="38">
        <v>0.68200000000000005</v>
      </c>
      <c r="C60" s="38">
        <v>0.69299999999999995</v>
      </c>
      <c r="D60" s="38">
        <v>0.67600000000000005</v>
      </c>
      <c r="E60" s="38">
        <v>0.8</v>
      </c>
      <c r="F60" s="38">
        <v>0.93400000000000005</v>
      </c>
      <c r="G60" s="38">
        <v>0.99199999999999999</v>
      </c>
      <c r="H60" s="38">
        <v>1.034</v>
      </c>
      <c r="I60" s="38">
        <v>1.145</v>
      </c>
      <c r="J60" s="38"/>
      <c r="K60" s="40"/>
      <c r="L60" s="2"/>
      <c r="M60" s="2"/>
      <c r="N60" s="2"/>
    </row>
    <row r="61" spans="1:14" ht="15.6" x14ac:dyDescent="0.3">
      <c r="A61" s="12" t="s">
        <v>55</v>
      </c>
      <c r="B61" s="38">
        <v>31.414000000000001</v>
      </c>
      <c r="C61" s="38">
        <v>32.167999999999999</v>
      </c>
      <c r="D61" s="38">
        <v>32.555</v>
      </c>
      <c r="E61" s="38">
        <v>35.497999999999998</v>
      </c>
      <c r="F61" s="38">
        <v>33.28</v>
      </c>
      <c r="G61" s="38">
        <v>39.382999999999996</v>
      </c>
      <c r="H61" s="38">
        <v>36.150999999999996</v>
      </c>
      <c r="I61" s="38">
        <v>40.856999999999999</v>
      </c>
      <c r="J61" s="38"/>
      <c r="K61" s="40"/>
      <c r="L61" s="2"/>
      <c r="M61" s="2"/>
      <c r="N61" s="2"/>
    </row>
    <row r="62" spans="1:14" ht="15.6" x14ac:dyDescent="0.3">
      <c r="A62" s="12" t="s">
        <v>56</v>
      </c>
      <c r="B62" s="38">
        <v>201.423</v>
      </c>
      <c r="C62" s="38">
        <v>206.55199999999999</v>
      </c>
      <c r="D62" s="38">
        <v>212.833</v>
      </c>
      <c r="E62" s="38">
        <v>217.24299999999999</v>
      </c>
      <c r="F62" s="38">
        <v>235.99100000000001</v>
      </c>
      <c r="G62" s="38">
        <v>242.73699999999999</v>
      </c>
      <c r="H62" s="38">
        <v>253.85900000000001</v>
      </c>
      <c r="I62" s="38">
        <v>263.89600000000002</v>
      </c>
      <c r="J62" s="38"/>
      <c r="K62" s="40"/>
      <c r="L62" s="2"/>
      <c r="M62" s="2"/>
      <c r="N62" s="2"/>
    </row>
    <row r="63" spans="1:14" ht="15.6" x14ac:dyDescent="0.3">
      <c r="A63" s="12" t="s">
        <v>57</v>
      </c>
      <c r="B63" s="38">
        <v>668.18700000000001</v>
      </c>
      <c r="C63" s="38">
        <v>708.23099999999999</v>
      </c>
      <c r="D63" s="38">
        <v>726.10199999999998</v>
      </c>
      <c r="E63" s="38">
        <v>780.49099999999999</v>
      </c>
      <c r="F63" s="38">
        <v>804.19700000000012</v>
      </c>
      <c r="G63" s="38">
        <v>836.24599999999998</v>
      </c>
      <c r="H63" s="38">
        <v>852.7399999999999</v>
      </c>
      <c r="I63" s="38">
        <v>885.82000000000016</v>
      </c>
      <c r="J63" s="38"/>
      <c r="K63" s="40"/>
      <c r="L63" s="2"/>
      <c r="M63" s="2"/>
      <c r="N63" s="2"/>
    </row>
    <row r="64" spans="1:14" ht="15.6" x14ac:dyDescent="0.3">
      <c r="A64" s="36" t="s">
        <v>58</v>
      </c>
      <c r="B64" s="37">
        <v>3958.46</v>
      </c>
      <c r="C64" s="37">
        <v>4001.7339999999999</v>
      </c>
      <c r="D64" s="37">
        <v>4165.9759999999997</v>
      </c>
      <c r="E64" s="37">
        <v>4197.7960000000003</v>
      </c>
      <c r="F64" s="37">
        <v>4335.8919999999998</v>
      </c>
      <c r="G64" s="37">
        <v>4169.4629999999997</v>
      </c>
      <c r="H64" s="37">
        <v>4466.0919999999996</v>
      </c>
      <c r="I64" s="37">
        <v>4065.864</v>
      </c>
      <c r="J64" s="37">
        <v>4732</v>
      </c>
      <c r="K64" s="40"/>
      <c r="L64" s="2"/>
      <c r="M64" s="2"/>
      <c r="N64" s="2"/>
    </row>
    <row r="65" spans="1:14" ht="15.6" x14ac:dyDescent="0.3">
      <c r="A65" s="12" t="s">
        <v>59</v>
      </c>
      <c r="B65" s="38">
        <v>410.18200000000002</v>
      </c>
      <c r="C65" s="38">
        <v>424.30500000000001</v>
      </c>
      <c r="D65" s="38">
        <v>434.33</v>
      </c>
      <c r="E65" s="38">
        <v>268.18299999999999</v>
      </c>
      <c r="F65" s="38">
        <v>281.10700000000003</v>
      </c>
      <c r="G65" s="38">
        <v>285.16300000000001</v>
      </c>
      <c r="H65" s="38">
        <v>295.45100000000002</v>
      </c>
      <c r="I65" s="38">
        <v>300.06400000000002</v>
      </c>
      <c r="J65" s="38"/>
      <c r="K65" s="38"/>
      <c r="L65" s="2"/>
      <c r="M65" s="2"/>
      <c r="N65" s="2"/>
    </row>
    <row r="66" spans="1:14" ht="15.6" x14ac:dyDescent="0.3">
      <c r="A66" s="12" t="s">
        <v>60</v>
      </c>
      <c r="B66" s="38">
        <v>158.518</v>
      </c>
      <c r="C66" s="38">
        <v>164.131</v>
      </c>
      <c r="D66" s="38">
        <v>168.96</v>
      </c>
      <c r="E66" s="38">
        <v>237.01900000000001</v>
      </c>
      <c r="F66" s="38">
        <v>231.548</v>
      </c>
      <c r="G66" s="38">
        <v>238.94399999999999</v>
      </c>
      <c r="H66" s="38">
        <v>108.02</v>
      </c>
      <c r="I66" s="38">
        <v>111.63500000000001</v>
      </c>
      <c r="J66" s="38"/>
      <c r="K66" s="38"/>
      <c r="L66" s="2"/>
      <c r="M66" s="2"/>
      <c r="N66" s="2"/>
    </row>
    <row r="67" spans="1:14" ht="15.6" x14ac:dyDescent="0.3">
      <c r="A67" s="12" t="s">
        <v>61</v>
      </c>
      <c r="B67" s="38">
        <v>1548.663</v>
      </c>
      <c r="C67" s="38">
        <v>1593.579</v>
      </c>
      <c r="D67" s="38">
        <v>1638.8710000000001</v>
      </c>
      <c r="E67" s="38">
        <v>1676.3630000000001</v>
      </c>
      <c r="F67" s="38">
        <v>1746.57</v>
      </c>
      <c r="G67" s="38">
        <v>1530.588</v>
      </c>
      <c r="H67" s="38">
        <v>1852.3409999999999</v>
      </c>
      <c r="I67" s="38">
        <v>1897.855</v>
      </c>
      <c r="J67" s="38"/>
      <c r="K67" s="38"/>
      <c r="L67" s="2"/>
      <c r="M67" s="2"/>
      <c r="N67" s="2"/>
    </row>
    <row r="68" spans="1:14" ht="15.6" x14ac:dyDescent="0.3">
      <c r="A68" s="12" t="s">
        <v>62</v>
      </c>
      <c r="B68" s="38">
        <v>1841.097</v>
      </c>
      <c r="C68" s="38">
        <v>1819.7190000000001</v>
      </c>
      <c r="D68" s="38">
        <v>1923.8149999999996</v>
      </c>
      <c r="E68" s="38">
        <v>2016.231</v>
      </c>
      <c r="F68" s="38">
        <v>2076.6670000000004</v>
      </c>
      <c r="G68" s="38">
        <v>2114.768</v>
      </c>
      <c r="H68" s="38">
        <v>2210.2799999999997</v>
      </c>
      <c r="I68" s="38">
        <v>1756.31</v>
      </c>
      <c r="J68" s="38"/>
      <c r="K68" s="38"/>
      <c r="L68" s="2"/>
      <c r="M68" s="2"/>
      <c r="N68" s="2"/>
    </row>
    <row r="69" spans="1:14" ht="15.6" x14ac:dyDescent="0.3">
      <c r="A69" s="36" t="s">
        <v>63</v>
      </c>
      <c r="B69" s="37">
        <v>9097.9050000000007</v>
      </c>
      <c r="C69" s="37">
        <v>9311.1679999999997</v>
      </c>
      <c r="D69" s="37">
        <v>9600.5669999999991</v>
      </c>
      <c r="E69" s="37">
        <v>9804.5600000000013</v>
      </c>
      <c r="F69" s="37">
        <v>10119.738000000001</v>
      </c>
      <c r="G69" s="37">
        <v>10131.775</v>
      </c>
      <c r="H69" s="37">
        <v>10581.195</v>
      </c>
      <c r="I69" s="37">
        <v>10372.365</v>
      </c>
      <c r="J69" s="37">
        <v>11236</v>
      </c>
      <c r="K69" s="37"/>
      <c r="L69" s="2"/>
      <c r="M69" s="2"/>
      <c r="N69" s="2"/>
    </row>
    <row r="70" spans="1:14" ht="15.6" x14ac:dyDescent="0.3">
      <c r="A70" s="32" t="s">
        <v>64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2"/>
      <c r="M70" s="2"/>
      <c r="N70" s="2"/>
    </row>
    <row r="71" spans="1:14" ht="15.6" x14ac:dyDescent="0.3">
      <c r="A71" s="32" t="s">
        <v>65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2"/>
      <c r="M71" s="2"/>
      <c r="N71" s="2"/>
    </row>
    <row r="72" spans="1:14" ht="15.6" x14ac:dyDescent="0.3">
      <c r="A72" s="32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2"/>
      <c r="M72" s="2"/>
      <c r="N72" s="2"/>
    </row>
    <row r="73" spans="1:14" ht="15.6" x14ac:dyDescent="0.3">
      <c r="A73" s="32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2"/>
      <c r="M73" s="2"/>
      <c r="N73" s="2"/>
    </row>
    <row r="74" spans="1:14" ht="17.399999999999999" x14ac:dyDescent="0.3">
      <c r="A74" s="34" t="s">
        <v>66</v>
      </c>
      <c r="B74" s="2"/>
      <c r="C74" s="35"/>
      <c r="D74" s="35"/>
      <c r="E74" s="35"/>
      <c r="F74" s="35"/>
      <c r="G74" s="35"/>
      <c r="H74" s="35"/>
      <c r="I74" s="33"/>
      <c r="J74" s="33"/>
      <c r="K74" s="2"/>
      <c r="L74" s="2"/>
      <c r="M74" s="2"/>
      <c r="N74" s="2"/>
    </row>
    <row r="75" spans="1:14" ht="15.6" x14ac:dyDescent="0.3">
      <c r="A75" s="42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2"/>
      <c r="M75" s="2"/>
      <c r="N75" s="2"/>
    </row>
    <row r="76" spans="1:14" ht="15.6" x14ac:dyDescent="0.3">
      <c r="A76" s="7" t="s">
        <v>2</v>
      </c>
      <c r="B76" s="7">
        <v>2015</v>
      </c>
      <c r="C76" s="7">
        <v>2016</v>
      </c>
      <c r="D76" s="7">
        <v>2017</v>
      </c>
      <c r="E76" s="7">
        <v>2018</v>
      </c>
      <c r="F76" s="7">
        <v>2019</v>
      </c>
      <c r="G76" s="7">
        <v>2020</v>
      </c>
      <c r="H76" s="7">
        <v>2021</v>
      </c>
      <c r="I76" s="7">
        <v>2022</v>
      </c>
      <c r="J76" s="7" t="s">
        <v>48</v>
      </c>
      <c r="K76" s="7">
        <v>2024</v>
      </c>
    </row>
    <row r="77" spans="1:14" ht="15.6" x14ac:dyDescent="0.3">
      <c r="A77" s="36" t="s">
        <v>49</v>
      </c>
      <c r="B77" s="43">
        <v>0.45465906711490178</v>
      </c>
      <c r="C77" s="43">
        <v>0.45698359217662066</v>
      </c>
      <c r="D77" s="43">
        <v>0.45336811877881805</v>
      </c>
      <c r="E77" s="43">
        <v>0.45507029382246622</v>
      </c>
      <c r="F77" s="43">
        <v>0.45385028742838995</v>
      </c>
      <c r="G77" s="43">
        <v>0.46628670691956742</v>
      </c>
      <c r="H77" s="43">
        <v>0.4582755539426312</v>
      </c>
      <c r="I77" s="43">
        <v>0.48132716116334129</v>
      </c>
      <c r="J77" s="43">
        <v>0.45745817016731932</v>
      </c>
      <c r="K77" s="37"/>
    </row>
    <row r="78" spans="1:14" ht="15.6" x14ac:dyDescent="0.3">
      <c r="A78" s="12" t="s">
        <v>50</v>
      </c>
      <c r="B78" s="44">
        <v>0.43856765894385152</v>
      </c>
      <c r="C78" s="44">
        <v>0.43743423991862845</v>
      </c>
      <c r="D78" s="44">
        <v>0.43876072895431706</v>
      </c>
      <c r="E78" s="44">
        <v>0.43912743928186249</v>
      </c>
      <c r="F78" s="44">
        <v>0.43898271355059582</v>
      </c>
      <c r="G78" s="44">
        <v>0.43905504124198408</v>
      </c>
      <c r="H78" s="44">
        <v>0.4399980779950437</v>
      </c>
      <c r="I78" s="44">
        <v>0.43960672216189839</v>
      </c>
      <c r="J78" s="44">
        <v>0.43929961089494163</v>
      </c>
      <c r="K78" s="38"/>
    </row>
    <row r="79" spans="1:14" ht="15.6" x14ac:dyDescent="0.3">
      <c r="A79" s="12" t="s">
        <v>51</v>
      </c>
      <c r="B79" s="44">
        <v>0.51205274094059017</v>
      </c>
      <c r="C79" s="44">
        <v>0.51045216614324951</v>
      </c>
      <c r="D79" s="44">
        <v>0.51187855693310025</v>
      </c>
      <c r="E79" s="44">
        <v>0.51232023925962911</v>
      </c>
      <c r="F79" s="44">
        <v>0.51228345126311658</v>
      </c>
      <c r="G79" s="44">
        <v>0.51185802292481952</v>
      </c>
      <c r="H79" s="44">
        <v>0.51113824556830412</v>
      </c>
      <c r="I79" s="44">
        <v>0.51133990759340853</v>
      </c>
      <c r="J79" s="44">
        <v>0.51147859922178984</v>
      </c>
      <c r="K79" s="38"/>
    </row>
    <row r="80" spans="1:14" ht="15.6" x14ac:dyDescent="0.3">
      <c r="A80" s="12" t="s">
        <v>52</v>
      </c>
      <c r="B80" s="44">
        <v>4.9379600115558156E-2</v>
      </c>
      <c r="C80" s="44">
        <v>5.211359393812201E-2</v>
      </c>
      <c r="D80" s="44">
        <v>4.9360714112582596E-2</v>
      </c>
      <c r="E80" s="44">
        <v>4.8552321458508338E-2</v>
      </c>
      <c r="F80" s="44">
        <v>4.8733835186287537E-2</v>
      </c>
      <c r="G80" s="44">
        <v>4.9086935833196448E-2</v>
      </c>
      <c r="H80" s="44">
        <v>4.8863676436652313E-2</v>
      </c>
      <c r="I80" s="44">
        <v>4.9053370244692987E-2</v>
      </c>
      <c r="J80" s="44">
        <v>4.9221789883268481E-2</v>
      </c>
      <c r="K80" s="38"/>
    </row>
    <row r="81" spans="1:11" ht="15.6" x14ac:dyDescent="0.3">
      <c r="A81" s="36" t="s">
        <v>35</v>
      </c>
      <c r="B81" s="43">
        <v>0.11024516083647828</v>
      </c>
      <c r="C81" s="43">
        <v>0.11323853248056528</v>
      </c>
      <c r="D81" s="43">
        <v>0.112701676890542</v>
      </c>
      <c r="E81" s="43">
        <v>0.1167823951304291</v>
      </c>
      <c r="F81" s="43">
        <v>0.11769079397114825</v>
      </c>
      <c r="G81" s="43">
        <v>0.12218984333939513</v>
      </c>
      <c r="H81" s="43">
        <v>0.11964622143340142</v>
      </c>
      <c r="I81" s="43">
        <v>0.12668277678234427</v>
      </c>
      <c r="J81" s="43">
        <v>0.12139551441794233</v>
      </c>
      <c r="K81" s="37"/>
    </row>
    <row r="82" spans="1:11" ht="15.6" x14ac:dyDescent="0.3">
      <c r="A82" s="12" t="s">
        <v>53</v>
      </c>
      <c r="B82" s="44">
        <v>0.10099102691924226</v>
      </c>
      <c r="C82" s="44">
        <v>0.10123361245391854</v>
      </c>
      <c r="D82" s="44">
        <v>0.10151016635859519</v>
      </c>
      <c r="E82" s="44">
        <v>9.6915283842794769E-2</v>
      </c>
      <c r="F82" s="44">
        <v>9.7899244332493696E-2</v>
      </c>
      <c r="G82" s="44">
        <v>9.5833602584814215E-2</v>
      </c>
      <c r="H82" s="44">
        <v>9.6537124802527643E-2</v>
      </c>
      <c r="I82" s="44">
        <v>9.3060882800608813E-2</v>
      </c>
      <c r="J82" s="45"/>
      <c r="K82" s="40"/>
    </row>
    <row r="83" spans="1:11" ht="15.6" x14ac:dyDescent="0.3">
      <c r="A83" s="12" t="s">
        <v>54</v>
      </c>
      <c r="B83" s="44">
        <v>6.7996011964107685E-4</v>
      </c>
      <c r="C83" s="44">
        <v>6.5725642389909546E-4</v>
      </c>
      <c r="D83" s="44">
        <v>6.2476894639556385E-4</v>
      </c>
      <c r="E83" s="44">
        <v>6.9868995633187779E-4</v>
      </c>
      <c r="F83" s="44">
        <v>7.8421494542401347E-4</v>
      </c>
      <c r="G83" s="44">
        <v>8.0129240710823905E-4</v>
      </c>
      <c r="H83" s="44">
        <v>8.1674565560821487E-4</v>
      </c>
      <c r="I83" s="44">
        <v>8.7138508371385065E-4</v>
      </c>
      <c r="J83" s="45"/>
      <c r="K83" s="40"/>
    </row>
    <row r="84" spans="1:11" ht="15.6" x14ac:dyDescent="0.3">
      <c r="A84" s="12" t="s">
        <v>55</v>
      </c>
      <c r="B84" s="44">
        <v>3.1320039880358926E-2</v>
      </c>
      <c r="C84" s="44">
        <v>3.0508837870109815E-2</v>
      </c>
      <c r="D84" s="44">
        <v>3.0087800369685766E-2</v>
      </c>
      <c r="E84" s="44">
        <v>3.1002620087336244E-2</v>
      </c>
      <c r="F84" s="44">
        <v>2.7942905121746433E-2</v>
      </c>
      <c r="G84" s="44">
        <v>3.1811793214862681E-2</v>
      </c>
      <c r="H84" s="44">
        <v>2.8555292259083726E-2</v>
      </c>
      <c r="I84" s="44">
        <v>3.1093607305936067E-2</v>
      </c>
      <c r="J84" s="45"/>
      <c r="K84" s="40"/>
    </row>
    <row r="85" spans="1:11" ht="15.6" x14ac:dyDescent="0.3">
      <c r="A85" s="12" t="s">
        <v>56</v>
      </c>
      <c r="B85" s="44">
        <v>0.20082053838484545</v>
      </c>
      <c r="C85" s="44">
        <v>0.19589845435671857</v>
      </c>
      <c r="D85" s="44">
        <v>0.19670332717190389</v>
      </c>
      <c r="E85" s="44">
        <v>0.18973187772925765</v>
      </c>
      <c r="F85" s="44">
        <v>0.19814525608732159</v>
      </c>
      <c r="G85" s="44">
        <v>0.19607189014539581</v>
      </c>
      <c r="H85" s="44">
        <v>0.20052053712480253</v>
      </c>
      <c r="I85" s="44">
        <v>0.20083409436834093</v>
      </c>
      <c r="J85" s="45"/>
      <c r="K85" s="40"/>
    </row>
    <row r="86" spans="1:11" ht="15.6" x14ac:dyDescent="0.3">
      <c r="A86" s="12" t="s">
        <v>57</v>
      </c>
      <c r="B86" s="44">
        <v>0.66618843469591227</v>
      </c>
      <c r="C86" s="44">
        <v>0.67170183889535395</v>
      </c>
      <c r="D86" s="44">
        <v>0.67107393715341956</v>
      </c>
      <c r="E86" s="44">
        <v>0.68165152838427945</v>
      </c>
      <c r="F86" s="44">
        <v>0.6752283795130144</v>
      </c>
      <c r="G86" s="44">
        <v>0.6754814216478191</v>
      </c>
      <c r="H86" s="44">
        <v>0.67357030015797781</v>
      </c>
      <c r="I86" s="44">
        <v>0.67414003044140036</v>
      </c>
      <c r="J86" s="45"/>
      <c r="K86" s="40"/>
    </row>
    <row r="87" spans="1:11" ht="15.6" x14ac:dyDescent="0.3">
      <c r="A87" s="36" t="s">
        <v>58</v>
      </c>
      <c r="B87" s="43">
        <v>0.43509577204861993</v>
      </c>
      <c r="C87" s="43">
        <v>0.42977787534281414</v>
      </c>
      <c r="D87" s="43">
        <v>0.43393020433064006</v>
      </c>
      <c r="E87" s="43">
        <v>0.42814731104710457</v>
      </c>
      <c r="F87" s="43">
        <v>0.4284589186004617</v>
      </c>
      <c r="G87" s="43">
        <v>0.41152344974103749</v>
      </c>
      <c r="H87" s="43">
        <v>0.42207822462396732</v>
      </c>
      <c r="I87" s="43">
        <v>0.39199006205431453</v>
      </c>
      <c r="J87" s="43">
        <v>0.42114631541473835</v>
      </c>
      <c r="K87" s="40"/>
    </row>
    <row r="88" spans="1:11" ht="15.6" x14ac:dyDescent="0.3">
      <c r="A88" s="12" t="s">
        <v>59</v>
      </c>
      <c r="B88" s="44">
        <v>0.1036216104242559</v>
      </c>
      <c r="C88" s="44">
        <v>0.10603028587107489</v>
      </c>
      <c r="D88" s="44">
        <v>0.10425648155438245</v>
      </c>
      <c r="E88" s="44">
        <v>6.3886620502759062E-2</v>
      </c>
      <c r="F88" s="44">
        <v>6.4832565017763369E-2</v>
      </c>
      <c r="G88" s="44">
        <v>6.8393219942232381E-2</v>
      </c>
      <c r="H88" s="44">
        <v>6.6154257458198362E-2</v>
      </c>
      <c r="I88" s="44">
        <v>7.3800796091556431E-2</v>
      </c>
      <c r="J88" s="45"/>
      <c r="K88" s="38"/>
    </row>
    <row r="89" spans="1:11" ht="15.6" x14ac:dyDescent="0.3">
      <c r="A89" s="12" t="s">
        <v>60</v>
      </c>
      <c r="B89" s="44">
        <v>4.0045371179701195E-2</v>
      </c>
      <c r="C89" s="44">
        <v>4.1014970010500446E-2</v>
      </c>
      <c r="D89" s="44">
        <v>4.0557122748666824E-2</v>
      </c>
      <c r="E89" s="44">
        <v>5.646272472507001E-2</v>
      </c>
      <c r="F89" s="44">
        <v>5.3402621652015321E-2</v>
      </c>
      <c r="G89" s="44">
        <v>5.7308099388338501E-2</v>
      </c>
      <c r="H89" s="44">
        <v>2.418669387016658E-2</v>
      </c>
      <c r="I89" s="44">
        <v>2.7456648820521297E-2</v>
      </c>
      <c r="J89" s="45"/>
      <c r="K89" s="38"/>
    </row>
    <row r="90" spans="1:11" ht="15.6" x14ac:dyDescent="0.3">
      <c r="A90" s="12" t="s">
        <v>61</v>
      </c>
      <c r="B90" s="44">
        <v>0.39122865963026027</v>
      </c>
      <c r="C90" s="44">
        <v>0.39822212071067192</v>
      </c>
      <c r="D90" s="44">
        <v>0.3933942490307194</v>
      </c>
      <c r="E90" s="44">
        <v>0.39934360793140017</v>
      </c>
      <c r="F90" s="44">
        <v>0.40281676757631418</v>
      </c>
      <c r="G90" s="44">
        <v>0.36709475536777758</v>
      </c>
      <c r="H90" s="44">
        <v>0.41475657017365519</v>
      </c>
      <c r="I90" s="44">
        <v>0.46677778695991801</v>
      </c>
      <c r="J90" s="45"/>
      <c r="K90" s="38"/>
    </row>
    <row r="91" spans="1:11" ht="15.6" x14ac:dyDescent="0.3">
      <c r="A91" s="12" t="s">
        <v>62</v>
      </c>
      <c r="B91" s="44">
        <v>0.46510435876578266</v>
      </c>
      <c r="C91" s="44">
        <v>0.45473262340775278</v>
      </c>
      <c r="D91" s="44">
        <v>0.46179214666623136</v>
      </c>
      <c r="E91" s="44">
        <v>0.48030704684077069</v>
      </c>
      <c r="F91" s="44">
        <v>0.47894804575390726</v>
      </c>
      <c r="G91" s="44">
        <v>0.50720392530165159</v>
      </c>
      <c r="H91" s="44">
        <v>0.49490247849797986</v>
      </c>
      <c r="I91" s="44">
        <v>0.43196476812800427</v>
      </c>
      <c r="J91" s="45"/>
      <c r="K91" s="38"/>
    </row>
    <row r="92" spans="1:11" ht="15.6" x14ac:dyDescent="0.3">
      <c r="A92" s="36" t="s">
        <v>63</v>
      </c>
      <c r="B92" s="43">
        <v>1</v>
      </c>
      <c r="C92" s="43">
        <v>1</v>
      </c>
      <c r="D92" s="43">
        <v>1.0000000000000002</v>
      </c>
      <c r="E92" s="43">
        <v>0.99999999999999989</v>
      </c>
      <c r="F92" s="43">
        <v>0.99999999999999989</v>
      </c>
      <c r="G92" s="43">
        <v>1</v>
      </c>
      <c r="H92" s="43">
        <v>0.99999999999999989</v>
      </c>
      <c r="I92" s="43">
        <v>1</v>
      </c>
      <c r="J92" s="43">
        <v>1</v>
      </c>
      <c r="K92" s="37"/>
    </row>
    <row r="93" spans="1:1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7.399999999999999" x14ac:dyDescent="0.3">
      <c r="A95" s="46" t="s">
        <v>67</v>
      </c>
      <c r="B95" s="47"/>
      <c r="C95" s="47"/>
      <c r="D95" s="47"/>
      <c r="E95" s="47"/>
      <c r="F95" s="47"/>
      <c r="G95" s="47"/>
      <c r="H95" s="47"/>
      <c r="I95" s="47"/>
      <c r="J95" s="47"/>
      <c r="K95" s="47"/>
    </row>
    <row r="96" spans="1:11" ht="15.6" x14ac:dyDescent="0.3">
      <c r="A96" s="48" t="s">
        <v>68</v>
      </c>
      <c r="B96" s="49"/>
      <c r="C96" s="49"/>
      <c r="D96" s="49"/>
      <c r="E96" s="49"/>
      <c r="F96" s="49"/>
      <c r="G96" s="49"/>
      <c r="H96" s="49"/>
      <c r="I96" s="49"/>
      <c r="J96" s="50"/>
      <c r="K96" s="47"/>
    </row>
    <row r="97" spans="1:11" ht="15.6" x14ac:dyDescent="0.3">
      <c r="A97" s="51" t="s">
        <v>2</v>
      </c>
      <c r="B97" s="20">
        <v>2015</v>
      </c>
      <c r="C97" s="20">
        <v>2016</v>
      </c>
      <c r="D97" s="20">
        <v>2017</v>
      </c>
      <c r="E97" s="20">
        <v>2018</v>
      </c>
      <c r="F97" s="20">
        <v>2019</v>
      </c>
      <c r="G97" s="20">
        <v>2020</v>
      </c>
      <c r="H97" s="20">
        <v>2021</v>
      </c>
      <c r="I97" s="20">
        <v>2022</v>
      </c>
      <c r="J97" s="20">
        <v>2023</v>
      </c>
      <c r="K97" s="20">
        <v>2024</v>
      </c>
    </row>
    <row r="98" spans="1:11" ht="15.6" x14ac:dyDescent="0.3">
      <c r="A98" s="52" t="s">
        <v>69</v>
      </c>
      <c r="B98" s="53">
        <v>1.47</v>
      </c>
      <c r="C98" s="53">
        <v>1.24</v>
      </c>
      <c r="D98" s="53">
        <v>1.1599999999999999</v>
      </c>
      <c r="E98" s="53">
        <v>0.83</v>
      </c>
      <c r="F98" s="53">
        <v>1.05</v>
      </c>
      <c r="G98" s="53">
        <v>0.44999999999999996</v>
      </c>
      <c r="H98" s="53">
        <v>0.36</v>
      </c>
      <c r="I98" s="53">
        <v>1.34</v>
      </c>
      <c r="J98" s="53"/>
      <c r="K98" s="53"/>
    </row>
    <row r="99" spans="1:11" ht="15.6" x14ac:dyDescent="0.3">
      <c r="A99" s="27" t="s">
        <v>70</v>
      </c>
      <c r="B99" s="54">
        <v>0.97</v>
      </c>
      <c r="C99" s="54">
        <v>0.79</v>
      </c>
      <c r="D99" s="54">
        <v>0.82</v>
      </c>
      <c r="E99" s="54">
        <v>0.62</v>
      </c>
      <c r="F99" s="54">
        <v>0.51</v>
      </c>
      <c r="G99" s="54">
        <v>0.03</v>
      </c>
      <c r="H99" s="55">
        <v>0.09</v>
      </c>
      <c r="I99" s="56">
        <v>0.66</v>
      </c>
      <c r="J99" s="56"/>
      <c r="K99" s="56"/>
    </row>
    <row r="100" spans="1:11" ht="15.6" x14ac:dyDescent="0.3">
      <c r="A100" s="27" t="s">
        <v>71</v>
      </c>
      <c r="B100" s="54">
        <v>0.5</v>
      </c>
      <c r="C100" s="54">
        <v>0.45</v>
      </c>
      <c r="D100" s="54">
        <v>0.34</v>
      </c>
      <c r="E100" s="54">
        <v>0.21</v>
      </c>
      <c r="F100" s="54">
        <v>0.54</v>
      </c>
      <c r="G100" s="54">
        <v>0.42</v>
      </c>
      <c r="H100" s="54">
        <v>0.27</v>
      </c>
      <c r="I100" s="56">
        <v>0.68</v>
      </c>
      <c r="J100" s="56"/>
      <c r="K100" s="56"/>
    </row>
    <row r="101" spans="1:11" ht="15.6" x14ac:dyDescent="0.3">
      <c r="A101" s="52" t="s">
        <v>72</v>
      </c>
      <c r="B101" s="53">
        <v>0.64</v>
      </c>
      <c r="C101" s="53">
        <v>0.82000000000000006</v>
      </c>
      <c r="D101" s="53">
        <v>1.07</v>
      </c>
      <c r="E101" s="53">
        <v>0.8</v>
      </c>
      <c r="F101" s="53">
        <v>1.36</v>
      </c>
      <c r="G101" s="53">
        <v>1.4300000000000002</v>
      </c>
      <c r="H101" s="53">
        <v>1.3400000000000003</v>
      </c>
      <c r="I101" s="53">
        <v>1.2100000000000002</v>
      </c>
      <c r="J101" s="53"/>
      <c r="K101" s="53"/>
    </row>
    <row r="102" spans="1:11" ht="15.6" x14ac:dyDescent="0.3">
      <c r="A102" s="27" t="s">
        <v>73</v>
      </c>
      <c r="B102" s="54">
        <v>0.49</v>
      </c>
      <c r="C102" s="54">
        <v>0.71</v>
      </c>
      <c r="D102" s="54">
        <v>0.66</v>
      </c>
      <c r="E102" s="54">
        <v>0.61</v>
      </c>
      <c r="F102" s="54">
        <v>0.84</v>
      </c>
      <c r="G102" s="54">
        <v>1.1399999999999999</v>
      </c>
      <c r="H102" s="54">
        <v>1.1200000000000001</v>
      </c>
      <c r="I102" s="56">
        <v>0.9</v>
      </c>
      <c r="J102" s="56"/>
      <c r="K102" s="56"/>
    </row>
    <row r="103" spans="1:11" ht="15.6" x14ac:dyDescent="0.3">
      <c r="A103" s="27" t="s">
        <v>74</v>
      </c>
      <c r="B103" s="54">
        <v>0.01</v>
      </c>
      <c r="C103" s="54">
        <v>0.01</v>
      </c>
      <c r="D103" s="54">
        <v>0.11</v>
      </c>
      <c r="E103" s="54">
        <v>0.02</v>
      </c>
      <c r="F103" s="54">
        <v>0.02</v>
      </c>
      <c r="G103" s="54">
        <v>0.02</v>
      </c>
      <c r="H103" s="54">
        <v>0.02</v>
      </c>
      <c r="I103" s="56">
        <v>0.02</v>
      </c>
      <c r="J103" s="56"/>
      <c r="K103" s="56"/>
    </row>
    <row r="104" spans="1:11" ht="15.6" x14ac:dyDescent="0.3">
      <c r="A104" s="27" t="s">
        <v>75</v>
      </c>
      <c r="B104" s="57" t="s">
        <v>76</v>
      </c>
      <c r="C104" s="57" t="s">
        <v>76</v>
      </c>
      <c r="D104" s="57" t="s">
        <v>76</v>
      </c>
      <c r="E104" s="57" t="s">
        <v>76</v>
      </c>
      <c r="F104" s="57" t="s">
        <v>76</v>
      </c>
      <c r="G104" s="54">
        <v>0.01</v>
      </c>
      <c r="H104" s="54">
        <v>0</v>
      </c>
      <c r="I104" s="56">
        <v>0</v>
      </c>
      <c r="J104" s="56"/>
      <c r="K104" s="56"/>
    </row>
    <row r="105" spans="1:11" ht="15.6" x14ac:dyDescent="0.3">
      <c r="A105" s="27" t="s">
        <v>77</v>
      </c>
      <c r="B105" s="54">
        <v>0.04</v>
      </c>
      <c r="C105" s="54">
        <v>0.02</v>
      </c>
      <c r="D105" s="54">
        <v>0.03</v>
      </c>
      <c r="E105" s="54">
        <v>0.08</v>
      </c>
      <c r="F105" s="54">
        <v>0.15</v>
      </c>
      <c r="G105" s="54">
        <v>0.12</v>
      </c>
      <c r="H105" s="54">
        <v>7.0000000000000007E-2</v>
      </c>
      <c r="I105" s="54">
        <v>0.09</v>
      </c>
      <c r="J105" s="54"/>
      <c r="K105" s="54"/>
    </row>
    <row r="106" spans="1:11" ht="15.6" x14ac:dyDescent="0.3">
      <c r="A106" s="27" t="s">
        <v>78</v>
      </c>
      <c r="B106" s="57" t="s">
        <v>76</v>
      </c>
      <c r="C106" s="54">
        <v>0</v>
      </c>
      <c r="D106" s="54">
        <v>0.01</v>
      </c>
      <c r="E106" s="54">
        <v>0.03</v>
      </c>
      <c r="F106" s="54">
        <v>7.0000000000000007E-2</v>
      </c>
      <c r="G106" s="54">
        <v>7.0000000000000007E-2</v>
      </c>
      <c r="H106" s="55">
        <v>0.08</v>
      </c>
      <c r="I106" s="56">
        <v>0.11</v>
      </c>
      <c r="J106" s="56"/>
      <c r="K106" s="56"/>
    </row>
    <row r="107" spans="1:11" ht="15.6" x14ac:dyDescent="0.3">
      <c r="A107" s="27" t="s">
        <v>79</v>
      </c>
      <c r="B107" s="54">
        <v>0.08</v>
      </c>
      <c r="C107" s="54">
        <v>0.06</v>
      </c>
      <c r="D107" s="54">
        <v>0.06</v>
      </c>
      <c r="E107" s="54">
        <v>0.06</v>
      </c>
      <c r="F107" s="54">
        <v>0.28000000000000003</v>
      </c>
      <c r="G107" s="54">
        <v>7.0000000000000007E-2</v>
      </c>
      <c r="H107" s="54">
        <v>0.05</v>
      </c>
      <c r="I107" s="56">
        <v>0.08</v>
      </c>
      <c r="J107" s="56"/>
      <c r="K107" s="56"/>
    </row>
    <row r="108" spans="1:11" ht="15.6" x14ac:dyDescent="0.3">
      <c r="A108" s="27" t="s">
        <v>80</v>
      </c>
      <c r="B108" s="54">
        <v>0.02</v>
      </c>
      <c r="C108" s="54">
        <v>0.02</v>
      </c>
      <c r="D108" s="54">
        <v>0.2</v>
      </c>
      <c r="E108" s="54">
        <v>0</v>
      </c>
      <c r="F108" s="54">
        <v>0</v>
      </c>
      <c r="G108" s="54">
        <v>0</v>
      </c>
      <c r="H108" s="54">
        <v>0</v>
      </c>
      <c r="I108" s="56">
        <v>0.01</v>
      </c>
      <c r="J108" s="56"/>
      <c r="K108" s="56"/>
    </row>
    <row r="109" spans="1:11" ht="15.6" x14ac:dyDescent="0.3">
      <c r="A109" s="52" t="s">
        <v>81</v>
      </c>
      <c r="B109" s="53">
        <v>1.2</v>
      </c>
      <c r="C109" s="53">
        <v>1.1100000000000001</v>
      </c>
      <c r="D109" s="53">
        <v>0.94</v>
      </c>
      <c r="E109" s="53">
        <v>0.82</v>
      </c>
      <c r="F109" s="53">
        <v>0.89</v>
      </c>
      <c r="G109" s="53">
        <v>1.1599999999999999</v>
      </c>
      <c r="H109" s="53">
        <v>1.24</v>
      </c>
      <c r="I109" s="53">
        <v>1.47</v>
      </c>
      <c r="J109" s="58"/>
      <c r="K109" s="58"/>
    </row>
    <row r="110" spans="1:11" ht="15.6" x14ac:dyDescent="0.3">
      <c r="A110" s="59" t="s">
        <v>27</v>
      </c>
      <c r="B110" s="60">
        <v>3.3099999999999996</v>
      </c>
      <c r="C110" s="60">
        <v>3.17</v>
      </c>
      <c r="D110" s="60">
        <v>3.17</v>
      </c>
      <c r="E110" s="60">
        <v>2.4500000000000002</v>
      </c>
      <c r="F110" s="60">
        <v>3.3</v>
      </c>
      <c r="G110" s="60">
        <v>3.04</v>
      </c>
      <c r="H110" s="60">
        <v>2.94</v>
      </c>
      <c r="I110" s="60">
        <v>4.0200000000000005</v>
      </c>
      <c r="J110" s="60"/>
      <c r="K110" s="60"/>
    </row>
    <row r="111" spans="1:11" ht="15.6" x14ac:dyDescent="0.3">
      <c r="A111" s="61" t="s">
        <v>82</v>
      </c>
      <c r="B111" s="62"/>
      <c r="C111" s="62"/>
      <c r="D111" s="62"/>
      <c r="E111" s="62"/>
      <c r="F111" s="62"/>
      <c r="G111" s="62"/>
      <c r="H111" s="62"/>
      <c r="I111" s="62"/>
      <c r="J111" s="62"/>
      <c r="K111" s="62"/>
    </row>
    <row r="112" spans="1:11" ht="15.6" x14ac:dyDescent="0.3">
      <c r="A112" s="63" t="s">
        <v>83</v>
      </c>
      <c r="B112" s="62"/>
      <c r="C112" s="62"/>
      <c r="D112" s="62"/>
      <c r="E112" s="62"/>
      <c r="F112" s="62"/>
      <c r="G112" s="62"/>
      <c r="H112" s="62"/>
      <c r="I112" s="62"/>
      <c r="J112" s="62"/>
      <c r="K112" s="62"/>
    </row>
    <row r="113" spans="1:18" ht="15.6" x14ac:dyDescent="0.3">
      <c r="A113" s="61"/>
      <c r="B113" s="62"/>
      <c r="C113" s="62"/>
      <c r="D113" s="62"/>
      <c r="E113" s="62"/>
      <c r="F113" s="62"/>
      <c r="G113" s="62"/>
      <c r="H113" s="62"/>
      <c r="I113" s="62"/>
      <c r="J113" s="62"/>
      <c r="K113" s="62"/>
    </row>
    <row r="114" spans="1:18" ht="15.6" x14ac:dyDescent="0.3">
      <c r="A114" s="64" t="s">
        <v>2</v>
      </c>
      <c r="B114" s="51">
        <v>2010</v>
      </c>
      <c r="C114" s="51">
        <v>2011</v>
      </c>
      <c r="D114" s="51">
        <v>2012</v>
      </c>
      <c r="E114" s="51">
        <v>2013</v>
      </c>
      <c r="F114" s="51">
        <v>2014</v>
      </c>
      <c r="G114" s="51">
        <v>2015</v>
      </c>
      <c r="H114" s="51">
        <v>2016</v>
      </c>
      <c r="I114" s="51">
        <v>2017</v>
      </c>
      <c r="J114" s="51">
        <v>2018</v>
      </c>
      <c r="K114" s="51">
        <v>2019</v>
      </c>
      <c r="L114" s="51">
        <v>2020</v>
      </c>
      <c r="M114" s="51">
        <v>2021</v>
      </c>
      <c r="N114" s="51">
        <v>2022</v>
      </c>
      <c r="O114" s="51" t="s">
        <v>84</v>
      </c>
      <c r="P114" s="51" t="s">
        <v>85</v>
      </c>
      <c r="Q114" s="51">
        <v>2025</v>
      </c>
      <c r="R114" s="51" t="s">
        <v>86</v>
      </c>
    </row>
    <row r="115" spans="1:18" ht="15.6" x14ac:dyDescent="0.3">
      <c r="A115" s="59" t="s">
        <v>87</v>
      </c>
      <c r="B115" s="65">
        <v>4.6258803396605153</v>
      </c>
      <c r="C115" s="65">
        <v>-6.6351707269523663</v>
      </c>
      <c r="D115" s="65">
        <v>10.456884001978995</v>
      </c>
      <c r="E115" s="65">
        <v>10.20705081362745</v>
      </c>
      <c r="F115" s="65">
        <v>9.425817912363744</v>
      </c>
      <c r="G115" s="65">
        <v>8.800004440143482</v>
      </c>
      <c r="H115" s="66">
        <v>7.2</v>
      </c>
      <c r="I115" s="67">
        <v>7.4</v>
      </c>
      <c r="J115" s="67">
        <v>4.8</v>
      </c>
      <c r="K115" s="67">
        <v>6.7</v>
      </c>
      <c r="L115" s="66">
        <v>0.7</v>
      </c>
      <c r="M115" s="67">
        <v>7.1</v>
      </c>
      <c r="N115" s="67">
        <v>6.4</v>
      </c>
      <c r="O115" s="67">
        <v>6.5</v>
      </c>
      <c r="P115" s="67"/>
      <c r="Q115" s="66"/>
      <c r="R115" s="66"/>
    </row>
    <row r="116" spans="1:18" ht="15.6" x14ac:dyDescent="0.3">
      <c r="A116" s="59" t="s">
        <v>88</v>
      </c>
      <c r="B116" s="68">
        <v>18650658</v>
      </c>
      <c r="C116" s="68">
        <v>18112059</v>
      </c>
      <c r="D116" s="68">
        <v>20505208</v>
      </c>
      <c r="E116" s="68">
        <v>23198390</v>
      </c>
      <c r="F116" s="68">
        <v>26370647</v>
      </c>
      <c r="G116" s="69">
        <v>27086149.999999996</v>
      </c>
      <c r="H116" s="69">
        <v>28686211.000000004</v>
      </c>
      <c r="I116" s="69">
        <v>30491898</v>
      </c>
      <c r="J116" s="69">
        <v>32506591.000000004</v>
      </c>
      <c r="K116" s="69">
        <v>35379058.999999993</v>
      </c>
      <c r="L116" s="69">
        <v>36277950</v>
      </c>
      <c r="M116" s="69">
        <v>40366859.000000007</v>
      </c>
      <c r="N116" s="69">
        <v>44238799.999999993</v>
      </c>
      <c r="O116" s="69">
        <v>48293904.533000037</v>
      </c>
      <c r="P116" s="70"/>
      <c r="Q116" s="71"/>
      <c r="R116" s="71"/>
    </row>
    <row r="117" spans="1:18" ht="21.6" customHeight="1" x14ac:dyDescent="0.3">
      <c r="A117" s="59" t="s">
        <v>89</v>
      </c>
      <c r="B117" s="68">
        <v>3014490</v>
      </c>
      <c r="C117" s="68">
        <v>2552982</v>
      </c>
      <c r="D117" s="68">
        <v>3476906</v>
      </c>
      <c r="E117" s="68">
        <v>4641893</v>
      </c>
      <c r="F117" s="68">
        <v>5784989</v>
      </c>
      <c r="G117" s="69">
        <v>6382171</v>
      </c>
      <c r="H117" s="69">
        <v>6682860</v>
      </c>
      <c r="I117" s="69">
        <v>6680750</v>
      </c>
      <c r="J117" s="69">
        <v>7303299</v>
      </c>
      <c r="K117" s="69">
        <v>7845877</v>
      </c>
      <c r="L117" s="69">
        <v>7380663</v>
      </c>
      <c r="M117" s="69">
        <v>8500122</v>
      </c>
      <c r="N117" s="69">
        <v>9860617</v>
      </c>
      <c r="O117" s="69">
        <v>11175939</v>
      </c>
      <c r="P117" s="70"/>
      <c r="Q117" s="71"/>
      <c r="R117" s="71"/>
    </row>
    <row r="118" spans="1:18" ht="15.6" x14ac:dyDescent="0.3">
      <c r="A118" s="59" t="s">
        <v>90</v>
      </c>
      <c r="B118" s="72">
        <v>0.16162915002784353</v>
      </c>
      <c r="C118" s="72">
        <v>0.14095481910698282</v>
      </c>
      <c r="D118" s="72">
        <v>0.16956209368858877</v>
      </c>
      <c r="E118" s="72">
        <v>0.2000954807639668</v>
      </c>
      <c r="F118" s="72">
        <v>0.21937228161296157</v>
      </c>
      <c r="G118" s="73">
        <v>0.23562488578110957</v>
      </c>
      <c r="H118" s="73">
        <v>0.23296419314492245</v>
      </c>
      <c r="I118" s="73">
        <v>0.21909918497038131</v>
      </c>
      <c r="J118" s="73">
        <v>0.22467132896217876</v>
      </c>
      <c r="K118" s="73">
        <v>0.22176613007146406</v>
      </c>
      <c r="L118" s="73">
        <v>0.20344763141246955</v>
      </c>
      <c r="M118" s="73">
        <v>0.21057179603694204</v>
      </c>
      <c r="N118" s="73">
        <v>0.22289521867681766</v>
      </c>
      <c r="O118" s="73">
        <v>0.23141510524093767</v>
      </c>
      <c r="P118" s="73"/>
      <c r="Q118" s="71"/>
      <c r="R118" s="71"/>
    </row>
    <row r="119" spans="1:18" ht="15.6" x14ac:dyDescent="0.3">
      <c r="A119" s="74" t="s">
        <v>91</v>
      </c>
      <c r="B119" s="75"/>
      <c r="C119" s="75"/>
      <c r="D119" s="75"/>
      <c r="E119" s="75"/>
      <c r="F119" s="75"/>
      <c r="G119" s="76"/>
      <c r="H119" s="76"/>
      <c r="I119" s="76"/>
      <c r="J119" s="76"/>
      <c r="K119" s="76"/>
      <c r="L119" s="77">
        <v>8.6</v>
      </c>
      <c r="M119" s="77">
        <v>5.7</v>
      </c>
      <c r="N119" s="77">
        <v>8.1999999999999993</v>
      </c>
      <c r="O119" s="77">
        <v>8.3000000000000007</v>
      </c>
      <c r="P119" s="77">
        <v>7.8</v>
      </c>
      <c r="Q119" s="77">
        <v>8.1</v>
      </c>
      <c r="R119" s="77">
        <v>9.1999999999999993</v>
      </c>
    </row>
    <row r="120" spans="1:18" ht="15.6" x14ac:dyDescent="0.3">
      <c r="A120" s="74" t="s">
        <v>92</v>
      </c>
      <c r="B120" s="78"/>
      <c r="C120" s="78"/>
      <c r="D120" s="78"/>
      <c r="E120" s="78"/>
      <c r="F120" s="78"/>
      <c r="G120" s="79"/>
      <c r="H120" s="79"/>
      <c r="I120" s="79"/>
      <c r="J120" s="79"/>
      <c r="K120" s="79"/>
      <c r="L120" s="77">
        <v>15.4</v>
      </c>
      <c r="M120" s="77">
        <v>15.4</v>
      </c>
      <c r="N120" s="77">
        <v>14.1</v>
      </c>
      <c r="O120" s="77">
        <v>14.9</v>
      </c>
      <c r="P120" s="77">
        <v>15.3</v>
      </c>
      <c r="Q120" s="77">
        <v>15.7</v>
      </c>
      <c r="R120" s="77">
        <v>23.4</v>
      </c>
    </row>
    <row r="121" spans="1:18" ht="15.6" x14ac:dyDescent="0.3">
      <c r="A121" s="59" t="s">
        <v>93</v>
      </c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1">
        <v>1.1000000000000001</v>
      </c>
      <c r="M121" s="81">
        <v>1.5</v>
      </c>
      <c r="N121" s="81">
        <v>2</v>
      </c>
      <c r="O121" s="81">
        <v>2.5</v>
      </c>
      <c r="P121" s="81">
        <v>3.8</v>
      </c>
      <c r="Q121" s="81">
        <v>3.9</v>
      </c>
      <c r="R121" s="81">
        <v>3.3</v>
      </c>
    </row>
    <row r="123" spans="1:18" ht="18" x14ac:dyDescent="0.3">
      <c r="A123" s="82"/>
      <c r="B123" s="83">
        <v>2015</v>
      </c>
      <c r="C123" s="83">
        <v>2016</v>
      </c>
      <c r="D123" s="83">
        <v>2017</v>
      </c>
      <c r="E123" s="83">
        <v>2018</v>
      </c>
      <c r="F123" s="83">
        <v>2019</v>
      </c>
      <c r="G123" s="83">
        <v>2020</v>
      </c>
      <c r="H123" s="83">
        <v>2021</v>
      </c>
      <c r="I123" s="83">
        <v>2022</v>
      </c>
      <c r="J123" s="83">
        <v>2023</v>
      </c>
      <c r="K123" s="83">
        <v>2024</v>
      </c>
    </row>
    <row r="124" spans="1:18" ht="17.399999999999999" x14ac:dyDescent="0.3">
      <c r="A124" s="84" t="s">
        <v>94</v>
      </c>
      <c r="B124" s="85">
        <v>292.3</v>
      </c>
      <c r="C124" s="85">
        <v>342.4</v>
      </c>
      <c r="D124" s="85">
        <v>566.1</v>
      </c>
      <c r="E124" s="85">
        <v>344.6</v>
      </c>
      <c r="F124" s="85">
        <v>497.4</v>
      </c>
      <c r="G124" s="85">
        <v>410.3</v>
      </c>
      <c r="H124" s="85">
        <v>772.1</v>
      </c>
      <c r="I124" s="85">
        <v>997.5</v>
      </c>
      <c r="J124" s="85">
        <v>1507.4</v>
      </c>
      <c r="K124" s="85"/>
    </row>
    <row r="125" spans="1:18" ht="18" x14ac:dyDescent="0.3">
      <c r="A125" s="86" t="s">
        <v>95</v>
      </c>
      <c r="B125" s="87">
        <v>94.997500000000002</v>
      </c>
      <c r="C125" s="87">
        <v>110.25279999999999</v>
      </c>
      <c r="D125" s="87">
        <v>186.24689999999998</v>
      </c>
      <c r="E125" s="87">
        <v>79.947200000000009</v>
      </c>
      <c r="F125" s="87">
        <v>165.63419999999996</v>
      </c>
      <c r="G125" s="87">
        <v>94.2</v>
      </c>
      <c r="H125" s="87">
        <v>375.24060000000003</v>
      </c>
      <c r="I125" s="87">
        <v>501.74250000000001</v>
      </c>
      <c r="J125" s="87">
        <v>1028.0468000000001</v>
      </c>
      <c r="K125" s="87"/>
    </row>
    <row r="126" spans="1:18" ht="18" x14ac:dyDescent="0.3">
      <c r="A126" s="86" t="s">
        <v>96</v>
      </c>
      <c r="B126" s="87">
        <v>197.30250000000001</v>
      </c>
      <c r="C126" s="87">
        <v>232.1472</v>
      </c>
      <c r="D126" s="87">
        <v>379.85310000000004</v>
      </c>
      <c r="E126" s="87">
        <v>264.65280000000001</v>
      </c>
      <c r="F126" s="87">
        <v>331.76580000000001</v>
      </c>
      <c r="G126" s="87">
        <v>316.10000000000002</v>
      </c>
      <c r="H126" s="87">
        <v>396.85939999999999</v>
      </c>
      <c r="I126" s="87">
        <v>495.75749999999999</v>
      </c>
      <c r="J126" s="87">
        <v>479.35320000000002</v>
      </c>
      <c r="K126" s="87"/>
    </row>
    <row r="127" spans="1:18" ht="18" x14ac:dyDescent="0.3">
      <c r="A127" s="86"/>
      <c r="B127" s="87"/>
      <c r="C127" s="87"/>
      <c r="D127" s="87"/>
      <c r="E127" s="87"/>
      <c r="F127" s="87"/>
      <c r="G127" s="87"/>
      <c r="H127" s="87"/>
      <c r="I127" s="87"/>
      <c r="J127" s="87"/>
      <c r="K127" s="87"/>
    </row>
    <row r="128" spans="1:18" ht="18" x14ac:dyDescent="0.3">
      <c r="A128" s="84" t="s">
        <v>97</v>
      </c>
      <c r="B128" s="88"/>
      <c r="C128" s="89"/>
      <c r="D128" s="89"/>
      <c r="E128" s="89"/>
      <c r="F128" s="89"/>
      <c r="G128" s="89"/>
      <c r="H128" s="89"/>
      <c r="I128" s="89"/>
      <c r="J128" s="89"/>
      <c r="K128" s="89"/>
    </row>
    <row r="129" spans="1:11" ht="18" x14ac:dyDescent="0.3">
      <c r="A129" s="86" t="s">
        <v>95</v>
      </c>
      <c r="B129" s="90">
        <v>0.32500000000000001</v>
      </c>
      <c r="C129" s="90">
        <v>0.32200000000000001</v>
      </c>
      <c r="D129" s="90">
        <v>0.32899999999999996</v>
      </c>
      <c r="E129" s="90">
        <v>0.23200000000000001</v>
      </c>
      <c r="F129" s="90">
        <v>0.33299999999999996</v>
      </c>
      <c r="G129" s="90">
        <v>0.22958810626370948</v>
      </c>
      <c r="H129" s="90">
        <v>0.48600000000000004</v>
      </c>
      <c r="I129" s="90">
        <v>0.503</v>
      </c>
      <c r="J129" s="90">
        <v>0.68200000000000005</v>
      </c>
      <c r="K129" s="90"/>
    </row>
    <row r="130" spans="1:11" ht="18" x14ac:dyDescent="0.3">
      <c r="A130" s="86" t="s">
        <v>98</v>
      </c>
      <c r="B130" s="91">
        <v>0.67500000000000004</v>
      </c>
      <c r="C130" s="91">
        <v>0.67800000000000005</v>
      </c>
      <c r="D130" s="91">
        <v>0.67100000000000004</v>
      </c>
      <c r="E130" s="91">
        <v>0.76800000000000002</v>
      </c>
      <c r="F130" s="91">
        <v>0.66700000000000004</v>
      </c>
      <c r="G130" s="91">
        <v>0.7704118937362906</v>
      </c>
      <c r="H130" s="91">
        <v>0.51400000000000001</v>
      </c>
      <c r="I130" s="91">
        <v>0.497</v>
      </c>
      <c r="J130" s="91">
        <v>0.318</v>
      </c>
      <c r="K130" s="91"/>
    </row>
    <row r="131" spans="1:11" ht="18" x14ac:dyDescent="0.3">
      <c r="A131" s="86"/>
      <c r="B131" s="87"/>
      <c r="C131" s="87"/>
      <c r="D131" s="87"/>
      <c r="E131" s="87"/>
      <c r="F131" s="87"/>
      <c r="G131" s="87"/>
      <c r="H131" s="87"/>
      <c r="I131" s="87"/>
      <c r="J131" s="87"/>
      <c r="K131" s="87"/>
    </row>
    <row r="132" spans="1:11" ht="17.399999999999999" x14ac:dyDescent="0.3">
      <c r="A132" s="84" t="s">
        <v>99</v>
      </c>
      <c r="B132" s="85">
        <v>1.0791406614257277</v>
      </c>
      <c r="C132" s="85">
        <v>1.193584025718389</v>
      </c>
      <c r="D132" s="85">
        <v>1.8565740315700234</v>
      </c>
      <c r="E132" s="85">
        <v>1.0601086202181789</v>
      </c>
      <c r="F132" s="85">
        <v>1.4059186461529174</v>
      </c>
      <c r="G132" s="85">
        <v>1.1309900366476056</v>
      </c>
      <c r="H132" s="85">
        <v>1.9127076496092996</v>
      </c>
      <c r="I132" s="85">
        <v>2.2548079966002699</v>
      </c>
      <c r="J132" s="85">
        <v>3.1213048822133822</v>
      </c>
      <c r="K132" s="85"/>
    </row>
    <row r="133" spans="1:11" ht="18" x14ac:dyDescent="0.3">
      <c r="A133" s="86" t="s">
        <v>95</v>
      </c>
      <c r="B133" s="92">
        <v>0.35072071496336149</v>
      </c>
      <c r="C133" s="92">
        <v>0.38433405628132128</v>
      </c>
      <c r="D133" s="92">
        <v>0.61081285638653759</v>
      </c>
      <c r="E133" s="92">
        <v>0.2459451998906175</v>
      </c>
      <c r="F133" s="92">
        <v>0.46817090916892146</v>
      </c>
      <c r="G133" s="92">
        <v>0.25966186071704717</v>
      </c>
      <c r="H133" s="92">
        <v>0.92957591771011971</v>
      </c>
      <c r="I133" s="92">
        <v>1.1341684222899358</v>
      </c>
      <c r="J133" s="92">
        <v>2.128729929669527</v>
      </c>
      <c r="K133" s="92"/>
    </row>
    <row r="134" spans="1:11" ht="18" x14ac:dyDescent="0.3">
      <c r="A134" s="86" t="s">
        <v>98</v>
      </c>
      <c r="B134" s="92">
        <v>0.72841994646236619</v>
      </c>
      <c r="C134" s="92">
        <v>0.80924996943706784</v>
      </c>
      <c r="D134" s="92">
        <v>1.2457611751834856</v>
      </c>
      <c r="E134" s="92">
        <v>0.81416342032756117</v>
      </c>
      <c r="F134" s="92">
        <v>0.93774773698399594</v>
      </c>
      <c r="G134" s="92">
        <v>0.87132817593055856</v>
      </c>
      <c r="H134" s="92">
        <v>0.98313173189918013</v>
      </c>
      <c r="I134" s="92">
        <v>1.1206395743103341</v>
      </c>
      <c r="J134" s="92">
        <v>0.99257495254385553</v>
      </c>
      <c r="K134" s="92"/>
    </row>
    <row r="135" spans="1:11" ht="17.399999999999999" x14ac:dyDescent="0.3">
      <c r="A135" s="93" t="s">
        <v>100</v>
      </c>
      <c r="B135" s="94">
        <v>27086.366999999998</v>
      </c>
      <c r="C135" s="94">
        <v>28686.711000000003</v>
      </c>
      <c r="D135" s="94">
        <v>30491.646999999997</v>
      </c>
      <c r="E135" s="94">
        <v>32506.103000000003</v>
      </c>
      <c r="F135" s="94">
        <v>35379.002999999997</v>
      </c>
      <c r="G135" s="94">
        <v>36277.949999999997</v>
      </c>
      <c r="H135" s="94">
        <v>40366.858999999997</v>
      </c>
      <c r="I135" s="94">
        <v>44238.799999999996</v>
      </c>
      <c r="J135" s="94">
        <v>48293.904533000037</v>
      </c>
      <c r="K135" s="94"/>
    </row>
    <row r="136" spans="1:11" ht="18" x14ac:dyDescent="0.3">
      <c r="A136" s="95" t="s">
        <v>101</v>
      </c>
      <c r="B136" s="96"/>
      <c r="C136" s="96"/>
      <c r="D136" s="96"/>
      <c r="E136" s="96"/>
      <c r="F136" s="96"/>
      <c r="G136" s="96"/>
      <c r="H136" s="96"/>
      <c r="I136" s="96"/>
      <c r="J136" s="96"/>
      <c r="K136" s="96"/>
    </row>
  </sheetData>
  <mergeCells count="1">
    <mergeCell ref="B49:E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5563-08F3-42AA-B674-C2F4F22D1096}">
  <dimension ref="A1:N53"/>
  <sheetViews>
    <sheetView workbookViewId="0">
      <selection sqref="A1:XFD1048576"/>
    </sheetView>
  </sheetViews>
  <sheetFormatPr baseColWidth="10" defaultRowHeight="14.4" x14ac:dyDescent="0.3"/>
  <cols>
    <col min="1" max="1" width="53.5546875" customWidth="1"/>
    <col min="2" max="13" width="12.6640625" bestFit="1" customWidth="1"/>
  </cols>
  <sheetData>
    <row r="1" spans="1:14" ht="16.2" thickBot="1" x14ac:dyDescent="0.35">
      <c r="A1" s="97" t="s">
        <v>102</v>
      </c>
      <c r="B1" s="98"/>
      <c r="C1" s="98"/>
      <c r="D1" s="98"/>
      <c r="E1" s="98"/>
      <c r="F1" s="98"/>
      <c r="G1" s="99"/>
      <c r="H1" s="99"/>
      <c r="I1" s="99"/>
      <c r="J1" s="99"/>
      <c r="K1" s="99"/>
      <c r="L1" s="99"/>
      <c r="M1" s="99"/>
      <c r="N1" s="99"/>
    </row>
    <row r="2" spans="1:14" ht="16.2" thickBot="1" x14ac:dyDescent="0.35">
      <c r="A2" s="100" t="s">
        <v>2</v>
      </c>
      <c r="B2" s="101">
        <v>2013</v>
      </c>
      <c r="C2" s="101">
        <v>2014</v>
      </c>
      <c r="D2" s="101">
        <v>2015</v>
      </c>
      <c r="E2" s="101">
        <v>2016</v>
      </c>
      <c r="F2" s="101">
        <v>2017</v>
      </c>
      <c r="G2" s="101">
        <v>2018</v>
      </c>
      <c r="H2" s="101">
        <v>2019</v>
      </c>
      <c r="I2" s="101">
        <v>2020</v>
      </c>
      <c r="J2" s="101">
        <v>2021</v>
      </c>
      <c r="K2" s="101">
        <v>2022</v>
      </c>
      <c r="L2" s="101">
        <v>2023</v>
      </c>
      <c r="M2" s="101">
        <v>2024</v>
      </c>
      <c r="N2" s="102"/>
    </row>
    <row r="3" spans="1:14" ht="16.2" thickBot="1" x14ac:dyDescent="0.35">
      <c r="A3" s="103" t="s">
        <v>103</v>
      </c>
      <c r="B3" s="104">
        <v>1671088.52</v>
      </c>
      <c r="C3" s="105">
        <v>1678718</v>
      </c>
      <c r="D3" s="105">
        <v>1826073</v>
      </c>
      <c r="E3" s="105">
        <v>1634326</v>
      </c>
      <c r="F3" s="105">
        <v>2033434</v>
      </c>
      <c r="G3" s="105">
        <v>2113188.71</v>
      </c>
      <c r="H3" s="105">
        <v>2235626</v>
      </c>
      <c r="I3" s="105">
        <v>2172712.04</v>
      </c>
      <c r="J3" s="105">
        <v>2228540.4500000002</v>
      </c>
      <c r="K3" s="105">
        <v>2358991.14</v>
      </c>
      <c r="L3" s="105">
        <v>1822440.7</v>
      </c>
      <c r="M3" s="105">
        <v>1890441.65</v>
      </c>
      <c r="N3" s="102"/>
    </row>
    <row r="4" spans="1:14" ht="16.2" thickBot="1" x14ac:dyDescent="0.35">
      <c r="A4" s="106" t="s">
        <v>104</v>
      </c>
      <c r="B4" s="104">
        <v>468570</v>
      </c>
      <c r="C4" s="105">
        <v>527865</v>
      </c>
      <c r="D4" s="105">
        <v>558275</v>
      </c>
      <c r="E4" s="105">
        <v>491495</v>
      </c>
      <c r="F4" s="105">
        <v>574576</v>
      </c>
      <c r="G4" s="105">
        <v>569849</v>
      </c>
      <c r="H4" s="105">
        <v>597670</v>
      </c>
      <c r="I4" s="105">
        <v>624321</v>
      </c>
      <c r="J4" s="105">
        <v>634182.14199999999</v>
      </c>
      <c r="K4" s="105">
        <v>734484.70900000003</v>
      </c>
      <c r="L4" s="105">
        <v>790350</v>
      </c>
      <c r="M4" s="105">
        <v>754218</v>
      </c>
      <c r="N4" s="102"/>
    </row>
    <row r="5" spans="1:14" ht="16.2" thickBot="1" x14ac:dyDescent="0.35">
      <c r="A5" s="107" t="s">
        <v>105</v>
      </c>
      <c r="B5" s="108"/>
      <c r="C5" s="109"/>
      <c r="D5" s="109"/>
      <c r="E5" s="109"/>
      <c r="F5" s="110" t="s">
        <v>106</v>
      </c>
      <c r="G5" s="110" t="s">
        <v>106</v>
      </c>
      <c r="H5" s="110" t="s">
        <v>107</v>
      </c>
      <c r="I5" s="110" t="s">
        <v>108</v>
      </c>
      <c r="J5" s="110" t="s">
        <v>109</v>
      </c>
      <c r="K5" s="110" t="s">
        <v>110</v>
      </c>
      <c r="L5" s="110" t="s">
        <v>111</v>
      </c>
      <c r="M5" s="105"/>
      <c r="N5" s="102"/>
    </row>
    <row r="6" spans="1:14" ht="16.2" thickBot="1" x14ac:dyDescent="0.35">
      <c r="A6" s="111" t="s">
        <v>112</v>
      </c>
      <c r="B6" s="112">
        <v>0.28000000000000003</v>
      </c>
      <c r="C6" s="113">
        <v>0.314</v>
      </c>
      <c r="D6" s="113">
        <v>0.30599999999999999</v>
      </c>
      <c r="E6" s="113">
        <v>0.30099999999999999</v>
      </c>
      <c r="F6" s="113">
        <v>0.28299999999999997</v>
      </c>
      <c r="G6" s="113">
        <v>0.27</v>
      </c>
      <c r="H6" s="113">
        <v>0.26700000000000002</v>
      </c>
      <c r="I6" s="113">
        <v>0.28699999999999998</v>
      </c>
      <c r="J6" s="113">
        <v>0.28499999999999998</v>
      </c>
      <c r="K6" s="113">
        <v>0.311</v>
      </c>
      <c r="L6" s="113">
        <v>0.434</v>
      </c>
      <c r="M6" s="113">
        <v>0.39900000000000002</v>
      </c>
      <c r="N6" s="102"/>
    </row>
    <row r="7" spans="1:14" ht="15.6" x14ac:dyDescent="0.3">
      <c r="A7" s="4" t="s">
        <v>113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</row>
    <row r="8" spans="1:14" ht="15.6" x14ac:dyDescent="0.3">
      <c r="A8" s="16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</row>
    <row r="9" spans="1:14" ht="15.6" x14ac:dyDescent="0.3">
      <c r="A9" s="114" t="s">
        <v>114</v>
      </c>
      <c r="B9" s="99"/>
      <c r="C9" s="114"/>
      <c r="D9" s="114"/>
      <c r="E9" s="114"/>
      <c r="F9" s="114"/>
      <c r="G9" s="114"/>
      <c r="H9" s="114"/>
      <c r="I9" s="114"/>
      <c r="J9" s="99"/>
      <c r="K9" s="99"/>
      <c r="L9" s="99"/>
      <c r="M9" s="99"/>
      <c r="N9" s="99"/>
    </row>
    <row r="10" spans="1:14" ht="15.6" x14ac:dyDescent="0.3">
      <c r="A10" s="115" t="s">
        <v>2</v>
      </c>
      <c r="B10" s="115">
        <v>2015</v>
      </c>
      <c r="C10" s="115">
        <v>2016</v>
      </c>
      <c r="D10" s="115">
        <v>2017</v>
      </c>
      <c r="E10" s="115">
        <v>2018</v>
      </c>
      <c r="F10" s="115">
        <v>2019</v>
      </c>
      <c r="G10" s="115">
        <v>2020</v>
      </c>
      <c r="H10" s="115">
        <v>2021</v>
      </c>
      <c r="I10" s="115">
        <v>2022</v>
      </c>
      <c r="J10" s="115">
        <v>2023</v>
      </c>
      <c r="K10" s="99"/>
      <c r="L10" s="99"/>
      <c r="M10" s="99"/>
      <c r="N10" s="99"/>
    </row>
    <row r="11" spans="1:14" ht="15.6" x14ac:dyDescent="0.3">
      <c r="A11" s="116" t="s">
        <v>115</v>
      </c>
      <c r="B11" s="117">
        <v>1826.1</v>
      </c>
      <c r="C11" s="117">
        <v>1634.3</v>
      </c>
      <c r="D11" s="117">
        <v>2033.5</v>
      </c>
      <c r="E11" s="117">
        <v>2112.5</v>
      </c>
      <c r="F11" s="117">
        <v>2235.6999999999998</v>
      </c>
      <c r="G11" s="117">
        <v>2172.6999999999998</v>
      </c>
      <c r="H11" s="117" t="s">
        <v>116</v>
      </c>
      <c r="I11" s="117">
        <v>2358.9</v>
      </c>
      <c r="J11" s="117">
        <v>1822.4</v>
      </c>
      <c r="K11" s="99"/>
      <c r="L11" s="99"/>
      <c r="M11" s="99"/>
      <c r="N11" s="99"/>
    </row>
    <row r="12" spans="1:14" ht="15.6" x14ac:dyDescent="0.3">
      <c r="A12" s="116" t="s">
        <v>117</v>
      </c>
      <c r="B12" s="117">
        <v>527.9</v>
      </c>
      <c r="C12" s="117">
        <v>491.5</v>
      </c>
      <c r="D12" s="117">
        <v>577</v>
      </c>
      <c r="E12" s="117" t="s">
        <v>118</v>
      </c>
      <c r="F12" s="117">
        <v>604.79999999999995</v>
      </c>
      <c r="G12" s="117">
        <v>596.4</v>
      </c>
      <c r="H12" s="117">
        <v>619.5</v>
      </c>
      <c r="I12" s="117">
        <v>636.9</v>
      </c>
      <c r="J12" s="117">
        <v>790.8</v>
      </c>
      <c r="K12" s="99"/>
      <c r="L12" s="99"/>
      <c r="M12" s="99"/>
      <c r="N12" s="99"/>
    </row>
    <row r="13" spans="1:14" ht="15.6" x14ac:dyDescent="0.3">
      <c r="A13" s="116" t="s">
        <v>112</v>
      </c>
      <c r="B13" s="118">
        <v>0.28908603033787855</v>
      </c>
      <c r="C13" s="118">
        <v>0.3007403781435477</v>
      </c>
      <c r="D13" s="118">
        <v>0.28374723383329237</v>
      </c>
      <c r="E13" s="118" t="s">
        <v>119</v>
      </c>
      <c r="F13" s="118">
        <v>0.27051930044281436</v>
      </c>
      <c r="G13" s="118">
        <v>0.27449716942053665</v>
      </c>
      <c r="H13" s="118" t="s">
        <v>119</v>
      </c>
      <c r="I13" s="118">
        <v>0.26999872822078086</v>
      </c>
      <c r="J13" s="118">
        <v>0.43393327480245825</v>
      </c>
      <c r="K13" s="99"/>
      <c r="L13" s="99"/>
      <c r="M13" s="99"/>
      <c r="N13" s="99"/>
    </row>
    <row r="14" spans="1:14" ht="15.6" x14ac:dyDescent="0.3">
      <c r="A14" s="4" t="s">
        <v>120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</row>
    <row r="15" spans="1:14" ht="15.6" x14ac:dyDescent="0.3">
      <c r="A15" s="99"/>
      <c r="B15" s="11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</row>
    <row r="16" spans="1:14" ht="16.2" thickBot="1" x14ac:dyDescent="0.35">
      <c r="A16" s="4" t="s">
        <v>121</v>
      </c>
      <c r="B16" s="99"/>
      <c r="C16" s="4"/>
      <c r="D16" s="4"/>
      <c r="E16" s="4"/>
      <c r="F16" s="4"/>
      <c r="G16" s="97"/>
      <c r="H16" s="97"/>
      <c r="I16" s="99"/>
      <c r="J16" s="99"/>
      <c r="K16" s="99"/>
      <c r="L16" s="99"/>
      <c r="M16" s="99"/>
      <c r="N16" s="99"/>
    </row>
    <row r="17" spans="1:14" ht="16.2" thickBot="1" x14ac:dyDescent="0.35">
      <c r="A17" s="115" t="s">
        <v>122</v>
      </c>
      <c r="B17" s="115">
        <v>2017</v>
      </c>
      <c r="C17" s="115">
        <v>2018</v>
      </c>
      <c r="D17" s="115">
        <v>2019</v>
      </c>
      <c r="E17" s="115">
        <v>2020</v>
      </c>
      <c r="F17" s="115">
        <v>2021</v>
      </c>
      <c r="G17" s="115">
        <v>2022</v>
      </c>
      <c r="H17" s="115">
        <v>2023</v>
      </c>
      <c r="I17" s="99"/>
      <c r="J17" s="99"/>
      <c r="K17" s="99"/>
      <c r="L17" s="99"/>
      <c r="M17" s="99"/>
      <c r="N17" s="99"/>
    </row>
    <row r="18" spans="1:14" ht="16.2" thickBot="1" x14ac:dyDescent="0.35">
      <c r="A18" s="116" t="s">
        <v>103</v>
      </c>
      <c r="B18" s="120">
        <v>2033434</v>
      </c>
      <c r="C18" s="120">
        <v>2113188.71</v>
      </c>
      <c r="D18" s="120">
        <v>2235626</v>
      </c>
      <c r="E18" s="120">
        <v>2172712.04</v>
      </c>
      <c r="F18" s="120">
        <v>2228540.4500000002</v>
      </c>
      <c r="G18" s="120">
        <v>2358991.14</v>
      </c>
      <c r="H18" s="120">
        <v>1822440.7</v>
      </c>
      <c r="I18" s="99"/>
      <c r="J18" s="99"/>
      <c r="K18" s="99"/>
      <c r="L18" s="99"/>
      <c r="M18" s="99"/>
      <c r="N18" s="99"/>
    </row>
    <row r="19" spans="1:14" ht="15.6" x14ac:dyDescent="0.3">
      <c r="A19" s="116" t="s">
        <v>105</v>
      </c>
      <c r="B19" s="117" t="s">
        <v>106</v>
      </c>
      <c r="C19" s="117" t="s">
        <v>106</v>
      </c>
      <c r="D19" s="117" t="s">
        <v>107</v>
      </c>
      <c r="E19" s="117" t="s">
        <v>108</v>
      </c>
      <c r="F19" s="117" t="s">
        <v>109</v>
      </c>
      <c r="G19" s="117" t="s">
        <v>110</v>
      </c>
      <c r="H19" s="117" t="s">
        <v>111</v>
      </c>
      <c r="I19" s="99"/>
      <c r="J19" s="99"/>
      <c r="K19" s="99"/>
      <c r="L19" s="99"/>
      <c r="M19" s="99"/>
      <c r="N19" s="99"/>
    </row>
    <row r="20" spans="1:14" ht="15.6" x14ac:dyDescent="0.3">
      <c r="A20" s="116" t="s">
        <v>123</v>
      </c>
      <c r="B20" s="117" t="s">
        <v>124</v>
      </c>
      <c r="C20" s="117" t="s">
        <v>125</v>
      </c>
      <c r="D20" s="117" t="s">
        <v>126</v>
      </c>
      <c r="E20" s="117" t="s">
        <v>127</v>
      </c>
      <c r="F20" s="117" t="s">
        <v>128</v>
      </c>
      <c r="G20" s="117" t="s">
        <v>129</v>
      </c>
      <c r="H20" s="117" t="s">
        <v>130</v>
      </c>
      <c r="I20" s="99"/>
      <c r="J20" s="99"/>
      <c r="K20" s="99"/>
      <c r="L20" s="99"/>
      <c r="M20" s="99"/>
      <c r="N20" s="99"/>
    </row>
    <row r="21" spans="1:14" ht="15.6" x14ac:dyDescent="0.3">
      <c r="A21" s="116" t="s">
        <v>131</v>
      </c>
      <c r="B21" s="121">
        <v>0.28375349285986168</v>
      </c>
      <c r="C21" s="121">
        <v>0.26464220663651006</v>
      </c>
      <c r="D21" s="121">
        <v>0.27053585886011344</v>
      </c>
      <c r="E21" s="122" t="e">
        <v>#VALUE!</v>
      </c>
      <c r="F21" s="121" t="s">
        <v>132</v>
      </c>
      <c r="G21" s="121" t="s">
        <v>133</v>
      </c>
      <c r="H21" s="121" t="s">
        <v>134</v>
      </c>
      <c r="I21" s="99"/>
      <c r="J21" s="99"/>
      <c r="K21" s="99"/>
      <c r="L21" s="99"/>
      <c r="M21" s="99"/>
      <c r="N21" s="99"/>
    </row>
    <row r="22" spans="1:14" ht="15.6" x14ac:dyDescent="0.3">
      <c r="A22" s="123" t="s">
        <v>135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</row>
    <row r="23" spans="1:14" ht="15.6" x14ac:dyDescent="0.3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</row>
    <row r="24" spans="1:14" ht="15.6" x14ac:dyDescent="0.3">
      <c r="A24" s="4" t="s">
        <v>136</v>
      </c>
      <c r="B24" s="4"/>
      <c r="C24" s="4"/>
      <c r="D24" s="4"/>
      <c r="E24" s="4"/>
      <c r="F24" s="4"/>
      <c r="G24" s="99"/>
      <c r="H24" s="4"/>
      <c r="I24" s="4"/>
      <c r="J24" s="99"/>
      <c r="K24" s="99"/>
      <c r="L24" s="99"/>
      <c r="M24" s="99"/>
      <c r="N24" s="99"/>
    </row>
    <row r="25" spans="1:14" ht="15.6" x14ac:dyDescent="0.3">
      <c r="A25" s="124" t="s">
        <v>2</v>
      </c>
      <c r="B25" s="124" t="s">
        <v>137</v>
      </c>
      <c r="C25" s="124" t="s">
        <v>138</v>
      </c>
      <c r="D25" s="124" t="s">
        <v>139</v>
      </c>
      <c r="E25" s="124" t="s">
        <v>140</v>
      </c>
      <c r="F25" s="124" t="s">
        <v>141</v>
      </c>
      <c r="G25" s="124" t="s">
        <v>142</v>
      </c>
      <c r="H25" s="124" t="s">
        <v>143</v>
      </c>
      <c r="I25" s="124" t="s">
        <v>144</v>
      </c>
      <c r="J25" s="125" t="s">
        <v>145</v>
      </c>
      <c r="K25" s="124">
        <v>2024</v>
      </c>
      <c r="L25" s="99"/>
      <c r="M25" s="99"/>
      <c r="N25" s="99"/>
    </row>
    <row r="26" spans="1:14" ht="15.6" x14ac:dyDescent="0.3">
      <c r="A26" s="116" t="s">
        <v>146</v>
      </c>
      <c r="B26" s="110">
        <v>126.1</v>
      </c>
      <c r="C26" s="110">
        <v>107.6</v>
      </c>
      <c r="D26" s="110">
        <v>32.6</v>
      </c>
      <c r="E26" s="110">
        <v>122.6</v>
      </c>
      <c r="F26" s="110">
        <v>95.2</v>
      </c>
      <c r="G26" s="110">
        <v>82.4</v>
      </c>
      <c r="H26" s="110">
        <v>62.2</v>
      </c>
      <c r="I26" s="110">
        <v>95.5</v>
      </c>
      <c r="J26" s="110">
        <v>46.9</v>
      </c>
      <c r="K26" s="126"/>
      <c r="L26" s="99"/>
      <c r="M26" s="99"/>
      <c r="N26" s="99"/>
    </row>
    <row r="27" spans="1:14" ht="15.6" x14ac:dyDescent="0.3">
      <c r="A27" s="116" t="s">
        <v>147</v>
      </c>
      <c r="B27" s="110">
        <v>19.2</v>
      </c>
      <c r="C27" s="110">
        <v>12.1</v>
      </c>
      <c r="D27" s="110">
        <v>9.8000000000000007</v>
      </c>
      <c r="E27" s="110" t="s">
        <v>118</v>
      </c>
      <c r="F27" s="110" t="s">
        <v>148</v>
      </c>
      <c r="G27" s="110">
        <v>17.7</v>
      </c>
      <c r="H27" s="110" t="s">
        <v>149</v>
      </c>
      <c r="I27" s="110">
        <v>9.5</v>
      </c>
      <c r="J27" s="110">
        <v>15.8</v>
      </c>
      <c r="K27" s="127"/>
      <c r="L27" s="99"/>
      <c r="M27" s="99"/>
      <c r="N27" s="99"/>
    </row>
    <row r="28" spans="1:14" ht="15.6" x14ac:dyDescent="0.3">
      <c r="A28" s="116" t="s">
        <v>150</v>
      </c>
      <c r="B28" s="128">
        <v>0.15226011102299764</v>
      </c>
      <c r="C28" s="128">
        <v>0.11245353159851301</v>
      </c>
      <c r="D28" s="128">
        <v>0.30061349693251532</v>
      </c>
      <c r="E28" s="110" t="s">
        <v>118</v>
      </c>
      <c r="F28" s="128">
        <v>0.15756302521008403</v>
      </c>
      <c r="G28" s="128">
        <v>0.21480582524271843</v>
      </c>
      <c r="H28" s="128">
        <v>0.27331189710610931</v>
      </c>
      <c r="I28" s="128">
        <v>9.947643979057591E-2</v>
      </c>
      <c r="J28" s="128">
        <v>0.33688699360341157</v>
      </c>
      <c r="K28" s="126"/>
      <c r="L28" s="99"/>
      <c r="M28" s="99"/>
      <c r="N28" s="99"/>
    </row>
    <row r="29" spans="1:14" ht="15.6" x14ac:dyDescent="0.3">
      <c r="A29" s="123" t="s">
        <v>135</v>
      </c>
      <c r="B29" s="99"/>
      <c r="C29" s="99"/>
      <c r="D29" s="99"/>
      <c r="E29" s="99"/>
      <c r="F29" s="99"/>
      <c r="G29" s="99"/>
      <c r="H29" s="99"/>
      <c r="I29" s="99"/>
      <c r="J29" s="99"/>
      <c r="K29" s="129"/>
      <c r="L29" s="99"/>
      <c r="M29" s="99"/>
      <c r="N29" s="99"/>
    </row>
    <row r="30" spans="1:14" ht="15.6" x14ac:dyDescent="0.3">
      <c r="A30" s="99"/>
      <c r="B30" s="99"/>
      <c r="C30" s="99"/>
      <c r="D30" s="99"/>
      <c r="E30" s="99"/>
      <c r="F30" s="99"/>
      <c r="G30" s="99"/>
      <c r="H30" s="99"/>
      <c r="I30" s="4"/>
      <c r="J30" s="99"/>
      <c r="K30" s="99"/>
      <c r="L30" s="99"/>
      <c r="M30" s="99"/>
      <c r="N30" s="99"/>
    </row>
    <row r="31" spans="1:14" ht="15.6" x14ac:dyDescent="0.3">
      <c r="A31" s="130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</row>
    <row r="32" spans="1:14" ht="17.399999999999999" x14ac:dyDescent="0.3">
      <c r="A32" s="3" t="s">
        <v>151</v>
      </c>
      <c r="B32" s="99"/>
      <c r="C32" s="4"/>
      <c r="D32" s="4"/>
      <c r="E32" s="4"/>
      <c r="F32" s="4"/>
      <c r="G32" s="99"/>
      <c r="H32" s="99"/>
      <c r="I32" s="99"/>
      <c r="J32" s="99"/>
      <c r="K32" s="99"/>
      <c r="L32" s="99"/>
      <c r="M32" s="99"/>
      <c r="N32" s="99"/>
    </row>
    <row r="33" spans="1:14" ht="15.6" x14ac:dyDescent="0.3">
      <c r="A33" s="7" t="s">
        <v>2</v>
      </c>
      <c r="B33" s="7">
        <v>2012</v>
      </c>
      <c r="C33" s="7">
        <v>2013</v>
      </c>
      <c r="D33" s="7">
        <v>2014</v>
      </c>
      <c r="E33" s="7">
        <v>2015</v>
      </c>
      <c r="F33" s="7">
        <v>2016</v>
      </c>
      <c r="G33" s="7">
        <v>2017</v>
      </c>
      <c r="H33" s="7">
        <v>2018</v>
      </c>
      <c r="I33" s="7">
        <v>2019</v>
      </c>
      <c r="J33" s="7">
        <v>202</v>
      </c>
      <c r="K33" s="7">
        <v>2021</v>
      </c>
      <c r="L33" s="7">
        <v>2022</v>
      </c>
      <c r="M33" s="7">
        <v>2023</v>
      </c>
      <c r="N33" s="7">
        <v>2024</v>
      </c>
    </row>
    <row r="34" spans="1:14" ht="15.6" x14ac:dyDescent="0.3">
      <c r="A34" s="116" t="s">
        <v>152</v>
      </c>
      <c r="B34" s="126">
        <v>450000</v>
      </c>
      <c r="C34" s="126">
        <v>487761</v>
      </c>
      <c r="D34" s="126">
        <v>564780</v>
      </c>
      <c r="E34" s="126">
        <v>702510</v>
      </c>
      <c r="F34" s="126">
        <v>649587</v>
      </c>
      <c r="G34" s="126">
        <v>711236</v>
      </c>
      <c r="H34" s="126">
        <v>761317</v>
      </c>
      <c r="I34" s="126">
        <v>634631</v>
      </c>
      <c r="J34" s="126">
        <v>848700</v>
      </c>
      <c r="K34" s="126">
        <v>968676</v>
      </c>
      <c r="L34" s="126">
        <v>1028172</v>
      </c>
      <c r="M34" s="126">
        <v>1225935</v>
      </c>
      <c r="N34" s="126">
        <v>944673</v>
      </c>
    </row>
    <row r="35" spans="1:14" ht="15.6" x14ac:dyDescent="0.3">
      <c r="A35" s="116" t="s">
        <v>153</v>
      </c>
      <c r="B35" s="110"/>
      <c r="C35" s="127"/>
      <c r="D35" s="131">
        <v>77384</v>
      </c>
      <c r="E35" s="131">
        <v>95949</v>
      </c>
      <c r="F35" s="131">
        <v>104500</v>
      </c>
      <c r="G35" s="131">
        <v>109500</v>
      </c>
      <c r="H35" s="131">
        <v>167300</v>
      </c>
      <c r="I35" s="131">
        <v>199300</v>
      </c>
      <c r="J35" s="131">
        <v>214500</v>
      </c>
      <c r="K35" s="131">
        <v>214500</v>
      </c>
      <c r="L35" s="131">
        <v>214500</v>
      </c>
      <c r="M35" s="131">
        <v>350000</v>
      </c>
      <c r="N35" s="127"/>
    </row>
    <row r="36" spans="1:14" ht="15.6" x14ac:dyDescent="0.3">
      <c r="A36" s="116" t="s">
        <v>154</v>
      </c>
      <c r="B36" s="110"/>
      <c r="C36" s="132">
        <v>31220</v>
      </c>
      <c r="D36" s="131">
        <v>37696</v>
      </c>
      <c r="E36" s="131">
        <v>41012</v>
      </c>
      <c r="F36" s="131">
        <v>40383</v>
      </c>
      <c r="G36" s="131">
        <v>44628</v>
      </c>
      <c r="H36" s="131">
        <v>68515</v>
      </c>
      <c r="I36" s="131">
        <v>57466</v>
      </c>
      <c r="J36" s="131">
        <v>103101</v>
      </c>
      <c r="K36" s="131">
        <v>136854</v>
      </c>
      <c r="L36" s="131">
        <v>224036</v>
      </c>
      <c r="M36" s="131">
        <v>265863</v>
      </c>
      <c r="N36" s="126">
        <v>344028</v>
      </c>
    </row>
    <row r="37" spans="1:14" ht="15.6" x14ac:dyDescent="0.3">
      <c r="A37" s="116" t="s">
        <v>131</v>
      </c>
      <c r="B37" s="128"/>
      <c r="C37" s="133">
        <v>6.4000000000000001E-2</v>
      </c>
      <c r="D37" s="128">
        <v>6.7000000000000004E-2</v>
      </c>
      <c r="E37" s="128">
        <v>5.8000000000000003E-2</v>
      </c>
      <c r="F37" s="128">
        <v>6.2E-2</v>
      </c>
      <c r="G37" s="134">
        <v>6.3E-2</v>
      </c>
      <c r="H37" s="128">
        <v>9.1999999999999998E-2</v>
      </c>
      <c r="I37" s="128">
        <v>9.2999999999999999E-2</v>
      </c>
      <c r="J37" s="128">
        <v>0.122</v>
      </c>
      <c r="K37" s="128">
        <v>0.14099999999999999</v>
      </c>
      <c r="L37" s="128">
        <v>0.218</v>
      </c>
      <c r="M37" s="128">
        <v>0.217</v>
      </c>
      <c r="N37" s="121">
        <v>0.36399999999999999</v>
      </c>
    </row>
    <row r="38" spans="1:14" ht="31.2" x14ac:dyDescent="0.3">
      <c r="A38" s="130" t="s">
        <v>155</v>
      </c>
      <c r="B38" s="99"/>
      <c r="C38" s="99"/>
      <c r="D38" s="99"/>
      <c r="E38" s="99"/>
      <c r="F38" s="102"/>
      <c r="G38" s="99"/>
      <c r="H38" s="99"/>
      <c r="I38" s="99"/>
      <c r="J38" s="99"/>
      <c r="K38" s="99"/>
      <c r="L38" s="99"/>
      <c r="M38" s="99"/>
      <c r="N38" s="99"/>
    </row>
    <row r="39" spans="1:14" ht="15.6" x14ac:dyDescent="0.3">
      <c r="A39" s="130" t="s">
        <v>156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</row>
    <row r="40" spans="1:14" ht="15.6" x14ac:dyDescent="0.3">
      <c r="A40" s="130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</row>
    <row r="41" spans="1:14" ht="17.399999999999999" x14ac:dyDescent="0.3">
      <c r="A41" s="3" t="s">
        <v>157</v>
      </c>
      <c r="B41" s="99"/>
      <c r="C41" s="3"/>
      <c r="D41" s="3"/>
      <c r="E41" s="3"/>
      <c r="F41" s="3"/>
      <c r="G41" s="99"/>
      <c r="H41" s="99"/>
      <c r="I41" s="99"/>
      <c r="J41" s="99"/>
      <c r="K41" s="99"/>
      <c r="L41" s="99"/>
      <c r="M41" s="99"/>
      <c r="N41" s="99"/>
    </row>
    <row r="42" spans="1:14" ht="15.6" x14ac:dyDescent="0.3">
      <c r="A42" s="7" t="s">
        <v>2</v>
      </c>
      <c r="B42" s="7">
        <v>2016</v>
      </c>
      <c r="C42" s="7">
        <v>2017</v>
      </c>
      <c r="D42" s="7">
        <v>2018</v>
      </c>
      <c r="E42" s="7">
        <v>2019</v>
      </c>
      <c r="F42" s="7">
        <v>2020</v>
      </c>
      <c r="G42" s="7">
        <v>2021</v>
      </c>
      <c r="H42" s="7">
        <v>2022</v>
      </c>
      <c r="I42" s="7">
        <v>2023</v>
      </c>
      <c r="J42" s="7">
        <v>2024</v>
      </c>
      <c r="K42" s="99"/>
      <c r="L42" s="99"/>
      <c r="M42" s="99"/>
      <c r="N42" s="99"/>
    </row>
    <row r="43" spans="1:14" ht="15.6" x14ac:dyDescent="0.3">
      <c r="A43" s="116" t="s">
        <v>158</v>
      </c>
      <c r="B43" s="135">
        <v>453040</v>
      </c>
      <c r="C43" s="135">
        <v>606420</v>
      </c>
      <c r="D43" s="135">
        <v>624139</v>
      </c>
      <c r="E43" s="135">
        <v>780051</v>
      </c>
      <c r="F43" s="136" t="s">
        <v>159</v>
      </c>
      <c r="G43" s="135">
        <v>1100386</v>
      </c>
      <c r="H43" s="135">
        <v>1320076</v>
      </c>
      <c r="I43" s="135">
        <v>1624824</v>
      </c>
      <c r="J43" s="126"/>
      <c r="K43" s="99"/>
      <c r="L43" s="99"/>
      <c r="M43" s="99"/>
      <c r="N43" s="99"/>
    </row>
    <row r="44" spans="1:14" ht="15.6" x14ac:dyDescent="0.3">
      <c r="A44" s="116" t="s">
        <v>160</v>
      </c>
      <c r="B44" s="131">
        <v>595120</v>
      </c>
      <c r="C44" s="131">
        <v>678700</v>
      </c>
      <c r="D44" s="131">
        <v>704000</v>
      </c>
      <c r="E44" s="131">
        <v>739200</v>
      </c>
      <c r="F44" s="131">
        <v>1160740</v>
      </c>
      <c r="G44" s="110" t="s">
        <v>161</v>
      </c>
      <c r="H44" s="131">
        <v>1372800</v>
      </c>
      <c r="I44" s="131">
        <v>1372800</v>
      </c>
      <c r="J44" s="127"/>
      <c r="K44" s="99"/>
      <c r="L44" s="99"/>
      <c r="M44" s="99"/>
      <c r="N44" s="99"/>
    </row>
    <row r="45" spans="1:14" ht="15.6" x14ac:dyDescent="0.3">
      <c r="A45" s="116" t="s">
        <v>162</v>
      </c>
      <c r="B45" s="131">
        <v>453040</v>
      </c>
      <c r="C45" s="131">
        <v>471002</v>
      </c>
      <c r="D45" s="131">
        <v>504852</v>
      </c>
      <c r="E45" s="131">
        <v>573222</v>
      </c>
      <c r="F45" s="131">
        <v>659741</v>
      </c>
      <c r="G45" s="131">
        <v>861206</v>
      </c>
      <c r="H45" s="131">
        <v>1053284</v>
      </c>
      <c r="I45" s="131">
        <v>1288386</v>
      </c>
      <c r="J45" s="126"/>
      <c r="K45" s="99"/>
      <c r="L45" s="99"/>
      <c r="M45" s="99"/>
      <c r="N45" s="99"/>
    </row>
    <row r="46" spans="1:14" ht="15.6" x14ac:dyDescent="0.3">
      <c r="A46" s="116" t="s">
        <v>131</v>
      </c>
      <c r="B46" s="137">
        <v>1</v>
      </c>
      <c r="C46" s="128">
        <v>0.77669999999999995</v>
      </c>
      <c r="D46" s="128">
        <v>0.80889999999999995</v>
      </c>
      <c r="E46" s="134">
        <v>0.7349</v>
      </c>
      <c r="F46" s="128">
        <v>0.69040000000000001</v>
      </c>
      <c r="G46" s="128">
        <v>0.78259999999999996</v>
      </c>
      <c r="H46" s="128">
        <v>0.79790000000000005</v>
      </c>
      <c r="I46" s="128">
        <v>0.79290000000000005</v>
      </c>
      <c r="J46" s="121"/>
      <c r="K46" s="99"/>
      <c r="L46" s="99"/>
      <c r="M46" s="99"/>
      <c r="N46" s="99"/>
    </row>
    <row r="47" spans="1:14" ht="31.2" x14ac:dyDescent="0.3">
      <c r="A47" s="130" t="s">
        <v>163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</row>
    <row r="48" spans="1:14" ht="15.6" x14ac:dyDescent="0.3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</row>
    <row r="49" spans="1:14" ht="17.399999999999999" x14ac:dyDescent="0.3">
      <c r="A49" s="3" t="s">
        <v>164</v>
      </c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</row>
    <row r="50" spans="1:14" ht="15.6" x14ac:dyDescent="0.3">
      <c r="A50" s="138" t="s">
        <v>165</v>
      </c>
      <c r="B50" s="7" t="s">
        <v>166</v>
      </c>
      <c r="C50" s="7" t="s">
        <v>167</v>
      </c>
      <c r="D50" s="7" t="s">
        <v>168</v>
      </c>
      <c r="E50" s="7" t="s">
        <v>169</v>
      </c>
      <c r="F50" s="7" t="s">
        <v>170</v>
      </c>
      <c r="G50" s="138" t="s">
        <v>171</v>
      </c>
      <c r="H50" s="99"/>
      <c r="I50" s="99"/>
      <c r="J50" s="99"/>
      <c r="K50" s="99"/>
      <c r="L50" s="99"/>
      <c r="M50" s="99"/>
      <c r="N50" s="99"/>
    </row>
    <row r="51" spans="1:14" ht="15.6" x14ac:dyDescent="0.3">
      <c r="A51" s="139" t="s">
        <v>172</v>
      </c>
      <c r="B51" s="136">
        <v>153614</v>
      </c>
      <c r="C51" s="136">
        <v>164000</v>
      </c>
      <c r="D51" s="136">
        <v>206323</v>
      </c>
      <c r="E51" s="136">
        <v>231663</v>
      </c>
      <c r="F51" s="136">
        <v>229131</v>
      </c>
      <c r="G51" s="136">
        <v>280903</v>
      </c>
      <c r="H51" s="99"/>
      <c r="I51" s="99"/>
      <c r="J51" s="99"/>
      <c r="K51" s="99"/>
      <c r="L51" s="99"/>
      <c r="M51" s="99"/>
      <c r="N51" s="99"/>
    </row>
    <row r="52" spans="1:14" ht="31.2" x14ac:dyDescent="0.3">
      <c r="A52" s="116" t="s">
        <v>173</v>
      </c>
      <c r="B52" s="136">
        <v>46585</v>
      </c>
      <c r="C52" s="136">
        <v>44100</v>
      </c>
      <c r="D52" s="136">
        <v>60500</v>
      </c>
      <c r="E52" s="136">
        <v>34708</v>
      </c>
      <c r="F52" s="136">
        <v>61511</v>
      </c>
      <c r="G52" s="136">
        <v>99936</v>
      </c>
      <c r="H52" s="99"/>
      <c r="I52" s="99"/>
      <c r="J52" s="99"/>
      <c r="K52" s="99"/>
      <c r="L52" s="99"/>
      <c r="M52" s="99"/>
      <c r="N52" s="99"/>
    </row>
    <row r="53" spans="1:14" ht="31.2" x14ac:dyDescent="0.3">
      <c r="A53" s="130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ADD9-4E42-46BF-B8E6-E509D4FE4E91}">
  <dimension ref="A1:O34"/>
  <sheetViews>
    <sheetView tabSelected="1" workbookViewId="0">
      <selection activeCell="D20" sqref="D20"/>
    </sheetView>
  </sheetViews>
  <sheetFormatPr baseColWidth="10" defaultRowHeight="14.4" x14ac:dyDescent="0.3"/>
  <cols>
    <col min="1" max="1" width="45.109375" customWidth="1"/>
  </cols>
  <sheetData>
    <row r="1" spans="1:15" ht="20.399999999999999" x14ac:dyDescent="0.35">
      <c r="A1" s="140" t="s">
        <v>174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15" ht="15.6" x14ac:dyDescent="0.3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</row>
    <row r="3" spans="1:15" ht="17.399999999999999" x14ac:dyDescent="0.3">
      <c r="A3" s="142" t="s">
        <v>175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</row>
    <row r="4" spans="1:15" ht="15.6" x14ac:dyDescent="0.3">
      <c r="A4" s="64"/>
      <c r="B4" s="20">
        <v>2015</v>
      </c>
      <c r="C4" s="20">
        <v>2016</v>
      </c>
      <c r="D4" s="20">
        <v>2017</v>
      </c>
      <c r="E4" s="20">
        <v>2018</v>
      </c>
      <c r="F4" s="20">
        <v>2019</v>
      </c>
      <c r="G4" s="20">
        <v>2020</v>
      </c>
      <c r="H4" s="20">
        <v>2021</v>
      </c>
      <c r="I4" s="20">
        <v>2022</v>
      </c>
      <c r="J4" s="20">
        <v>2023</v>
      </c>
      <c r="K4" s="141"/>
      <c r="L4" s="141"/>
      <c r="M4" s="141"/>
      <c r="N4" s="141"/>
      <c r="O4" s="141"/>
    </row>
    <row r="5" spans="1:15" ht="15.6" x14ac:dyDescent="0.3">
      <c r="A5" s="143" t="s">
        <v>176</v>
      </c>
      <c r="B5" s="144"/>
      <c r="C5" s="144"/>
      <c r="D5" s="144"/>
      <c r="E5" s="144"/>
      <c r="F5" s="144"/>
      <c r="G5" s="144"/>
      <c r="H5" s="144"/>
      <c r="I5" s="144"/>
      <c r="J5" s="145"/>
      <c r="K5" s="141"/>
      <c r="L5" s="141"/>
      <c r="M5" s="141"/>
      <c r="N5" s="141"/>
      <c r="O5" s="141"/>
    </row>
    <row r="6" spans="1:15" ht="15.6" x14ac:dyDescent="0.3">
      <c r="A6" s="59" t="s">
        <v>177</v>
      </c>
      <c r="B6" s="146">
        <v>0.29199999999999998</v>
      </c>
      <c r="C6" s="146">
        <v>0.315</v>
      </c>
      <c r="D6" s="146">
        <v>0.32900000000000001</v>
      </c>
      <c r="E6" s="146">
        <v>0.35699999999999998</v>
      </c>
      <c r="F6" s="146">
        <v>0.376</v>
      </c>
      <c r="G6" s="146">
        <v>0.46300000000000002</v>
      </c>
      <c r="H6" s="146">
        <v>0.502</v>
      </c>
      <c r="I6" s="146">
        <v>0.56000000000000005</v>
      </c>
      <c r="J6" s="146">
        <v>0.57499999999999996</v>
      </c>
      <c r="K6" s="141"/>
      <c r="L6" s="141"/>
      <c r="M6" s="141"/>
      <c r="N6" s="141"/>
      <c r="O6" s="141"/>
    </row>
    <row r="7" spans="1:15" ht="15.6" x14ac:dyDescent="0.3">
      <c r="A7" s="147" t="s">
        <v>178</v>
      </c>
      <c r="B7" s="146">
        <v>0.16600000000000001</v>
      </c>
      <c r="C7" s="146">
        <v>0.17299999999999999</v>
      </c>
      <c r="D7" s="146">
        <v>0.189</v>
      </c>
      <c r="E7" s="146">
        <v>0.23400000000000001</v>
      </c>
      <c r="F7" s="146">
        <v>0.251</v>
      </c>
      <c r="G7" s="146">
        <v>0.29699999999999999</v>
      </c>
      <c r="H7" s="146">
        <v>0.30499999999999999</v>
      </c>
      <c r="I7" s="146">
        <v>0.34100000000000003</v>
      </c>
      <c r="J7" s="146">
        <v>0.35499999999999998</v>
      </c>
      <c r="K7" s="141"/>
      <c r="L7" s="141"/>
      <c r="M7" s="141"/>
      <c r="N7" s="141"/>
      <c r="O7" s="141"/>
    </row>
    <row r="8" spans="1:15" ht="15.6" x14ac:dyDescent="0.3">
      <c r="A8" s="147" t="s">
        <v>179</v>
      </c>
      <c r="B8" s="146">
        <v>0.126</v>
      </c>
      <c r="C8" s="146">
        <v>0.14099999999999999</v>
      </c>
      <c r="D8" s="146">
        <v>0.14000000000000001</v>
      </c>
      <c r="E8" s="146">
        <v>0.123</v>
      </c>
      <c r="F8" s="146">
        <v>0.125</v>
      </c>
      <c r="G8" s="146">
        <v>0.16700000000000001</v>
      </c>
      <c r="H8" s="146">
        <v>0.19700000000000001</v>
      </c>
      <c r="I8" s="146">
        <v>0.219</v>
      </c>
      <c r="J8" s="146">
        <v>0.22</v>
      </c>
      <c r="K8" s="141"/>
      <c r="L8" s="141"/>
      <c r="M8" s="141"/>
      <c r="N8" s="141"/>
      <c r="O8" s="141"/>
    </row>
    <row r="9" spans="1:15" ht="15.6" x14ac:dyDescent="0.3">
      <c r="A9" s="143" t="s">
        <v>180</v>
      </c>
      <c r="B9" s="144"/>
      <c r="C9" s="144"/>
      <c r="D9" s="144"/>
      <c r="E9" s="144"/>
      <c r="F9" s="144"/>
      <c r="G9" s="144"/>
      <c r="H9" s="144"/>
      <c r="I9" s="144"/>
      <c r="J9" s="145"/>
      <c r="K9" s="141"/>
      <c r="L9" s="141"/>
      <c r="M9" s="141"/>
      <c r="N9" s="141"/>
      <c r="O9" s="141"/>
    </row>
    <row r="10" spans="1:15" ht="15.6" x14ac:dyDescent="0.3">
      <c r="A10" s="59" t="s">
        <v>177</v>
      </c>
      <c r="B10" s="148">
        <v>7914.8</v>
      </c>
      <c r="C10" s="148">
        <v>9023.2000000000007</v>
      </c>
      <c r="D10" s="148">
        <v>10045.1</v>
      </c>
      <c r="E10" s="148">
        <v>11607.8</v>
      </c>
      <c r="F10" s="148">
        <v>13300.2</v>
      </c>
      <c r="G10" s="148">
        <v>16802.3</v>
      </c>
      <c r="H10" s="148">
        <v>20269.8</v>
      </c>
      <c r="I10" s="148">
        <v>24774.400000000001</v>
      </c>
      <c r="J10" s="148">
        <v>27782.6</v>
      </c>
      <c r="K10" s="141"/>
      <c r="L10" s="141"/>
      <c r="M10" s="141"/>
      <c r="N10" s="141"/>
      <c r="O10" s="141"/>
    </row>
    <row r="11" spans="1:15" ht="15.6" x14ac:dyDescent="0.3">
      <c r="A11" s="147" t="s">
        <v>178</v>
      </c>
      <c r="B11" s="148">
        <v>4489.1000000000004</v>
      </c>
      <c r="C11" s="148">
        <v>4974.2</v>
      </c>
      <c r="D11" s="148">
        <v>5770</v>
      </c>
      <c r="E11" s="148">
        <v>7613.4</v>
      </c>
      <c r="F11" s="148">
        <v>8867.5</v>
      </c>
      <c r="G11" s="148">
        <v>10756.7</v>
      </c>
      <c r="H11" s="149">
        <v>12310.6</v>
      </c>
      <c r="I11" s="148">
        <v>15069.1</v>
      </c>
      <c r="J11" s="148">
        <v>17156.3</v>
      </c>
      <c r="K11" s="141"/>
      <c r="L11" s="141"/>
      <c r="M11" s="141"/>
      <c r="N11" s="141"/>
      <c r="O11" s="141"/>
    </row>
    <row r="12" spans="1:15" ht="15.6" x14ac:dyDescent="0.3">
      <c r="A12" s="147" t="s">
        <v>179</v>
      </c>
      <c r="B12" s="148">
        <v>3425.7</v>
      </c>
      <c r="C12" s="148">
        <v>4049.1</v>
      </c>
      <c r="D12" s="148">
        <v>4275.1000000000004</v>
      </c>
      <c r="E12" s="148">
        <v>3994.4</v>
      </c>
      <c r="F12" s="148">
        <v>4432.7</v>
      </c>
      <c r="G12" s="148">
        <v>6045.6</v>
      </c>
      <c r="H12" s="149">
        <v>7959.2</v>
      </c>
      <c r="I12" s="148">
        <v>9705.2999999999993</v>
      </c>
      <c r="J12" s="148">
        <v>10626.3</v>
      </c>
      <c r="K12" s="141"/>
      <c r="L12" s="141"/>
      <c r="M12" s="141"/>
      <c r="N12" s="141"/>
      <c r="O12" s="141"/>
    </row>
    <row r="13" spans="1:15" ht="15.6" x14ac:dyDescent="0.3">
      <c r="A13" s="59" t="s">
        <v>100</v>
      </c>
      <c r="B13" s="148">
        <v>27086.2</v>
      </c>
      <c r="C13" s="148">
        <v>28686.2</v>
      </c>
      <c r="D13" s="148">
        <v>30491.9</v>
      </c>
      <c r="E13" s="148">
        <v>32506.6</v>
      </c>
      <c r="F13" s="148">
        <v>35379.1</v>
      </c>
      <c r="G13" s="148">
        <v>36278</v>
      </c>
      <c r="H13" s="148">
        <v>40366.9</v>
      </c>
      <c r="I13" s="148">
        <v>44238.8</v>
      </c>
      <c r="J13" s="148">
        <v>48293.9</v>
      </c>
      <c r="K13" s="141"/>
      <c r="L13" s="141"/>
      <c r="M13" s="141"/>
      <c r="N13" s="141"/>
      <c r="O13" s="141"/>
    </row>
    <row r="14" spans="1:15" ht="15.6" x14ac:dyDescent="0.3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</row>
    <row r="15" spans="1:15" ht="17.399999999999999" x14ac:dyDescent="0.3">
      <c r="A15" s="150" t="s">
        <v>181</v>
      </c>
      <c r="B15" s="141"/>
      <c r="C15" s="141"/>
      <c r="D15" s="141"/>
      <c r="E15" s="141"/>
      <c r="F15" s="48"/>
      <c r="G15" s="48"/>
      <c r="H15" s="48"/>
      <c r="I15" s="48"/>
      <c r="J15" s="48"/>
      <c r="K15" s="48"/>
      <c r="L15" s="141"/>
      <c r="M15" s="141"/>
      <c r="N15" s="141"/>
      <c r="O15" s="141"/>
    </row>
    <row r="16" spans="1:15" ht="15.6" x14ac:dyDescent="0.3">
      <c r="A16" s="64" t="s">
        <v>2</v>
      </c>
      <c r="B16" s="20">
        <v>2011</v>
      </c>
      <c r="C16" s="20">
        <v>2012</v>
      </c>
      <c r="D16" s="20">
        <v>2013</v>
      </c>
      <c r="E16" s="20">
        <v>2014</v>
      </c>
      <c r="F16" s="20">
        <v>2015</v>
      </c>
      <c r="G16" s="20">
        <v>2016</v>
      </c>
      <c r="H16" s="20">
        <v>2017</v>
      </c>
      <c r="I16" s="20">
        <v>2018</v>
      </c>
      <c r="J16" s="20">
        <v>2019</v>
      </c>
      <c r="K16" s="20">
        <v>2020</v>
      </c>
      <c r="L16" s="20">
        <v>2021</v>
      </c>
      <c r="M16" s="20">
        <v>2022</v>
      </c>
      <c r="N16" s="20">
        <v>2023</v>
      </c>
      <c r="O16" s="20">
        <v>2024</v>
      </c>
    </row>
    <row r="17" spans="1:15" ht="15.6" x14ac:dyDescent="0.3">
      <c r="A17" s="59" t="s">
        <v>182</v>
      </c>
      <c r="B17" s="148">
        <v>8377.1</v>
      </c>
      <c r="C17" s="148">
        <v>4679.6000000000004</v>
      </c>
      <c r="D17" s="148">
        <v>5257.2</v>
      </c>
      <c r="E17" s="148">
        <v>6438.6</v>
      </c>
      <c r="F17" s="148">
        <v>7914.8</v>
      </c>
      <c r="G17" s="148">
        <v>9023.2000000000007</v>
      </c>
      <c r="H17" s="149">
        <v>10045.1</v>
      </c>
      <c r="I17" s="148">
        <v>11607.8</v>
      </c>
      <c r="J17" s="148">
        <v>13300.2</v>
      </c>
      <c r="K17" s="148">
        <v>16802.3</v>
      </c>
      <c r="L17" s="149">
        <v>20269.8</v>
      </c>
      <c r="M17" s="148">
        <v>24774.400000000001</v>
      </c>
      <c r="N17" s="148">
        <v>27782.6</v>
      </c>
      <c r="O17" s="148">
        <v>31406.9</v>
      </c>
    </row>
    <row r="18" spans="1:15" ht="15.6" x14ac:dyDescent="0.3">
      <c r="A18" s="74" t="s">
        <v>183</v>
      </c>
      <c r="B18" s="151">
        <v>0.69899999999999995</v>
      </c>
      <c r="C18" s="151">
        <v>0.34200000000000003</v>
      </c>
      <c r="D18" s="151">
        <v>0.34</v>
      </c>
      <c r="E18" s="151">
        <v>0.36899999999999999</v>
      </c>
      <c r="F18" s="151">
        <v>0.29199999999999998</v>
      </c>
      <c r="G18" s="151">
        <v>0.315</v>
      </c>
      <c r="H18" s="151">
        <v>0.32900000000000001</v>
      </c>
      <c r="I18" s="151">
        <v>0.35699999999999998</v>
      </c>
      <c r="J18" s="151">
        <v>0.379</v>
      </c>
      <c r="K18" s="151">
        <v>0.46300000000000002</v>
      </c>
      <c r="L18" s="151">
        <v>0.502</v>
      </c>
      <c r="M18" s="151">
        <v>0.56000000000000005</v>
      </c>
      <c r="N18" s="151">
        <v>0.57499999999999996</v>
      </c>
      <c r="O18" s="152">
        <v>0.59499999999999997</v>
      </c>
    </row>
    <row r="19" spans="1:15" ht="15.6" x14ac:dyDescent="0.3">
      <c r="A19" s="153" t="s">
        <v>184</v>
      </c>
      <c r="B19" s="154">
        <v>6264.2</v>
      </c>
      <c r="C19" s="154">
        <v>2393</v>
      </c>
      <c r="D19" s="154">
        <v>2605.4</v>
      </c>
      <c r="E19" s="154">
        <v>3308.7</v>
      </c>
      <c r="F19" s="154" t="s">
        <v>185</v>
      </c>
      <c r="G19" s="154">
        <v>4974.2</v>
      </c>
      <c r="H19" s="155">
        <v>5770</v>
      </c>
      <c r="I19" s="154">
        <v>7613.4</v>
      </c>
      <c r="J19" s="154">
        <v>8867.5</v>
      </c>
      <c r="K19" s="154">
        <v>10756.7</v>
      </c>
      <c r="L19" s="155">
        <v>12310.6</v>
      </c>
      <c r="M19" s="154">
        <v>15069.1</v>
      </c>
      <c r="N19" s="154">
        <v>17156.3</v>
      </c>
      <c r="O19" s="154">
        <v>19949.2</v>
      </c>
    </row>
    <row r="20" spans="1:15" ht="15.6" x14ac:dyDescent="0.3">
      <c r="A20" s="74" t="s">
        <v>186</v>
      </c>
      <c r="B20" s="151">
        <v>0.52300000000000002</v>
      </c>
      <c r="C20" s="151">
        <v>0.17499999999999999</v>
      </c>
      <c r="D20" s="151">
        <v>0.16900000000000001</v>
      </c>
      <c r="E20" s="151">
        <v>0.189</v>
      </c>
      <c r="F20" s="151">
        <v>0.16600000000000001</v>
      </c>
      <c r="G20" s="151">
        <v>0.17299999999999999</v>
      </c>
      <c r="H20" s="151">
        <v>0.189</v>
      </c>
      <c r="I20" s="151">
        <v>0.23400000000000001</v>
      </c>
      <c r="J20" s="151">
        <v>0.253</v>
      </c>
      <c r="K20" s="151">
        <v>0.29699999999999999</v>
      </c>
      <c r="L20" s="151">
        <v>0.30499999999999999</v>
      </c>
      <c r="M20" s="151">
        <v>0.34100000000000003</v>
      </c>
      <c r="N20" s="151">
        <v>0.35499999999999998</v>
      </c>
      <c r="O20" s="151">
        <v>0.378</v>
      </c>
    </row>
    <row r="21" spans="1:15" ht="15.6" x14ac:dyDescent="0.3">
      <c r="A21" s="153" t="s">
        <v>187</v>
      </c>
      <c r="B21" s="154">
        <v>2112.9</v>
      </c>
      <c r="C21" s="154">
        <v>2286.6</v>
      </c>
      <c r="D21" s="154">
        <v>2651.8</v>
      </c>
      <c r="E21" s="154">
        <v>3129.9</v>
      </c>
      <c r="F21" s="154">
        <v>3425.7</v>
      </c>
      <c r="G21" s="154">
        <v>4049.1</v>
      </c>
      <c r="H21" s="155">
        <v>4275.1000000000004</v>
      </c>
      <c r="I21" s="154">
        <v>3994.4</v>
      </c>
      <c r="J21" s="154">
        <v>4432.7</v>
      </c>
      <c r="K21" s="154">
        <v>6045.6</v>
      </c>
      <c r="L21" s="155">
        <v>7959.2</v>
      </c>
      <c r="M21" s="154">
        <v>9705.2999999999993</v>
      </c>
      <c r="N21" s="154">
        <v>10626.3</v>
      </c>
      <c r="O21" s="154">
        <v>11457.7</v>
      </c>
    </row>
    <row r="22" spans="1:15" ht="15.6" x14ac:dyDescent="0.3">
      <c r="A22" s="74" t="s">
        <v>186</v>
      </c>
      <c r="B22" s="151">
        <v>0.17599999999999999</v>
      </c>
      <c r="C22" s="151">
        <v>0.16700000000000001</v>
      </c>
      <c r="D22" s="151">
        <v>0.17199999999999999</v>
      </c>
      <c r="E22" s="151">
        <v>0.17899999999999999</v>
      </c>
      <c r="F22" s="151">
        <v>0.126</v>
      </c>
      <c r="G22" s="151">
        <v>0.14099999999999999</v>
      </c>
      <c r="H22" s="151">
        <v>0.14000000000000001</v>
      </c>
      <c r="I22" s="151">
        <v>0.123</v>
      </c>
      <c r="J22" s="151">
        <v>0.126</v>
      </c>
      <c r="K22" s="151">
        <v>0.16700000000000001</v>
      </c>
      <c r="L22" s="151">
        <v>0.19700000000000001</v>
      </c>
      <c r="M22" s="151">
        <v>0.219</v>
      </c>
      <c r="N22" s="151">
        <v>0.22</v>
      </c>
      <c r="O22" s="151">
        <v>0.217</v>
      </c>
    </row>
    <row r="23" spans="1:15" ht="15.6" x14ac:dyDescent="0.3">
      <c r="A23" s="59" t="s">
        <v>188</v>
      </c>
      <c r="B23" s="148">
        <v>18112.059000000001</v>
      </c>
      <c r="C23" s="148">
        <v>20505.207999999999</v>
      </c>
      <c r="D23" s="148">
        <v>23198.39</v>
      </c>
      <c r="E23" s="148">
        <v>26370.647000000001</v>
      </c>
      <c r="F23" s="148">
        <v>27086.400000000001</v>
      </c>
      <c r="G23" s="148">
        <v>28686.7</v>
      </c>
      <c r="H23" s="149">
        <v>30491.599999999999</v>
      </c>
      <c r="I23" s="148">
        <v>32506</v>
      </c>
      <c r="J23" s="148">
        <v>35095.199999999997</v>
      </c>
      <c r="K23" s="148">
        <v>36252</v>
      </c>
      <c r="L23" s="149">
        <v>40366.9</v>
      </c>
      <c r="M23" s="148">
        <v>44238.8</v>
      </c>
      <c r="N23" s="148" t="s">
        <v>189</v>
      </c>
      <c r="O23" s="148">
        <v>52742.400000000001</v>
      </c>
    </row>
    <row r="24" spans="1:15" ht="15.6" x14ac:dyDescent="0.3">
      <c r="A24" s="156" t="s">
        <v>190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</row>
    <row r="25" spans="1:15" ht="15.6" x14ac:dyDescent="0.3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</row>
    <row r="26" spans="1:15" ht="17.399999999999999" x14ac:dyDescent="0.3">
      <c r="A26" s="142" t="s">
        <v>191</v>
      </c>
      <c r="B26" s="141"/>
      <c r="C26" s="141"/>
      <c r="D26" s="141"/>
      <c r="E26" s="141"/>
      <c r="F26" s="141"/>
      <c r="G26" s="157"/>
      <c r="H26" s="157"/>
      <c r="I26" s="141"/>
      <c r="J26" s="141"/>
      <c r="K26" s="141"/>
      <c r="L26" s="141"/>
      <c r="M26" s="141"/>
      <c r="N26" s="141"/>
      <c r="O26" s="141"/>
    </row>
    <row r="27" spans="1:15" ht="16.8" x14ac:dyDescent="0.3">
      <c r="A27" s="158" t="s">
        <v>2</v>
      </c>
      <c r="B27" s="159">
        <v>2011</v>
      </c>
      <c r="C27" s="159">
        <v>2012</v>
      </c>
      <c r="D27" s="159">
        <v>2013</v>
      </c>
      <c r="E27" s="159">
        <v>2014</v>
      </c>
      <c r="F27" s="159">
        <v>2015</v>
      </c>
      <c r="G27" s="159">
        <v>2016</v>
      </c>
      <c r="H27" s="159">
        <v>2017</v>
      </c>
      <c r="I27" s="159">
        <v>2018</v>
      </c>
      <c r="J27" s="159">
        <v>2019</v>
      </c>
      <c r="K27" s="159">
        <v>2020</v>
      </c>
      <c r="L27" s="159">
        <v>2021</v>
      </c>
      <c r="M27" s="159">
        <v>2022</v>
      </c>
      <c r="N27" s="159">
        <v>2023</v>
      </c>
      <c r="O27" s="159">
        <v>2024</v>
      </c>
    </row>
    <row r="28" spans="1:15" ht="15.6" x14ac:dyDescent="0.3">
      <c r="A28" s="160" t="s">
        <v>192</v>
      </c>
      <c r="B28" s="161">
        <v>3272.8</v>
      </c>
      <c r="C28" s="161">
        <v>3818</v>
      </c>
      <c r="D28" s="161">
        <v>4526.7</v>
      </c>
      <c r="E28" s="161">
        <v>5323</v>
      </c>
      <c r="F28" s="161">
        <v>6317.8</v>
      </c>
      <c r="G28" s="161">
        <v>7220.8</v>
      </c>
      <c r="H28" s="161">
        <v>8290.7000000000007</v>
      </c>
      <c r="I28" s="161">
        <v>9336.6</v>
      </c>
      <c r="J28" s="161">
        <v>10236.1</v>
      </c>
      <c r="K28" s="161">
        <v>12040.4</v>
      </c>
      <c r="L28" s="161">
        <v>13761.8</v>
      </c>
      <c r="M28" s="161">
        <v>15705.9</v>
      </c>
      <c r="N28" s="161">
        <v>17667.599999999999</v>
      </c>
      <c r="O28" s="161">
        <v>19846</v>
      </c>
    </row>
    <row r="29" spans="1:15" ht="17.399999999999999" x14ac:dyDescent="0.3">
      <c r="A29" s="162" t="s">
        <v>193</v>
      </c>
      <c r="B29" s="163">
        <v>846.33</v>
      </c>
      <c r="C29" s="161">
        <v>1140.8</v>
      </c>
      <c r="D29" s="161">
        <v>1365.2</v>
      </c>
      <c r="E29" s="161">
        <v>1550.7</v>
      </c>
      <c r="F29" s="161">
        <v>1467.7</v>
      </c>
      <c r="G29" s="161">
        <v>1724.5</v>
      </c>
      <c r="H29" s="161">
        <v>1981.1</v>
      </c>
      <c r="I29" s="161">
        <v>2318.3000000000002</v>
      </c>
      <c r="J29" s="161">
        <v>2791.7</v>
      </c>
      <c r="K29" s="161">
        <v>3908.8</v>
      </c>
      <c r="L29" s="161">
        <v>4614.6000000000004</v>
      </c>
      <c r="M29" s="161">
        <v>5894.6</v>
      </c>
      <c r="N29" s="161">
        <v>6261.9</v>
      </c>
      <c r="O29" s="161">
        <v>7129.1</v>
      </c>
    </row>
    <row r="30" spans="1:15" ht="15.6" x14ac:dyDescent="0.3">
      <c r="A30" s="164" t="s">
        <v>194</v>
      </c>
      <c r="B30" s="165">
        <v>25.9</v>
      </c>
      <c r="C30" s="165">
        <v>29.9</v>
      </c>
      <c r="D30" s="165">
        <v>30.2</v>
      </c>
      <c r="E30" s="165">
        <v>29.1</v>
      </c>
      <c r="F30" s="165">
        <v>23.2</v>
      </c>
      <c r="G30" s="165">
        <v>23.9</v>
      </c>
      <c r="H30" s="165">
        <v>23.9</v>
      </c>
      <c r="I30" s="165">
        <v>24.8</v>
      </c>
      <c r="J30" s="165">
        <v>27.3</v>
      </c>
      <c r="K30" s="165">
        <v>32.5</v>
      </c>
      <c r="L30" s="165">
        <v>33.5</v>
      </c>
      <c r="M30" s="165">
        <v>37.5</v>
      </c>
      <c r="N30" s="165">
        <v>35.4</v>
      </c>
      <c r="O30" s="165">
        <v>35.9</v>
      </c>
    </row>
    <row r="31" spans="1:15" ht="17.399999999999999" x14ac:dyDescent="0.3">
      <c r="A31" s="162" t="s">
        <v>195</v>
      </c>
      <c r="B31" s="161">
        <v>2426.4</v>
      </c>
      <c r="C31" s="161">
        <v>2677.2</v>
      </c>
      <c r="D31" s="161">
        <v>3161.5</v>
      </c>
      <c r="E31" s="161">
        <v>3772.3</v>
      </c>
      <c r="F31" s="161">
        <v>4850.1000000000004</v>
      </c>
      <c r="G31" s="161">
        <v>5496.2</v>
      </c>
      <c r="H31" s="161">
        <v>6309.6</v>
      </c>
      <c r="I31" s="161">
        <v>7018.3</v>
      </c>
      <c r="J31" s="161">
        <v>7444.3</v>
      </c>
      <c r="K31" s="161">
        <v>8131.7</v>
      </c>
      <c r="L31" s="161">
        <v>9147.2000000000007</v>
      </c>
      <c r="M31" s="161">
        <v>9814.5</v>
      </c>
      <c r="N31" s="161">
        <v>11405.7</v>
      </c>
      <c r="O31" s="161">
        <v>12716.9</v>
      </c>
    </row>
    <row r="32" spans="1:15" ht="15.6" x14ac:dyDescent="0.3">
      <c r="A32" s="164" t="s">
        <v>194</v>
      </c>
      <c r="B32" s="166">
        <v>74.099999999999994</v>
      </c>
      <c r="C32" s="166">
        <v>70.099999999999994</v>
      </c>
      <c r="D32" s="166">
        <v>69.8</v>
      </c>
      <c r="E32" s="166">
        <v>70.900000000000006</v>
      </c>
      <c r="F32" s="166">
        <v>76.8</v>
      </c>
      <c r="G32" s="166">
        <v>76.099999999999994</v>
      </c>
      <c r="H32" s="166">
        <v>76.099999999999994</v>
      </c>
      <c r="I32" s="166">
        <v>75.2</v>
      </c>
      <c r="J32" s="166">
        <v>72.7</v>
      </c>
      <c r="K32" s="166">
        <v>67.5</v>
      </c>
      <c r="L32" s="166">
        <v>66.5</v>
      </c>
      <c r="M32" s="166">
        <v>62.5</v>
      </c>
      <c r="N32" s="166">
        <v>64.599999999999994</v>
      </c>
      <c r="O32" s="166">
        <v>64.099999999999994</v>
      </c>
    </row>
    <row r="33" spans="1:15" ht="15.6" x14ac:dyDescent="0.3">
      <c r="A33" s="167" t="s">
        <v>196</v>
      </c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</row>
    <row r="34" spans="1:15" ht="15.6" x14ac:dyDescent="0.3">
      <c r="A34" s="156" t="s">
        <v>197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</row>
  </sheetData>
  <mergeCells count="2">
    <mergeCell ref="A5:J5"/>
    <mergeCell ref="A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Structure de l'Economie</vt:lpstr>
      <vt:lpstr>Agro-industrie</vt:lpstr>
      <vt:lpstr>Dette publique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MIVS</dc:creator>
  <cp:lastModifiedBy>MIVS</cp:lastModifiedBy>
  <dcterms:created xsi:type="dcterms:W3CDTF">2026-02-13T13:12:15Z</dcterms:created>
  <dcterms:modified xsi:type="dcterms:W3CDTF">2026-02-13T13:15:34Z</dcterms:modified>
</cp:coreProperties>
</file>